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projects\laravel\travel-order-system\"/>
    </mc:Choice>
  </mc:AlternateContent>
  <xr:revisionPtr revIDLastSave="0" documentId="13_ncr:1_{B8A67DC0-5F4A-4204-8AFA-458BB70A8570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Region 02-SG (2024)-" sheetId="2" state="hidden" r:id="rId1"/>
    <sheet name="Copy of Region 02-SG (2024)-" sheetId="4" state="hidden" r:id="rId2"/>
    <sheet name="Project (COS)" sheetId="5" state="hidden" r:id="rId3"/>
    <sheet name="Sheet2" sheetId="41" r:id="rId4"/>
    <sheet name="RegularOrganic" sheetId="14" state="hidden" r:id="rId5"/>
    <sheet name="Sheet37" sheetId="21" state="hidden" r:id="rId6"/>
    <sheet name="Sheet38" sheetId="25" state="hidden" r:id="rId7"/>
    <sheet name="Sheet39" sheetId="26" state="hidden" r:id="rId8"/>
    <sheet name="Copy of Collective 1" sheetId="27" state="hidden" r:id="rId9"/>
    <sheet name="Copy of PER PO 1" sheetId="29" state="hidden" r:id="rId10"/>
    <sheet name="Copy of Plantilla-CTI" sheetId="30" state="hidden" r:id="rId11"/>
    <sheet name="Position" sheetId="32" state="hidden" r:id="rId12"/>
    <sheet name="Copy of Project (COS)" sheetId="33" state="hidden" r:id="rId13"/>
    <sheet name="Salary Grade" sheetId="34" state="hidden" r:id="rId14"/>
    <sheet name="Sheet1" sheetId="35" state="hidden" r:id="rId15"/>
    <sheet name="Copy of RO2 staff" sheetId="36" state="hidden" r:id="rId16"/>
    <sheet name="Sheet11" sheetId="37" state="hidden" r:id="rId17"/>
    <sheet name="Copy of Collective" sheetId="38" state="hidden" r:id="rId18"/>
    <sheet name="OOTD" sheetId="39" state="hidden" r:id="rId19"/>
    <sheet name="Copy of Copy of PER PO" sheetId="40" state="hidden" r:id="rId20"/>
  </sheets>
  <definedNames>
    <definedName name="_xlnm._FilterDatabase" localSheetId="17" hidden="1">'Copy of Collective'!$B$10:$M$67</definedName>
    <definedName name="_xlnm._FilterDatabase" localSheetId="8" hidden="1">'Copy of Collective 1'!$B$10:$P$67</definedName>
    <definedName name="_xlnm._FilterDatabase" localSheetId="10" hidden="1">'Copy of Plantilla-CTI'!$B$3:$K$37</definedName>
    <definedName name="_xlnm._FilterDatabase" localSheetId="16" hidden="1">Sheet11!$B$4:$O$36</definedName>
    <definedName name="_xlnm._FilterDatabase" localSheetId="3" hidden="1">Sheet2!$A$1:$G$85</definedName>
    <definedName name="Z_1753918D_4CF5_4B42_AF41_45F5F1D91AD7_.wvu.FilterData" localSheetId="10" hidden="1">'Copy of Plantilla-CTI'!$A$4:$K$37</definedName>
  </definedNames>
  <calcPr calcId="191029"/>
  <customWorkbookViews>
    <customWorkbookView name="Filter 1" guid="{1753918D-4CF5-4B42-AF41-45F5F1D91AD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6" roundtripDataChecksum="kjYU+BMYtqBFpZ2pkiCMrEWXK8XiuzIZn9L/4VgGMjA="/>
    </ext>
  </extLst>
</workbook>
</file>

<file path=xl/calcChain.xml><?xml version="1.0" encoding="utf-8"?>
<calcChain xmlns="http://schemas.openxmlformats.org/spreadsheetml/2006/main">
  <c r="P55" i="40" l="1"/>
  <c r="I54" i="40"/>
  <c r="P53" i="40"/>
  <c r="I53" i="40"/>
  <c r="P52" i="40"/>
  <c r="I52" i="40"/>
  <c r="P51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0" i="40"/>
  <c r="I29" i="40"/>
  <c r="A29" i="40"/>
  <c r="I28" i="40"/>
  <c r="I27" i="40"/>
  <c r="I26" i="40"/>
  <c r="I25" i="40"/>
  <c r="I24" i="40"/>
  <c r="I23" i="40"/>
  <c r="I22" i="40"/>
  <c r="A22" i="40"/>
  <c r="A23" i="40" s="1"/>
  <c r="A24" i="40" s="1"/>
  <c r="A27" i="40" s="1"/>
  <c r="I21" i="40"/>
  <c r="I20" i="40"/>
  <c r="I19" i="40"/>
  <c r="I18" i="40"/>
  <c r="I17" i="40"/>
  <c r="I16" i="40"/>
  <c r="I15" i="40"/>
  <c r="I14" i="40"/>
  <c r="I13" i="40"/>
  <c r="I12" i="40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4" i="39"/>
  <c r="D3" i="39"/>
  <c r="D2" i="39"/>
  <c r="D1" i="39"/>
  <c r="M67" i="38"/>
  <c r="L67" i="38"/>
  <c r="M66" i="38"/>
  <c r="L66" i="38"/>
  <c r="M65" i="38"/>
  <c r="L65" i="38"/>
  <c r="M64" i="38"/>
  <c r="L64" i="38"/>
  <c r="M63" i="38"/>
  <c r="L63" i="38"/>
  <c r="M62" i="38"/>
  <c r="L62" i="38"/>
  <c r="M61" i="38"/>
  <c r="L61" i="38"/>
  <c r="M60" i="38"/>
  <c r="L60" i="38"/>
  <c r="M59" i="38"/>
  <c r="L59" i="38"/>
  <c r="M58" i="38"/>
  <c r="L58" i="38"/>
  <c r="M57" i="38"/>
  <c r="L57" i="38"/>
  <c r="M56" i="38"/>
  <c r="L56" i="38"/>
  <c r="M55" i="38"/>
  <c r="L55" i="38"/>
  <c r="M54" i="38"/>
  <c r="L54" i="38"/>
  <c r="M53" i="38"/>
  <c r="L53" i="38"/>
  <c r="M52" i="38"/>
  <c r="L52" i="38"/>
  <c r="M51" i="38"/>
  <c r="L51" i="38"/>
  <c r="M50" i="38"/>
  <c r="L50" i="38"/>
  <c r="M49" i="38"/>
  <c r="L49" i="38"/>
  <c r="M48" i="38"/>
  <c r="L48" i="38"/>
  <c r="M47" i="38"/>
  <c r="L47" i="38"/>
  <c r="M46" i="38"/>
  <c r="L46" i="38"/>
  <c r="M45" i="38"/>
  <c r="L45" i="38"/>
  <c r="M44" i="38"/>
  <c r="L44" i="38"/>
  <c r="M43" i="38"/>
  <c r="L43" i="38"/>
  <c r="M42" i="38"/>
  <c r="L42" i="38"/>
  <c r="M41" i="38"/>
  <c r="L41" i="38"/>
  <c r="M40" i="38"/>
  <c r="L40" i="38"/>
  <c r="M39" i="38"/>
  <c r="L39" i="38"/>
  <c r="M38" i="38"/>
  <c r="L38" i="38"/>
  <c r="M37" i="38"/>
  <c r="L37" i="38"/>
  <c r="M36" i="38"/>
  <c r="L36" i="38"/>
  <c r="M35" i="38"/>
  <c r="L35" i="38"/>
  <c r="M34" i="38"/>
  <c r="L34" i="38"/>
  <c r="M33" i="38"/>
  <c r="L33" i="38"/>
  <c r="M32" i="38"/>
  <c r="L32" i="38"/>
  <c r="M31" i="38"/>
  <c r="L31" i="38"/>
  <c r="M30" i="38"/>
  <c r="L30" i="38"/>
  <c r="M29" i="38"/>
  <c r="L29" i="38"/>
  <c r="M28" i="38"/>
  <c r="L28" i="38"/>
  <c r="M27" i="38"/>
  <c r="L27" i="38"/>
  <c r="M26" i="38"/>
  <c r="L26" i="38"/>
  <c r="M25" i="38"/>
  <c r="L25" i="38"/>
  <c r="M24" i="38"/>
  <c r="L24" i="38"/>
  <c r="M23" i="38"/>
  <c r="L23" i="38"/>
  <c r="M22" i="38"/>
  <c r="L22" i="38"/>
  <c r="M21" i="38"/>
  <c r="L21" i="38"/>
  <c r="M20" i="38"/>
  <c r="L20" i="38"/>
  <c r="M19" i="38"/>
  <c r="L19" i="38"/>
  <c r="M17" i="38"/>
  <c r="L17" i="38"/>
  <c r="M16" i="38"/>
  <c r="L16" i="38"/>
  <c r="M15" i="38"/>
  <c r="L15" i="38"/>
  <c r="M14" i="38"/>
  <c r="L14" i="38"/>
  <c r="M13" i="38"/>
  <c r="L13" i="38"/>
  <c r="M12" i="38"/>
  <c r="L12" i="38"/>
  <c r="M11" i="38"/>
  <c r="L11" i="38"/>
  <c r="K65" i="36"/>
  <c r="K64" i="36"/>
  <c r="K63" i="36"/>
  <c r="K62" i="36"/>
  <c r="K61" i="36"/>
  <c r="K60" i="36"/>
  <c r="K59" i="36"/>
  <c r="K58" i="36"/>
  <c r="K57" i="36"/>
  <c r="K56" i="36"/>
  <c r="K55" i="36"/>
  <c r="K54" i="36"/>
  <c r="K53" i="36"/>
  <c r="K52" i="36"/>
  <c r="K51" i="36"/>
  <c r="K50" i="36"/>
  <c r="K49" i="36"/>
  <c r="K48" i="36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7" i="36"/>
  <c r="K26" i="36"/>
  <c r="K25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M30" i="33"/>
  <c r="G30" i="33"/>
  <c r="H30" i="33" s="1"/>
  <c r="M29" i="33"/>
  <c r="H29" i="33"/>
  <c r="G29" i="33"/>
  <c r="M28" i="33"/>
  <c r="G28" i="33"/>
  <c r="H28" i="33" s="1"/>
  <c r="M27" i="33"/>
  <c r="G27" i="33"/>
  <c r="H27" i="33" s="1"/>
  <c r="M26" i="33"/>
  <c r="G26" i="33"/>
  <c r="H26" i="33" s="1"/>
  <c r="G25" i="33"/>
  <c r="H25" i="33" s="1"/>
  <c r="G24" i="33"/>
  <c r="H24" i="33" s="1"/>
  <c r="G23" i="33"/>
  <c r="H23" i="33" s="1"/>
  <c r="G22" i="33"/>
  <c r="H22" i="33" s="1"/>
  <c r="G21" i="33"/>
  <c r="H21" i="33" s="1"/>
  <c r="G20" i="33"/>
  <c r="H20" i="33" s="1"/>
  <c r="G19" i="33"/>
  <c r="H19" i="33" s="1"/>
  <c r="G18" i="33"/>
  <c r="H18" i="33" s="1"/>
  <c r="G17" i="33"/>
  <c r="H17" i="33" s="1"/>
  <c r="G16" i="33"/>
  <c r="H16" i="33" s="1"/>
  <c r="G15" i="33"/>
  <c r="H15" i="33" s="1"/>
  <c r="G14" i="33"/>
  <c r="H14" i="33" s="1"/>
  <c r="G13" i="33"/>
  <c r="H13" i="33" s="1"/>
  <c r="G12" i="33"/>
  <c r="H12" i="33" s="1"/>
  <c r="G11" i="33"/>
  <c r="H11" i="33" s="1"/>
  <c r="J114" i="29"/>
  <c r="Q113" i="29"/>
  <c r="J113" i="29"/>
  <c r="J110" i="29"/>
  <c r="J109" i="29"/>
  <c r="Q105" i="29"/>
  <c r="J105" i="29"/>
  <c r="Q104" i="29"/>
  <c r="J104" i="29"/>
  <c r="J103" i="29"/>
  <c r="J101" i="29"/>
  <c r="Q97" i="29"/>
  <c r="J97" i="29"/>
  <c r="J95" i="29"/>
  <c r="J94" i="29"/>
  <c r="J92" i="29"/>
  <c r="J88" i="29"/>
  <c r="Q87" i="29"/>
  <c r="J87" i="29"/>
  <c r="Q85" i="29"/>
  <c r="J85" i="29"/>
  <c r="J83" i="29"/>
  <c r="J81" i="29"/>
  <c r="J80" i="29"/>
  <c r="J79" i="29"/>
  <c r="Q73" i="29"/>
  <c r="J73" i="29"/>
  <c r="Q71" i="29"/>
  <c r="J71" i="29"/>
  <c r="J69" i="29"/>
  <c r="J68" i="29"/>
  <c r="J67" i="29"/>
  <c r="J66" i="29"/>
  <c r="J65" i="29"/>
  <c r="J60" i="29"/>
  <c r="J58" i="29"/>
  <c r="J57" i="29"/>
  <c r="Q24" i="29"/>
  <c r="J24" i="29"/>
  <c r="O67" i="27"/>
  <c r="N67" i="27"/>
  <c r="O66" i="27"/>
  <c r="N66" i="27"/>
  <c r="O65" i="27"/>
  <c r="N65" i="27"/>
  <c r="O64" i="27"/>
  <c r="N64" i="27"/>
  <c r="O63" i="27"/>
  <c r="N63" i="27"/>
  <c r="O62" i="27"/>
  <c r="N62" i="27"/>
  <c r="O61" i="27"/>
  <c r="N61" i="27"/>
  <c r="O60" i="27"/>
  <c r="N60" i="27"/>
  <c r="O59" i="27"/>
  <c r="N59" i="27"/>
  <c r="O58" i="27"/>
  <c r="N58" i="27"/>
  <c r="O57" i="27"/>
  <c r="N57" i="27"/>
  <c r="O56" i="27"/>
  <c r="N56" i="27"/>
  <c r="O55" i="27"/>
  <c r="N55" i="27"/>
  <c r="O54" i="27"/>
  <c r="N54" i="27"/>
  <c r="O53" i="27"/>
  <c r="N53" i="27"/>
  <c r="O52" i="27"/>
  <c r="N52" i="27"/>
  <c r="O51" i="27"/>
  <c r="N51" i="27"/>
  <c r="O50" i="27"/>
  <c r="N50" i="27"/>
  <c r="O49" i="27"/>
  <c r="N49" i="27"/>
  <c r="O48" i="27"/>
  <c r="N48" i="27"/>
  <c r="O47" i="27"/>
  <c r="N47" i="27"/>
  <c r="O46" i="27"/>
  <c r="N46" i="27"/>
  <c r="O45" i="27"/>
  <c r="N45" i="27"/>
  <c r="O44" i="27"/>
  <c r="N44" i="27"/>
  <c r="O43" i="27"/>
  <c r="N43" i="27"/>
  <c r="O42" i="27"/>
  <c r="N42" i="27"/>
  <c r="O41" i="27"/>
  <c r="N41" i="27"/>
  <c r="O40" i="27"/>
  <c r="N40" i="27"/>
  <c r="O39" i="27"/>
  <c r="N39" i="27"/>
  <c r="O38" i="27"/>
  <c r="N38" i="27"/>
  <c r="O37" i="27"/>
  <c r="N37" i="27"/>
  <c r="O36" i="27"/>
  <c r="N36" i="27"/>
  <c r="O35" i="27"/>
  <c r="N35" i="27"/>
  <c r="O34" i="27"/>
  <c r="N34" i="27"/>
  <c r="O33" i="27"/>
  <c r="N33" i="27"/>
  <c r="O32" i="27"/>
  <c r="N32" i="27"/>
  <c r="O31" i="27"/>
  <c r="N31" i="27"/>
  <c r="O30" i="27"/>
  <c r="N30" i="27"/>
  <c r="O29" i="27"/>
  <c r="N29" i="27"/>
  <c r="O28" i="27"/>
  <c r="N28" i="27"/>
  <c r="O27" i="27"/>
  <c r="N27" i="27"/>
  <c r="O26" i="27"/>
  <c r="N26" i="27"/>
  <c r="O25" i="27"/>
  <c r="N25" i="27"/>
  <c r="O24" i="27"/>
  <c r="N24" i="27"/>
  <c r="O23" i="27"/>
  <c r="N23" i="27"/>
  <c r="O22" i="27"/>
  <c r="N22" i="27"/>
  <c r="O21" i="27"/>
  <c r="N21" i="27"/>
  <c r="O20" i="27"/>
  <c r="N20" i="27"/>
  <c r="O19" i="27"/>
  <c r="N19" i="27"/>
  <c r="O17" i="27"/>
  <c r="N17" i="27"/>
  <c r="O16" i="27"/>
  <c r="N16" i="27"/>
  <c r="O15" i="27"/>
  <c r="N15" i="27"/>
  <c r="O14" i="27"/>
  <c r="N14" i="27"/>
  <c r="O13" i="27"/>
  <c r="N13" i="27"/>
  <c r="O12" i="27"/>
  <c r="N12" i="27"/>
  <c r="O11" i="27"/>
  <c r="N11" i="27"/>
  <c r="K43" i="26"/>
  <c r="F43" i="26"/>
  <c r="E43" i="26"/>
  <c r="K42" i="26"/>
  <c r="E42" i="26"/>
  <c r="F42" i="26" s="1"/>
  <c r="K41" i="26"/>
  <c r="D41" i="26"/>
  <c r="E41" i="26" s="1"/>
  <c r="K40" i="26"/>
  <c r="D40" i="26"/>
  <c r="E40" i="26" s="1"/>
  <c r="K39" i="26"/>
  <c r="D39" i="26"/>
  <c r="E39" i="26" s="1"/>
  <c r="K38" i="26"/>
  <c r="D38" i="26"/>
  <c r="E38" i="26" s="1"/>
  <c r="K37" i="26"/>
  <c r="D37" i="26"/>
  <c r="E37" i="26" s="1"/>
  <c r="K36" i="26"/>
  <c r="D36" i="26"/>
  <c r="E36" i="26" s="1"/>
  <c r="K35" i="26"/>
  <c r="D35" i="26"/>
  <c r="E35" i="26" s="1"/>
  <c r="K34" i="26"/>
  <c r="D34" i="26"/>
  <c r="E34" i="26" s="1"/>
  <c r="K33" i="26"/>
  <c r="E33" i="26"/>
  <c r="D33" i="26"/>
  <c r="K32" i="26"/>
  <c r="D32" i="26"/>
  <c r="E32" i="26" s="1"/>
  <c r="K31" i="26"/>
  <c r="D31" i="26"/>
  <c r="E31" i="26" s="1"/>
  <c r="K30" i="26"/>
  <c r="D30" i="26"/>
  <c r="E30" i="26" s="1"/>
  <c r="K29" i="26"/>
  <c r="D29" i="26"/>
  <c r="E29" i="26" s="1"/>
  <c r="K28" i="26"/>
  <c r="E28" i="26"/>
  <c r="K27" i="26"/>
  <c r="D27" i="26"/>
  <c r="E27" i="26" s="1"/>
  <c r="K26" i="26"/>
  <c r="D26" i="26"/>
  <c r="E26" i="26" s="1"/>
  <c r="K25" i="26"/>
  <c r="D25" i="26"/>
  <c r="E25" i="26" s="1"/>
  <c r="K24" i="26"/>
  <c r="D24" i="26"/>
  <c r="E24" i="26" s="1"/>
  <c r="K23" i="26"/>
  <c r="D23" i="26"/>
  <c r="E23" i="26" s="1"/>
  <c r="K22" i="26"/>
  <c r="D22" i="26"/>
  <c r="E22" i="26" s="1"/>
  <c r="K21" i="26"/>
  <c r="D21" i="26"/>
  <c r="E21" i="26" s="1"/>
  <c r="K20" i="26"/>
  <c r="D20" i="26"/>
  <c r="E20" i="26" s="1"/>
  <c r="K19" i="26"/>
  <c r="D19" i="26"/>
  <c r="E19" i="26" s="1"/>
  <c r="K18" i="26"/>
  <c r="E18" i="26"/>
  <c r="D18" i="26"/>
  <c r="K17" i="26"/>
  <c r="D17" i="26"/>
  <c r="E17" i="26" s="1"/>
  <c r="K16" i="26"/>
  <c r="E16" i="26"/>
  <c r="D16" i="26"/>
  <c r="K15" i="26"/>
  <c r="D15" i="26"/>
  <c r="E15" i="26" s="1"/>
  <c r="K14" i="26"/>
  <c r="D14" i="26"/>
  <c r="E14" i="26" s="1"/>
  <c r="K13" i="26"/>
  <c r="D13" i="26"/>
  <c r="E13" i="26" s="1"/>
  <c r="K12" i="26"/>
  <c r="D12" i="26"/>
  <c r="E12" i="26" s="1"/>
  <c r="K11" i="26"/>
  <c r="D11" i="26"/>
  <c r="E11" i="26" s="1"/>
  <c r="K10" i="26"/>
  <c r="E10" i="26"/>
  <c r="F10" i="26" s="1"/>
  <c r="K9" i="26"/>
  <c r="E9" i="26"/>
  <c r="F9" i="26" s="1"/>
  <c r="K8" i="26"/>
  <c r="E8" i="26"/>
  <c r="F8" i="26" s="1"/>
  <c r="K7" i="26"/>
  <c r="E7" i="26"/>
  <c r="F7" i="26" s="1"/>
  <c r="K6" i="26"/>
  <c r="K5" i="26"/>
  <c r="D5" i="26"/>
  <c r="D6" i="26" s="1"/>
  <c r="E6" i="26" s="1"/>
  <c r="K39" i="25"/>
  <c r="D39" i="25"/>
  <c r="E39" i="25" s="1"/>
  <c r="K38" i="25"/>
  <c r="D38" i="25"/>
  <c r="E38" i="25" s="1"/>
  <c r="K37" i="25"/>
  <c r="D37" i="25"/>
  <c r="E37" i="25" s="1"/>
  <c r="K36" i="25"/>
  <c r="D36" i="25"/>
  <c r="E36" i="25" s="1"/>
  <c r="K35" i="25"/>
  <c r="D35" i="25"/>
  <c r="E35" i="25" s="1"/>
  <c r="K34" i="25"/>
  <c r="D34" i="25"/>
  <c r="E34" i="25" s="1"/>
  <c r="K33" i="25"/>
  <c r="D33" i="25"/>
  <c r="E33" i="25" s="1"/>
  <c r="K32" i="25"/>
  <c r="D32" i="25"/>
  <c r="E32" i="25" s="1"/>
  <c r="K31" i="25"/>
  <c r="D31" i="25"/>
  <c r="E31" i="25" s="1"/>
  <c r="K30" i="25"/>
  <c r="D30" i="25"/>
  <c r="E30" i="25" s="1"/>
  <c r="K29" i="25"/>
  <c r="D29" i="25"/>
  <c r="E29" i="25" s="1"/>
  <c r="K28" i="25"/>
  <c r="D28" i="25"/>
  <c r="E28" i="25" s="1"/>
  <c r="K27" i="25"/>
  <c r="D27" i="25"/>
  <c r="E27" i="25" s="1"/>
  <c r="K26" i="25"/>
  <c r="D26" i="25"/>
  <c r="E26" i="25" s="1"/>
  <c r="K25" i="25"/>
  <c r="E25" i="25"/>
  <c r="D25" i="25"/>
  <c r="K24" i="25"/>
  <c r="D24" i="25"/>
  <c r="E24" i="25" s="1"/>
  <c r="K23" i="25"/>
  <c r="D23" i="25"/>
  <c r="E23" i="25" s="1"/>
  <c r="K22" i="25"/>
  <c r="D22" i="25"/>
  <c r="E22" i="25" s="1"/>
  <c r="K21" i="25"/>
  <c r="D21" i="25"/>
  <c r="E21" i="25" s="1"/>
  <c r="K20" i="25"/>
  <c r="D20" i="25"/>
  <c r="E20" i="25" s="1"/>
  <c r="K19" i="25"/>
  <c r="D19" i="25"/>
  <c r="E19" i="25" s="1"/>
  <c r="K18" i="25"/>
  <c r="E18" i="25"/>
  <c r="D18" i="25"/>
  <c r="K17" i="25"/>
  <c r="D17" i="25"/>
  <c r="E17" i="25" s="1"/>
  <c r="K16" i="25"/>
  <c r="D16" i="25"/>
  <c r="E16" i="25" s="1"/>
  <c r="K15" i="25"/>
  <c r="D15" i="25"/>
  <c r="E15" i="25" s="1"/>
  <c r="K14" i="25"/>
  <c r="D14" i="25"/>
  <c r="E14" i="25" s="1"/>
  <c r="K13" i="25"/>
  <c r="D13" i="25"/>
  <c r="E13" i="25" s="1"/>
  <c r="K12" i="25"/>
  <c r="D12" i="25"/>
  <c r="E12" i="25" s="1"/>
  <c r="K11" i="25"/>
  <c r="D11" i="25"/>
  <c r="E11" i="25" s="1"/>
  <c r="K10" i="25"/>
  <c r="D10" i="25"/>
  <c r="E10" i="25" s="1"/>
  <c r="K9" i="25"/>
  <c r="D9" i="25"/>
  <c r="E9" i="25" s="1"/>
  <c r="K8" i="25"/>
  <c r="D8" i="25"/>
  <c r="E8" i="25" s="1"/>
  <c r="K7" i="25"/>
  <c r="D7" i="25"/>
  <c r="E7" i="25" s="1"/>
  <c r="K6" i="25"/>
  <c r="K5" i="25"/>
  <c r="E5" i="25"/>
  <c r="D5" i="25"/>
  <c r="D6" i="25" s="1"/>
  <c r="E6" i="25" s="1"/>
  <c r="L47" i="21"/>
  <c r="E47" i="21"/>
  <c r="F47" i="21" s="1"/>
  <c r="L46" i="21"/>
  <c r="K46" i="21"/>
  <c r="E46" i="21"/>
  <c r="F46" i="21" s="1"/>
  <c r="L45" i="21"/>
  <c r="D45" i="21"/>
  <c r="E45" i="21" s="1"/>
  <c r="L44" i="21"/>
  <c r="K44" i="21"/>
  <c r="L43" i="21"/>
  <c r="K43" i="21"/>
  <c r="D43" i="21"/>
  <c r="E43" i="21" s="1"/>
  <c r="L42" i="21"/>
  <c r="K42" i="21"/>
  <c r="D42" i="21"/>
  <c r="E42" i="21" s="1"/>
  <c r="L41" i="21"/>
  <c r="K41" i="21"/>
  <c r="D41" i="21"/>
  <c r="E41" i="21" s="1"/>
  <c r="L40" i="21"/>
  <c r="K40" i="21"/>
  <c r="D40" i="21"/>
  <c r="E40" i="21" s="1"/>
  <c r="K39" i="21"/>
  <c r="D39" i="21"/>
  <c r="E39" i="21" s="1"/>
  <c r="L38" i="21"/>
  <c r="L37" i="21"/>
  <c r="K37" i="21"/>
  <c r="D37" i="21"/>
  <c r="E37" i="21" s="1"/>
  <c r="L36" i="21"/>
  <c r="K36" i="21"/>
  <c r="D36" i="21"/>
  <c r="E36" i="21" s="1"/>
  <c r="L35" i="21"/>
  <c r="K35" i="21"/>
  <c r="D35" i="21"/>
  <c r="E35" i="21" s="1"/>
  <c r="L34" i="21"/>
  <c r="K34" i="21"/>
  <c r="D34" i="21"/>
  <c r="E34" i="21" s="1"/>
  <c r="L33" i="21"/>
  <c r="K33" i="21"/>
  <c r="E33" i="21"/>
  <c r="D33" i="21"/>
  <c r="L32" i="21"/>
  <c r="K32" i="21"/>
  <c r="D32" i="21"/>
  <c r="E32" i="21" s="1"/>
  <c r="L31" i="21"/>
  <c r="K31" i="21"/>
  <c r="D31" i="21"/>
  <c r="E31" i="21" s="1"/>
  <c r="L30" i="21"/>
  <c r="K30" i="21"/>
  <c r="E30" i="21"/>
  <c r="L29" i="21"/>
  <c r="F29" i="21"/>
  <c r="E29" i="21"/>
  <c r="L28" i="21"/>
  <c r="K28" i="21"/>
  <c r="D28" i="21"/>
  <c r="E28" i="21" s="1"/>
  <c r="L27" i="21"/>
  <c r="K27" i="21"/>
  <c r="D27" i="21"/>
  <c r="E27" i="21" s="1"/>
  <c r="L26" i="21"/>
  <c r="D26" i="21"/>
  <c r="E26" i="21" s="1"/>
  <c r="L25" i="21"/>
  <c r="K25" i="21"/>
  <c r="D25" i="21"/>
  <c r="E25" i="21" s="1"/>
  <c r="L24" i="21"/>
  <c r="K24" i="21"/>
  <c r="D24" i="21"/>
  <c r="E24" i="21" s="1"/>
  <c r="L23" i="21"/>
  <c r="K23" i="21"/>
  <c r="D23" i="21"/>
  <c r="E23" i="21" s="1"/>
  <c r="L22" i="21"/>
  <c r="K22" i="21"/>
  <c r="E22" i="21"/>
  <c r="D22" i="21"/>
  <c r="L21" i="21"/>
  <c r="K21" i="21"/>
  <c r="D21" i="21"/>
  <c r="E21" i="21" s="1"/>
  <c r="L20" i="21"/>
  <c r="K20" i="21"/>
  <c r="D20" i="21"/>
  <c r="E20" i="21" s="1"/>
  <c r="L19" i="21"/>
  <c r="K19" i="21"/>
  <c r="D19" i="21"/>
  <c r="E19" i="21" s="1"/>
  <c r="L18" i="21"/>
  <c r="K18" i="21"/>
  <c r="D18" i="21"/>
  <c r="E18" i="21" s="1"/>
  <c r="L17" i="21"/>
  <c r="K17" i="21"/>
  <c r="D17" i="21"/>
  <c r="E17" i="21" s="1"/>
  <c r="L16" i="21"/>
  <c r="K16" i="21"/>
  <c r="D16" i="21"/>
  <c r="E16" i="21" s="1"/>
  <c r="L15" i="21"/>
  <c r="K15" i="21"/>
  <c r="E15" i="21"/>
  <c r="D15" i="21"/>
  <c r="L14" i="21"/>
  <c r="K14" i="21"/>
  <c r="D14" i="21"/>
  <c r="E14" i="21" s="1"/>
  <c r="L13" i="21"/>
  <c r="K13" i="21"/>
  <c r="D13" i="21"/>
  <c r="E13" i="21" s="1"/>
  <c r="L12" i="21"/>
  <c r="K12" i="21"/>
  <c r="D12" i="21"/>
  <c r="E12" i="21" s="1"/>
  <c r="L11" i="21"/>
  <c r="K11" i="21"/>
  <c r="D11" i="21"/>
  <c r="E11" i="21" s="1"/>
  <c r="F10" i="21"/>
  <c r="E10" i="21"/>
  <c r="E9" i="21"/>
  <c r="F9" i="21" s="1"/>
  <c r="L8" i="21"/>
  <c r="K8" i="21"/>
  <c r="E8" i="21"/>
  <c r="F8" i="21" s="1"/>
  <c r="K7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L6" i="21"/>
  <c r="K6" i="21"/>
  <c r="D6" i="21"/>
  <c r="E6" i="21" s="1"/>
  <c r="A6" i="21"/>
  <c r="L5" i="21"/>
  <c r="K5" i="21"/>
  <c r="E5" i="21"/>
  <c r="D5" i="21"/>
  <c r="R50" i="14"/>
  <c r="K50" i="14"/>
  <c r="L50" i="14" s="1"/>
  <c r="R49" i="14"/>
  <c r="R48" i="14"/>
  <c r="R47" i="14"/>
  <c r="K47" i="14"/>
  <c r="L47" i="14" s="1"/>
  <c r="R46" i="14"/>
  <c r="R44" i="14"/>
  <c r="K44" i="14"/>
  <c r="L44" i="14" s="1"/>
  <c r="R43" i="14"/>
  <c r="K43" i="14"/>
  <c r="L43" i="14" s="1"/>
  <c r="R42" i="14"/>
  <c r="K42" i="14"/>
  <c r="L42" i="14" s="1"/>
  <c r="R41" i="14"/>
  <c r="K41" i="14"/>
  <c r="L41" i="14" s="1"/>
  <c r="R40" i="14"/>
  <c r="R38" i="14"/>
  <c r="K38" i="14"/>
  <c r="L38" i="14" s="1"/>
  <c r="R37" i="14"/>
  <c r="K37" i="14"/>
  <c r="L37" i="14" s="1"/>
  <c r="R36" i="14"/>
  <c r="K36" i="14"/>
  <c r="L36" i="14" s="1"/>
  <c r="R35" i="14"/>
  <c r="K35" i="14"/>
  <c r="L35" i="14" s="1"/>
  <c r="R34" i="14"/>
  <c r="R33" i="14"/>
  <c r="R32" i="14"/>
  <c r="K32" i="14"/>
  <c r="L32" i="14" s="1"/>
  <c r="R31" i="14"/>
  <c r="K31" i="14"/>
  <c r="L31" i="14" s="1"/>
  <c r="R30" i="14"/>
  <c r="K30" i="14"/>
  <c r="L30" i="14" s="1"/>
  <c r="R29" i="14"/>
  <c r="K29" i="14"/>
  <c r="L29" i="14" s="1"/>
  <c r="K28" i="14"/>
  <c r="R27" i="14"/>
  <c r="K27" i="14"/>
  <c r="L27" i="14" s="1"/>
  <c r="R26" i="14"/>
  <c r="K26" i="14"/>
  <c r="L26" i="14" s="1"/>
  <c r="R25" i="14"/>
  <c r="K25" i="14"/>
  <c r="L25" i="14" s="1"/>
  <c r="R24" i="14"/>
  <c r="K24" i="14"/>
  <c r="L24" i="14" s="1"/>
  <c r="R23" i="14"/>
  <c r="K23" i="14"/>
  <c r="L23" i="14" s="1"/>
  <c r="R22" i="14"/>
  <c r="K22" i="14"/>
  <c r="L22" i="14" s="1"/>
  <c r="R21" i="14"/>
  <c r="K21" i="14"/>
  <c r="L21" i="14" s="1"/>
  <c r="R20" i="14"/>
  <c r="K20" i="14"/>
  <c r="L20" i="14" s="1"/>
  <c r="R19" i="14"/>
  <c r="R18" i="14"/>
  <c r="R17" i="14"/>
  <c r="K17" i="14"/>
  <c r="L17" i="14" s="1"/>
  <c r="R16" i="14"/>
  <c r="K16" i="14"/>
  <c r="R15" i="14"/>
  <c r="R13" i="14"/>
  <c r="K13" i="14"/>
  <c r="L16" i="14" s="1"/>
  <c r="R12" i="14"/>
  <c r="K12" i="14"/>
  <c r="L12" i="14" s="1"/>
  <c r="L10" i="14"/>
  <c r="H41" i="5"/>
  <c r="G41" i="5"/>
  <c r="H40" i="5"/>
  <c r="G40" i="5"/>
  <c r="H39" i="5"/>
  <c r="G39" i="5"/>
  <c r="H38" i="5"/>
  <c r="G38" i="5"/>
  <c r="M37" i="5"/>
  <c r="G37" i="5"/>
  <c r="H37" i="5" s="1"/>
  <c r="M36" i="5"/>
  <c r="G36" i="5"/>
  <c r="H36" i="5" s="1"/>
  <c r="M35" i="5"/>
  <c r="G35" i="5"/>
  <c r="H35" i="5" s="1"/>
  <c r="M34" i="5"/>
  <c r="G34" i="5"/>
  <c r="H34" i="5" s="1"/>
  <c r="M33" i="5"/>
  <c r="H33" i="5"/>
  <c r="G33" i="5"/>
  <c r="H32" i="5"/>
  <c r="G32" i="5"/>
  <c r="H31" i="5"/>
  <c r="H30" i="5"/>
  <c r="G30" i="5"/>
  <c r="G29" i="5"/>
  <c r="H29" i="5" s="1"/>
  <c r="H28" i="5"/>
  <c r="G28" i="5"/>
  <c r="G27" i="5"/>
  <c r="H27" i="5" s="1"/>
  <c r="H26" i="5"/>
  <c r="G26" i="5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H17" i="5"/>
  <c r="G17" i="5"/>
  <c r="H16" i="5"/>
  <c r="G16" i="5"/>
  <c r="H15" i="5"/>
  <c r="G15" i="5"/>
  <c r="H14" i="5"/>
  <c r="G14" i="5"/>
  <c r="G13" i="5"/>
  <c r="H13" i="5" s="1"/>
  <c r="H12" i="5"/>
  <c r="G12" i="5"/>
  <c r="G11" i="5"/>
  <c r="H11" i="5" s="1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O81" i="4"/>
  <c r="N81" i="4"/>
  <c r="M81" i="4"/>
  <c r="L81" i="4"/>
  <c r="K81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A50" i="4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E49" i="4"/>
  <c r="K40" i="4"/>
  <c r="L40" i="4" s="1"/>
  <c r="E40" i="4"/>
  <c r="K39" i="4"/>
  <c r="L39" i="4" s="1"/>
  <c r="E39" i="4"/>
  <c r="K38" i="4"/>
  <c r="L38" i="4" s="1"/>
  <c r="E38" i="4"/>
  <c r="K37" i="4"/>
  <c r="L37" i="4" s="1"/>
  <c r="E37" i="4"/>
  <c r="L36" i="4"/>
  <c r="K36" i="4"/>
  <c r="E36" i="4"/>
  <c r="K35" i="4"/>
  <c r="L35" i="4" s="1"/>
  <c r="E35" i="4"/>
  <c r="K34" i="4"/>
  <c r="L34" i="4" s="1"/>
  <c r="E34" i="4"/>
  <c r="K33" i="4"/>
  <c r="L33" i="4" s="1"/>
  <c r="E33" i="4"/>
  <c r="K32" i="4"/>
  <c r="L32" i="4" s="1"/>
  <c r="E32" i="4"/>
  <c r="K31" i="4"/>
  <c r="L31" i="4" s="1"/>
  <c r="E31" i="4"/>
  <c r="K30" i="4"/>
  <c r="L30" i="4" s="1"/>
  <c r="E30" i="4"/>
  <c r="K29" i="4"/>
  <c r="L29" i="4" s="1"/>
  <c r="E29" i="4"/>
  <c r="K28" i="4"/>
  <c r="L28" i="4" s="1"/>
  <c r="E28" i="4"/>
  <c r="K27" i="4"/>
  <c r="L27" i="4" s="1"/>
  <c r="E27" i="4"/>
  <c r="K26" i="4"/>
  <c r="L26" i="4" s="1"/>
  <c r="E26" i="4"/>
  <c r="K25" i="4"/>
  <c r="L25" i="4" s="1"/>
  <c r="E25" i="4"/>
  <c r="K24" i="4"/>
  <c r="L24" i="4" s="1"/>
  <c r="E24" i="4"/>
  <c r="K23" i="4"/>
  <c r="L23" i="4" s="1"/>
  <c r="E23" i="4"/>
  <c r="K22" i="4"/>
  <c r="L22" i="4" s="1"/>
  <c r="E22" i="4"/>
  <c r="K21" i="4"/>
  <c r="L21" i="4" s="1"/>
  <c r="E21" i="4"/>
  <c r="K20" i="4"/>
  <c r="L20" i="4" s="1"/>
  <c r="E20" i="4"/>
  <c r="K19" i="4"/>
  <c r="L19" i="4" s="1"/>
  <c r="E19" i="4"/>
  <c r="K18" i="4"/>
  <c r="L18" i="4" s="1"/>
  <c r="E18" i="4"/>
  <c r="K17" i="4"/>
  <c r="L17" i="4" s="1"/>
  <c r="E17" i="4"/>
  <c r="K16" i="4"/>
  <c r="L16" i="4" s="1"/>
  <c r="E16" i="4"/>
  <c r="K15" i="4"/>
  <c r="L15" i="4" s="1"/>
  <c r="E15" i="4"/>
  <c r="K14" i="4"/>
  <c r="L14" i="4" s="1"/>
  <c r="E14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K13" i="4"/>
  <c r="L13" i="4" s="1"/>
  <c r="E13" i="4"/>
  <c r="K12" i="4"/>
  <c r="L12" i="4" s="1"/>
  <c r="E12" i="4"/>
  <c r="K11" i="4"/>
  <c r="L11" i="4" s="1"/>
  <c r="E11" i="4"/>
  <c r="L10" i="4"/>
  <c r="K10" i="4"/>
  <c r="E10" i="4"/>
  <c r="K9" i="4"/>
  <c r="L9" i="4" s="1"/>
  <c r="E9" i="4"/>
  <c r="N8" i="4"/>
  <c r="K8" i="4"/>
  <c r="L8" i="4" s="1"/>
  <c r="E8" i="4"/>
  <c r="N7" i="4"/>
  <c r="K7" i="4"/>
  <c r="L7" i="4" s="1"/>
  <c r="E7" i="4"/>
  <c r="N6" i="4"/>
  <c r="K6" i="4"/>
  <c r="L6" i="4" s="1"/>
  <c r="E6" i="4"/>
  <c r="P92" i="2"/>
  <c r="P91" i="2"/>
  <c r="P90" i="2"/>
  <c r="P89" i="2"/>
  <c r="P88" i="2"/>
  <c r="P87" i="2"/>
  <c r="U86" i="2"/>
  <c r="P86" i="2"/>
  <c r="U85" i="2"/>
  <c r="P85" i="2"/>
  <c r="U84" i="2"/>
  <c r="P84" i="2"/>
  <c r="U83" i="2"/>
  <c r="U82" i="2"/>
  <c r="U81" i="2"/>
  <c r="P81" i="2"/>
  <c r="U80" i="2"/>
  <c r="P80" i="2"/>
  <c r="U79" i="2"/>
  <c r="U78" i="2"/>
  <c r="P78" i="2"/>
  <c r="U77" i="2"/>
  <c r="P77" i="2"/>
  <c r="U76" i="2"/>
  <c r="P76" i="2"/>
  <c r="U75" i="2"/>
  <c r="P75" i="2"/>
  <c r="U74" i="2"/>
  <c r="P74" i="2"/>
  <c r="U73" i="2"/>
  <c r="P73" i="2"/>
  <c r="U72" i="2"/>
  <c r="P72" i="2"/>
  <c r="U71" i="2"/>
  <c r="P71" i="2"/>
  <c r="U70" i="2"/>
  <c r="P70" i="2"/>
  <c r="U68" i="2"/>
  <c r="P68" i="2"/>
  <c r="U67" i="2"/>
  <c r="P67" i="2"/>
  <c r="U66" i="2"/>
  <c r="P66" i="2"/>
  <c r="U65" i="2"/>
  <c r="P65" i="2"/>
  <c r="U64" i="2"/>
  <c r="P64" i="2"/>
  <c r="U63" i="2"/>
  <c r="P63" i="2"/>
  <c r="U62" i="2"/>
  <c r="P62" i="2"/>
  <c r="U61" i="2"/>
  <c r="P61" i="2"/>
  <c r="U60" i="2"/>
  <c r="P60" i="2"/>
  <c r="U59" i="2"/>
  <c r="P59" i="2"/>
  <c r="U58" i="2"/>
  <c r="P58" i="2"/>
  <c r="U57" i="2"/>
  <c r="P57" i="2"/>
  <c r="U56" i="2"/>
  <c r="P56" i="2"/>
  <c r="P55" i="2"/>
  <c r="U54" i="2"/>
  <c r="P54" i="2"/>
  <c r="U53" i="2"/>
  <c r="P53" i="2"/>
  <c r="U52" i="2"/>
  <c r="P52" i="2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U51" i="2"/>
  <c r="P51" i="2"/>
  <c r="A51" i="2"/>
  <c r="U50" i="2"/>
  <c r="P50" i="2"/>
  <c r="P49" i="2"/>
  <c r="P45" i="2"/>
  <c r="P44" i="2"/>
  <c r="P43" i="2"/>
  <c r="P42" i="2"/>
  <c r="P41" i="2"/>
  <c r="Q40" i="2"/>
  <c r="P40" i="2"/>
  <c r="P39" i="2"/>
  <c r="Q38" i="2"/>
  <c r="P38" i="2"/>
  <c r="Q37" i="2"/>
  <c r="P37" i="2"/>
  <c r="Q36" i="2"/>
  <c r="P36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P20" i="2"/>
  <c r="P19" i="2"/>
  <c r="P18" i="2"/>
  <c r="Q17" i="2"/>
  <c r="P17" i="2"/>
  <c r="P16" i="2"/>
  <c r="Q15" i="2"/>
  <c r="P15" i="2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P7" i="2"/>
  <c r="L13" i="14" l="1"/>
  <c r="W82" i="2"/>
  <c r="AA82" i="2"/>
  <c r="Z82" i="2"/>
  <c r="Y82" i="2"/>
  <c r="X82" i="2"/>
  <c r="E5" i="26"/>
</calcChain>
</file>

<file path=xl/sharedStrings.xml><?xml version="1.0" encoding="utf-8"?>
<sst xmlns="http://schemas.openxmlformats.org/spreadsheetml/2006/main" count="7591" uniqueCount="1054">
  <si>
    <t>EMAIL ADDRESS</t>
  </si>
  <si>
    <t>nodel.tumaliuan@dict.gov.ph</t>
  </si>
  <si>
    <t>pablo.fugaban@dict.gov.ph</t>
  </si>
  <si>
    <t>delmo.cano@dict.gov.ph</t>
  </si>
  <si>
    <t>Lanie.cabacungan@dict.gov.ph</t>
  </si>
  <si>
    <t>elon.domingo@dict.gov.ph</t>
  </si>
  <si>
    <t>marilyn.robles@dict.gov.ph</t>
  </si>
  <si>
    <t>ferdie.abad@dict.gov.ph</t>
  </si>
  <si>
    <t>edward.manuel@dict.gov.ph</t>
  </si>
  <si>
    <t>edmund.manuel@dict.gov.ph</t>
  </si>
  <si>
    <t>conie.nazarita@dict.gov.ph</t>
  </si>
  <si>
    <t>roland.hubalde@dict.gov.ph</t>
  </si>
  <si>
    <t>claro.maggay@dict.gov.ph</t>
  </si>
  <si>
    <t>rogelio.layugan@dict.gov.ph</t>
  </si>
  <si>
    <t>johanna.tulauan@dict.gov.ph</t>
  </si>
  <si>
    <t>mina.villafuerte@dict.gov.ph</t>
  </si>
  <si>
    <t>ronie.bariuan@dict.gov.ph</t>
  </si>
  <si>
    <t>jr.gazzingan@dict.gov.ph</t>
  </si>
  <si>
    <t>magie.gomez@dict.gov.ph</t>
  </si>
  <si>
    <t>jong.baylon@dict.gov.ph</t>
  </si>
  <si>
    <t>jose.cabacungan@dict.gov.ph</t>
  </si>
  <si>
    <t>rene.andres@dict.gov.ph</t>
  </si>
  <si>
    <t>ricky.baligod@dict.gov.ph</t>
  </si>
  <si>
    <t>alvin.bermejo@dict.gov.ph</t>
  </si>
  <si>
    <t>eugene.pabro@dict.gov.ph</t>
  </si>
  <si>
    <t>daniel.ramirez@dict.gov.ph</t>
  </si>
  <si>
    <t>kristine.valdez@dict.gov.ph</t>
  </si>
  <si>
    <t>edison.agaoid@dict.gov.ph</t>
  </si>
  <si>
    <t>rica.casuga@dict.gov.ph</t>
  </si>
  <si>
    <t>jayfer.ammasi@dict.gov.ph</t>
  </si>
  <si>
    <t>ritz.malvas@dict.gov.ph</t>
  </si>
  <si>
    <t>johny.batang@dict.gov.ph</t>
  </si>
  <si>
    <t>bryan.tomas@dict.gov.ph</t>
  </si>
  <si>
    <t>joeymark.elchico@dict.gov.ph</t>
  </si>
  <si>
    <t>cyrill.cepeda@dict.gov.ph</t>
  </si>
  <si>
    <t>neilkristopher.guimmayen@dict.gov.ph</t>
  </si>
  <si>
    <t>dale.martensen@dict.gov.ph</t>
  </si>
  <si>
    <t>michaelangelo.langcay@dict.gov.ph</t>
  </si>
  <si>
    <t>caronan.ed@gmail.com</t>
  </si>
  <si>
    <t>johnwesley.valentino@dict.gov.ph</t>
  </si>
  <si>
    <t>evencemichael.baguilat@dict.gov.ph</t>
  </si>
  <si>
    <t>POSITION</t>
  </si>
  <si>
    <t>SG</t>
  </si>
  <si>
    <t>SALARY</t>
  </si>
  <si>
    <t>NAME</t>
  </si>
  <si>
    <t>GENDER</t>
  </si>
  <si>
    <t>BIRTHDAY</t>
  </si>
  <si>
    <t>CONTACT NUMBER</t>
  </si>
  <si>
    <t>PROJECT</t>
  </si>
  <si>
    <t>ITEM NUMBER</t>
  </si>
  <si>
    <t>BP Number</t>
  </si>
  <si>
    <t>DATE OF APPOINTMENT</t>
  </si>
  <si>
    <t>AGE</t>
  </si>
  <si>
    <t>SURNAME</t>
  </si>
  <si>
    <t>FIRST NAME</t>
  </si>
  <si>
    <t>MIDDLE NAME</t>
  </si>
  <si>
    <t>MM/DD/YYYY</t>
  </si>
  <si>
    <t>Years in service</t>
  </si>
  <si>
    <t>REGULAR</t>
  </si>
  <si>
    <t>Director IV</t>
  </si>
  <si>
    <t>28-1</t>
  </si>
  <si>
    <t>JIMENEZ</t>
  </si>
  <si>
    <t>PINKY</t>
  </si>
  <si>
    <t>TUMALIUAN</t>
  </si>
  <si>
    <t>Female</t>
  </si>
  <si>
    <t>pinky.jimenez@dict.gov.ph</t>
  </si>
  <si>
    <t>PLANTILLA</t>
  </si>
  <si>
    <t>OSEC-DICTB-DIR4-26-2017</t>
  </si>
  <si>
    <t>ITO III</t>
  </si>
  <si>
    <t>24-1</t>
  </si>
  <si>
    <t>GOMEZ</t>
  </si>
  <si>
    <t>MAGDALENA</t>
  </si>
  <si>
    <t>DACUYCUY</t>
  </si>
  <si>
    <t>OSEC-DICTB-ITO3-65-2021</t>
  </si>
  <si>
    <t>CAO</t>
  </si>
  <si>
    <t>VILLAFUERTE</t>
  </si>
  <si>
    <t>MINA FLOR</t>
  </si>
  <si>
    <t>TALAY</t>
  </si>
  <si>
    <t>09338241240 / 09972284728</t>
  </si>
  <si>
    <t>OSEC-DICTB-CADOF-30-2021</t>
  </si>
  <si>
    <t>ITO II</t>
  </si>
  <si>
    <t>22-1</t>
  </si>
  <si>
    <t>BARIUAN</t>
  </si>
  <si>
    <t xml:space="preserve">RONALD </t>
  </si>
  <si>
    <t>SIUAGAN</t>
  </si>
  <si>
    <t>Male</t>
  </si>
  <si>
    <t>OSEC-DICTB-ITO2-173-2017</t>
  </si>
  <si>
    <t>GAZZINGAN</t>
  </si>
  <si>
    <t>CIRILO JR.</t>
  </si>
  <si>
    <t>NACINO</t>
  </si>
  <si>
    <t>09279128348 / 09688549386</t>
  </si>
  <si>
    <t>OSEC-DICTB-ITO2-172-2017</t>
  </si>
  <si>
    <t>LAYUGAN</t>
  </si>
  <si>
    <t xml:space="preserve">ROGELIO </t>
  </si>
  <si>
    <t>TAGUIBAO</t>
  </si>
  <si>
    <t>09055078929 / 09328780168</t>
  </si>
  <si>
    <t>OSEC-DICTB-ITO2-48-2021</t>
  </si>
  <si>
    <t>Accountant III</t>
  </si>
  <si>
    <t>19-1</t>
  </si>
  <si>
    <t>DEL ROSARIO</t>
  </si>
  <si>
    <t>JEMAR JAY</t>
  </si>
  <si>
    <t>CALAYAN</t>
  </si>
  <si>
    <t>09653900416</t>
  </si>
  <si>
    <t>jemar.delrosario@dict.gov.ph</t>
  </si>
  <si>
    <t>OSEC-DICTB-A3-23-2021</t>
  </si>
  <si>
    <t>ITO I</t>
  </si>
  <si>
    <t>TULAUAN</t>
  </si>
  <si>
    <t>JOHANNA</t>
  </si>
  <si>
    <t>FERIDO</t>
  </si>
  <si>
    <t>OSEC-DICTB-ITO1-37-2021</t>
  </si>
  <si>
    <t>ENGR III</t>
  </si>
  <si>
    <t>BATANG</t>
  </si>
  <si>
    <t>JOHNY</t>
  </si>
  <si>
    <t>OSEC-DICTB-ENG3-131-2017</t>
  </si>
  <si>
    <t>ELCHICO</t>
  </si>
  <si>
    <t>JOEY MARK</t>
  </si>
  <si>
    <t>DE GUZMAN</t>
  </si>
  <si>
    <t>09498187328 / 09663796255</t>
  </si>
  <si>
    <t>OSEC-DICTB-ITO1-64-2017</t>
  </si>
  <si>
    <t>Budget Officer II</t>
  </si>
  <si>
    <t>15-1</t>
  </si>
  <si>
    <t>ABRIGO</t>
  </si>
  <si>
    <t>LOT-LOT</t>
  </si>
  <si>
    <t>ACERA</t>
  </si>
  <si>
    <t>09985535281/09613598898</t>
  </si>
  <si>
    <t>lotlot.acera@dict.gov.ph</t>
  </si>
  <si>
    <t>OSEC-DICTB-ADOF4-10-2021</t>
  </si>
  <si>
    <t>HRMO II</t>
  </si>
  <si>
    <t>AMMASI</t>
  </si>
  <si>
    <t>JAYFER</t>
  </si>
  <si>
    <t>TABAO-ICAN</t>
  </si>
  <si>
    <t>OSEC-DICTB-ADOF4-11-2021</t>
  </si>
  <si>
    <t>Cashier II</t>
  </si>
  <si>
    <t>14-1</t>
  </si>
  <si>
    <t>BUENO</t>
  </si>
  <si>
    <t>CHRISTINE JOYCE</t>
  </si>
  <si>
    <t>VILLALUZ</t>
  </si>
  <si>
    <t>christine.bueno@dict.gov.ph</t>
  </si>
  <si>
    <t>OSEC-DICTB-ADOF3-2-2021</t>
  </si>
  <si>
    <t>ISA I</t>
  </si>
  <si>
    <t>12-1</t>
  </si>
  <si>
    <t>AGAOID</t>
  </si>
  <si>
    <t>EDISON</t>
  </si>
  <si>
    <t>SALVADOR</t>
  </si>
  <si>
    <t>OSEC-DICTB-INFOSA1-17-2017</t>
  </si>
  <si>
    <t>CEOIII</t>
  </si>
  <si>
    <t>9-8</t>
  </si>
  <si>
    <t>CABACUNGAN</t>
  </si>
  <si>
    <t>LANIE</t>
  </si>
  <si>
    <t>AGTARAP</t>
  </si>
  <si>
    <t>OSEC-DICTB-CEO3-37-2020</t>
  </si>
  <si>
    <t>CEO III</t>
  </si>
  <si>
    <t>9-5</t>
  </si>
  <si>
    <t>MANUEL</t>
  </si>
  <si>
    <t>EDWARD</t>
  </si>
  <si>
    <t>CABUTAJE</t>
  </si>
  <si>
    <t>OSEC-DICTB-CEO3-21-2020</t>
  </si>
  <si>
    <t>PABRO</t>
  </si>
  <si>
    <t>EUGENE</t>
  </si>
  <si>
    <t>LOMPERO</t>
  </si>
  <si>
    <t>09552264545</t>
  </si>
  <si>
    <t>OSEC-DICTB-CEO3-24-2020</t>
  </si>
  <si>
    <t>9-4</t>
  </si>
  <si>
    <t>ABAD</t>
  </si>
  <si>
    <t>FERDINAND</t>
  </si>
  <si>
    <t>09773807231 / 09971780900</t>
  </si>
  <si>
    <t>OSEC-DICTB-CEO3-19-2020</t>
  </si>
  <si>
    <t>EDMUND</t>
  </si>
  <si>
    <t>OSEC-DICTB-CEO3-20-2020</t>
  </si>
  <si>
    <t>NAZARITA</t>
  </si>
  <si>
    <t>CONCEPCION</t>
  </si>
  <si>
    <t>CABALONGA</t>
  </si>
  <si>
    <t>OSEC-DICTB-CEO3-23-2020</t>
  </si>
  <si>
    <t>RAMIREZ</t>
  </si>
  <si>
    <t>DANIEL</t>
  </si>
  <si>
    <t>PADILLA</t>
  </si>
  <si>
    <t>09553945165</t>
  </si>
  <si>
    <t>OSEC-DICTB-CEO3-18-2020</t>
  </si>
  <si>
    <t>ECET I</t>
  </si>
  <si>
    <t>6-8</t>
  </si>
  <si>
    <t>HUBALDE</t>
  </si>
  <si>
    <t>ROLAND</t>
  </si>
  <si>
    <t>BARTILAD</t>
  </si>
  <si>
    <t>OSEC-DICTB-ECET1-17-2018</t>
  </si>
  <si>
    <t>BALIGOD</t>
  </si>
  <si>
    <t>RICHARD</t>
  </si>
  <si>
    <t>PINEDA</t>
  </si>
  <si>
    <t>09057824442</t>
  </si>
  <si>
    <t>OSEC-DICTB-ECET1-11-2018</t>
  </si>
  <si>
    <t>CEO II</t>
  </si>
  <si>
    <t>6-4</t>
  </si>
  <si>
    <t xml:space="preserve">CANO </t>
  </si>
  <si>
    <t>ADELMO</t>
  </si>
  <si>
    <t>GATO</t>
  </si>
  <si>
    <t>OSEC-DICTB-CEO2-105-2020</t>
  </si>
  <si>
    <t>DOMINGO</t>
  </si>
  <si>
    <t>ELON</t>
  </si>
  <si>
    <t>FLORES</t>
  </si>
  <si>
    <t>OSEC-DICTB-CEO2-108-2020</t>
  </si>
  <si>
    <t>ROBLES</t>
  </si>
  <si>
    <t xml:space="preserve">MARILYN </t>
  </si>
  <si>
    <t>09169075011</t>
  </si>
  <si>
    <t>OSEC-DICTB-CEO2-107-2020</t>
  </si>
  <si>
    <t>MAGGAY</t>
  </si>
  <si>
    <t>CLARO</t>
  </si>
  <si>
    <t>MATAMMU</t>
  </si>
  <si>
    <t>OSEC-DICTB-ECET1-23-2018</t>
  </si>
  <si>
    <t>MPO II</t>
  </si>
  <si>
    <t>MEDY JOSE</t>
  </si>
  <si>
    <t>MOSADAS</t>
  </si>
  <si>
    <t>OSEC-DICTB-MPO2-6-2020</t>
  </si>
  <si>
    <t>ANDRES</t>
  </si>
  <si>
    <t>RENE</t>
  </si>
  <si>
    <t>RABAGO</t>
  </si>
  <si>
    <t>09759165466</t>
  </si>
  <si>
    <t>OSEC-DICTB-ECET1-16-2018</t>
  </si>
  <si>
    <t>BERMEJO</t>
  </si>
  <si>
    <t>ALVIN</t>
  </si>
  <si>
    <t>09068543919</t>
  </si>
  <si>
    <t>OSEC-DICTB-ECET1-12-2018</t>
  </si>
  <si>
    <t>Admin Aide IV/Driver II</t>
  </si>
  <si>
    <t>4-1</t>
  </si>
  <si>
    <t>NODEL</t>
  </si>
  <si>
    <t>MEMAN</t>
  </si>
  <si>
    <t>OSEC-DICTB-ADA4-12-2018</t>
  </si>
  <si>
    <t>FUGABAN</t>
  </si>
  <si>
    <t>PABLO</t>
  </si>
  <si>
    <t>GERALDO</t>
  </si>
  <si>
    <t>9179094468</t>
  </si>
  <si>
    <t>OSEC-DICTB-ADA4-7-2018</t>
  </si>
  <si>
    <t>MARK JOHN</t>
  </si>
  <si>
    <t>Cudiamat</t>
  </si>
  <si>
    <t>09171202474</t>
  </si>
  <si>
    <t>markjohn.tumaliuan@dict.gov.ph</t>
  </si>
  <si>
    <t xml:space="preserve">COTERMINOUS
</t>
  </si>
  <si>
    <t>LINEMAN 1</t>
  </si>
  <si>
    <t>3-8</t>
  </si>
  <si>
    <t>BAYLON</t>
  </si>
  <si>
    <t>JOAQUIN</t>
  </si>
  <si>
    <t>BAUTISTA</t>
  </si>
  <si>
    <t>09558311790 / 09155283726</t>
  </si>
  <si>
    <t>OSEC-DICTB-LMAN-1-115-2020</t>
  </si>
  <si>
    <t>ROSAL</t>
  </si>
  <si>
    <t>JOSEPH</t>
  </si>
  <si>
    <t>C</t>
  </si>
  <si>
    <t>Engineer III</t>
  </si>
  <si>
    <t>CONTRACT OF SERVICE</t>
  </si>
  <si>
    <t>Eligibility</t>
  </si>
  <si>
    <t>Actual Date Started</t>
  </si>
  <si>
    <t>SALARY + 20%</t>
  </si>
  <si>
    <t>LAST NAME</t>
  </si>
  <si>
    <t>EMAIL</t>
  </si>
  <si>
    <t>1</t>
  </si>
  <si>
    <t>INFORMATION SYSTEM ANALYST  III</t>
  </si>
  <si>
    <t>PECSON</t>
  </si>
  <si>
    <t>MARICAR</t>
  </si>
  <si>
    <t>SORIANO</t>
  </si>
  <si>
    <t>maricar.pecson@dict.gov.ph</t>
  </si>
  <si>
    <t>e-LGU</t>
  </si>
  <si>
    <t>RA 1080 Electronics Engineer - 79.7%</t>
  </si>
  <si>
    <t>RECOLIZADO</t>
  </si>
  <si>
    <t>JAYMAR</t>
  </si>
  <si>
    <t>CORSINO</t>
  </si>
  <si>
    <t>jaymar.recolizado@dict.gov.ph</t>
  </si>
  <si>
    <t>ELGU</t>
  </si>
  <si>
    <t>CSC Prof
Honor Graduate Eligibility
LPT Passer
Electronic Data Processing Specialist Eligibility (EDPSE) Computer Programmer
Driver's License</t>
  </si>
  <si>
    <t>c</t>
  </si>
  <si>
    <t>PLANNING OFFICER 1</t>
  </si>
  <si>
    <t>11-1</t>
  </si>
  <si>
    <t>JEI ARISTON</t>
  </si>
  <si>
    <t>CASTILLO</t>
  </si>
  <si>
    <t xml:space="preserve">jeiariston.jimenez@dict.gov.ph </t>
  </si>
  <si>
    <t>NIPPSB</t>
  </si>
  <si>
    <t>CSC Prof -  81.32%
RA 1080 LPT 78%
Driver's License</t>
  </si>
  <si>
    <t>Engineer II</t>
  </si>
  <si>
    <t>16-1</t>
  </si>
  <si>
    <t>CEPEDA</t>
  </si>
  <si>
    <t>CYRILL SHANE</t>
  </si>
  <si>
    <t>TAGUIAM</t>
  </si>
  <si>
    <t>FREE WIFI</t>
  </si>
  <si>
    <t>RA 1080 ECE</t>
  </si>
  <si>
    <t>ENGINEER II</t>
  </si>
  <si>
    <t>LANGCAY</t>
  </si>
  <si>
    <t>MICHAEL ANGELO</t>
  </si>
  <si>
    <t>GECS</t>
  </si>
  <si>
    <t>INFORMATION SYSTEM ANALYS II</t>
  </si>
  <si>
    <t>MADDELA</t>
  </si>
  <si>
    <t>KARL STEVEN</t>
  </si>
  <si>
    <t>ADALEM</t>
  </si>
  <si>
    <t>karlsteven.maddela@dict.gov.ph</t>
  </si>
  <si>
    <t>CS Prof</t>
  </si>
  <si>
    <t>TOMAS</t>
  </si>
  <si>
    <t>BRYAN</t>
  </si>
  <si>
    <t>HIDALGO</t>
  </si>
  <si>
    <t>RA 1080 Electronics Engineer - 79.7%
Professional Driver's License</t>
  </si>
  <si>
    <t>PROJECT DEVELOPMENT OFFICER 2</t>
  </si>
  <si>
    <t>CASUGA</t>
  </si>
  <si>
    <t>RICA</t>
  </si>
  <si>
    <t>VALENTINO</t>
  </si>
  <si>
    <t>ILCDB</t>
  </si>
  <si>
    <t>GUIMMAYEN</t>
  </si>
  <si>
    <t>NEIL KRISTOPHER</t>
  </si>
  <si>
    <t>CONEL</t>
  </si>
  <si>
    <t>ADMIN OFFICER II</t>
  </si>
  <si>
    <t>KIMBERLY ANN</t>
  </si>
  <si>
    <t>BANATAO</t>
  </si>
  <si>
    <t>kimberly.calayan@dict.gov.ph</t>
  </si>
  <si>
    <t>MOOE</t>
  </si>
  <si>
    <t>CSC Prof - 80.8%</t>
  </si>
  <si>
    <t>ANAPI</t>
  </si>
  <si>
    <t>DEEJAY</t>
  </si>
  <si>
    <t>GATAN</t>
  </si>
  <si>
    <t>deejay.anapi@dict.gov.ph</t>
  </si>
  <si>
    <t>Tech4ED-DTC</t>
  </si>
  <si>
    <t>LPT</t>
  </si>
  <si>
    <t>GALOLO</t>
  </si>
  <si>
    <t>LEAH</t>
  </si>
  <si>
    <t>GALAROSSA</t>
  </si>
  <si>
    <t>6/12/0980</t>
  </si>
  <si>
    <t>leah.galolo@dict.gov.ph</t>
  </si>
  <si>
    <t>FREE WI-FI</t>
  </si>
  <si>
    <t>CSC Prof 81.89%</t>
  </si>
  <si>
    <t>CATINOY</t>
  </si>
  <si>
    <t>JANET</t>
  </si>
  <si>
    <t>Tunque</t>
  </si>
  <si>
    <t>janet.catinoy@dict.gov.ph</t>
  </si>
  <si>
    <t>Philippine Registered Electronics Engineer - 74.4% 
Philippine Registered Electronics - 75%
Safety Officer II - 82%</t>
  </si>
  <si>
    <t>GARCIA</t>
  </si>
  <si>
    <t>JEANNE SHANNON</t>
  </si>
  <si>
    <t>ORIAL</t>
  </si>
  <si>
    <t>jeanne.garcia@dict.gov.ph</t>
  </si>
  <si>
    <t>LPT - 85.4%</t>
  </si>
  <si>
    <t>ROEL</t>
  </si>
  <si>
    <t>URSUA</t>
  </si>
  <si>
    <t>roel.jimenez@dict.gov.ph</t>
  </si>
  <si>
    <t>ADMIN OFFICER II (HRMO I)</t>
  </si>
  <si>
    <t>BAQUIRAN</t>
  </si>
  <si>
    <t>MAR ELVISON</t>
  </si>
  <si>
    <t>Angobung</t>
  </si>
  <si>
    <t>mar.baquiran@dict.gov.ph</t>
  </si>
  <si>
    <t>CSC Prof - 82.05%</t>
  </si>
  <si>
    <t>JOSE</t>
  </si>
  <si>
    <t>DAN MARK</t>
  </si>
  <si>
    <t>Rillera</t>
  </si>
  <si>
    <t>danmark.jose@dict.gov.ph</t>
  </si>
  <si>
    <t>GovNet</t>
  </si>
  <si>
    <t>RA 1080 Electronics Engineer - 71.3%
RA 1080 Electronic Technician - 71%
Professional Driver's License</t>
  </si>
  <si>
    <t>PLANNING OFFICER II</t>
  </si>
  <si>
    <t>RAFER</t>
  </si>
  <si>
    <t>YANCEE KEARVIN KYLE</t>
  </si>
  <si>
    <t>AQUINO</t>
  </si>
  <si>
    <t>kyle.rafer@dict.gov.ph</t>
  </si>
  <si>
    <t>INFORMATION SYSTEM ANALYST I</t>
  </si>
  <si>
    <t>DIETHER</t>
  </si>
  <si>
    <t>ALBANO</t>
  </si>
  <si>
    <t>diether.abad@dict.gov.ph</t>
  </si>
  <si>
    <t>Honor Graduate Eligibility</t>
  </si>
  <si>
    <t>NUNAG</t>
  </si>
  <si>
    <t>LAWRENCE JAY</t>
  </si>
  <si>
    <t>MARALLAG</t>
  </si>
  <si>
    <t>lawrence.nunag@dict.gov.ph</t>
  </si>
  <si>
    <t>NUNAG, LAWRENCE JAY M</t>
  </si>
  <si>
    <t>PROJECT DEVELOPMENT OFFICER 1</t>
  </si>
  <si>
    <t>VALDEZ</t>
  </si>
  <si>
    <t>MARIA KRISTINE</t>
  </si>
  <si>
    <t>TAGUINOD</t>
  </si>
  <si>
    <t>SAGAYDORO</t>
  </si>
  <si>
    <t>SHERYL</t>
  </si>
  <si>
    <t>sheryl.sagaydoro@dict.gov.ph</t>
  </si>
  <si>
    <t>Electronics and Communications Engineering - 78%</t>
  </si>
  <si>
    <t>JONATHAN</t>
  </si>
  <si>
    <t>FERNANDEZ</t>
  </si>
  <si>
    <t>931 831 4438</t>
  </si>
  <si>
    <t>jonathan.delrosario@dict.gov.ph</t>
  </si>
  <si>
    <t>CSC Porf - 80.97%</t>
  </si>
  <si>
    <t>DAWIDEO</t>
  </si>
  <si>
    <t>SAMANTHA</t>
  </si>
  <si>
    <t>PAYUKET</t>
  </si>
  <si>
    <t>samantha.dawideo@dict.gov.ph</t>
  </si>
  <si>
    <t>IIDB</t>
  </si>
  <si>
    <t>CSC Prof - 80.13%
Honor Graduate Eligibility</t>
  </si>
  <si>
    <t>JULIUS CEZAR</t>
  </si>
  <si>
    <t>CALIGUIRAN</t>
  </si>
  <si>
    <t>juliuscezar.baquiran@dict.gov.ph</t>
  </si>
  <si>
    <t>CSC Prof -  80.6%</t>
  </si>
  <si>
    <t>ADMIN AIDE IV</t>
  </si>
  <si>
    <t>SANTOS</t>
  </si>
  <si>
    <t>IVANN PAUL</t>
  </si>
  <si>
    <t>MATIAS</t>
  </si>
  <si>
    <t>ivannpaul.santos@dict.gov.ph</t>
  </si>
  <si>
    <t>None</t>
  </si>
  <si>
    <t>BACKIAWAN</t>
  </si>
  <si>
    <t>DEBORA</t>
  </si>
  <si>
    <t>PIDO</t>
  </si>
  <si>
    <t>debora.backiawan@dict.gov.ph</t>
  </si>
  <si>
    <t>BUDGET OFFICER I</t>
  </si>
  <si>
    <t>PRUDENCIADO</t>
  </si>
  <si>
    <t>JENNY</t>
  </si>
  <si>
    <t>SALA</t>
  </si>
  <si>
    <t>09265077141</t>
  </si>
  <si>
    <t>jenny.prudenciado@dict.gov.ph</t>
  </si>
  <si>
    <t>CSC Prof</t>
  </si>
  <si>
    <t>ADMIN OFFICER I (SUPPLY OFFICER I)</t>
  </si>
  <si>
    <t>10-1</t>
  </si>
  <si>
    <t>ARGONZA</t>
  </si>
  <si>
    <t>EDWARK MARK</t>
  </si>
  <si>
    <t>DELOS SANTOS</t>
  </si>
  <si>
    <t>edwardmark.argonza@dict.gov.ph</t>
  </si>
  <si>
    <t>ABBAS</t>
  </si>
  <si>
    <t>ALISON AHMAD</t>
  </si>
  <si>
    <t>LLAUDERES</t>
  </si>
  <si>
    <t>alison.abbas@dict.gov.ph</t>
  </si>
  <si>
    <t>ABBAS, ALISON AHMAD L.</t>
  </si>
  <si>
    <t>Admin Assistant II (Admin Asst.)</t>
  </si>
  <si>
    <t>8-1</t>
  </si>
  <si>
    <t>MONTES</t>
  </si>
  <si>
    <t>MARIZA NOVA</t>
  </si>
  <si>
    <t>MIRANDA</t>
  </si>
  <si>
    <t>mariza.montes@dict.gov.ph</t>
  </si>
  <si>
    <t>ADMIN OFFICER I (RECORDS OFFICER I)</t>
  </si>
  <si>
    <t>TABUG</t>
  </si>
  <si>
    <t>SHEREEN</t>
  </si>
  <si>
    <t>JUNGCO</t>
  </si>
  <si>
    <t>shereen.tabug@dict.gov.ph</t>
  </si>
  <si>
    <t>CS Prof
LPT</t>
  </si>
  <si>
    <t>USMAN</t>
  </si>
  <si>
    <t>MOHAMADNOR</t>
  </si>
  <si>
    <t>GURO</t>
  </si>
  <si>
    <t>mohamadnor.usman@dict.gov.ph</t>
  </si>
  <si>
    <t>USMAN, MOHAMADNOR G</t>
  </si>
  <si>
    <t>COMPUTER MAINTENANCE TECHNOLOGIST II</t>
  </si>
  <si>
    <t>GUIM</t>
  </si>
  <si>
    <t>ARIES ANTHONY</t>
  </si>
  <si>
    <t>FUGGAY</t>
  </si>
  <si>
    <t>aries.guim@dict.gov.ph</t>
  </si>
  <si>
    <t>MISS</t>
  </si>
  <si>
    <t>GUIM, ARIES ANTHONY F</t>
  </si>
  <si>
    <t>ADMIN AIDE IV (DRIVER II)</t>
  </si>
  <si>
    <t>LIM</t>
  </si>
  <si>
    <t>NARDO</t>
  </si>
  <si>
    <t>ABARRA</t>
  </si>
  <si>
    <t>nardo.lim@dict.gov.ph</t>
  </si>
  <si>
    <t>ADMIN OFFICER I (CASHIER I)</t>
  </si>
  <si>
    <t>LEONOR</t>
  </si>
  <si>
    <t>JUANDAY</t>
  </si>
  <si>
    <t>leonor.tumaliuan@dict.gov.ph</t>
  </si>
  <si>
    <t>Board Passer
NAPOLCOM</t>
  </si>
  <si>
    <t>LAGGUI</t>
  </si>
  <si>
    <t>ARJAY NINO</t>
  </si>
  <si>
    <t>AGUB</t>
  </si>
  <si>
    <t>arjay.laggui@dict.gov.ph</t>
  </si>
  <si>
    <t>ALILAM</t>
  </si>
  <si>
    <t>LEO JAY</t>
  </si>
  <si>
    <t>LORENZO</t>
  </si>
  <si>
    <t>leo.alilam@dict.gov.ph</t>
  </si>
  <si>
    <t>PNPKI</t>
  </si>
  <si>
    <t>CAPILI</t>
  </si>
  <si>
    <t>CHRISTOPHER ELEESON</t>
  </si>
  <si>
    <t>LARGADO</t>
  </si>
  <si>
    <t>christopher.capili@dictgov.ph</t>
  </si>
  <si>
    <t xml:space="preserve">Electronics and Communications Engineering </t>
  </si>
  <si>
    <t>Engineer I</t>
  </si>
  <si>
    <t>MENDOZA</t>
  </si>
  <si>
    <t>CZYIONE DAYL</t>
  </si>
  <si>
    <t>ASUNCION</t>
  </si>
  <si>
    <t>cyzione.mendoza@dict.gov.ph</t>
  </si>
  <si>
    <t>PLANNING ASSISSTANT I</t>
  </si>
  <si>
    <t>MAYLANIE</t>
  </si>
  <si>
    <t>ORDOÑO</t>
  </si>
  <si>
    <t>maylanie.maggay@dict.gov.ph</t>
  </si>
  <si>
    <t xml:space="preserve">Board Passer
</t>
  </si>
  <si>
    <t>SUYU</t>
  </si>
  <si>
    <t>KYLE RUZZEL</t>
  </si>
  <si>
    <t>CARONAN</t>
  </si>
  <si>
    <t>kyle.suyu@dict.gov.ph</t>
  </si>
  <si>
    <t>Procurement Management Officer I</t>
  </si>
  <si>
    <t>NUVAL</t>
  </si>
  <si>
    <t>VLADIMIR VIKTOR</t>
  </si>
  <si>
    <t>GACUTAN</t>
  </si>
  <si>
    <t>vladimir.nuval@dict.gov.ph</t>
  </si>
  <si>
    <t xml:space="preserve">Admin Aide IV </t>
  </si>
  <si>
    <t>DECAPIA</t>
  </si>
  <si>
    <t>MARIO JR</t>
  </si>
  <si>
    <t>ANTONIO</t>
  </si>
  <si>
    <t>mario.decapia@dict.gov.ph</t>
  </si>
  <si>
    <t>SEGURITAN</t>
  </si>
  <si>
    <t>DARLENE JOY</t>
  </si>
  <si>
    <t>BASSIG</t>
  </si>
  <si>
    <t>CALDEZ</t>
  </si>
  <si>
    <t>CHRISTIAN LAZARO</t>
  </si>
  <si>
    <t>VIMS</t>
  </si>
  <si>
    <t>NATIVIDAD</t>
  </si>
  <si>
    <t>HERLYN KAYE</t>
  </si>
  <si>
    <t>CALDITO</t>
  </si>
  <si>
    <t>BILOG</t>
  </si>
  <si>
    <t>JAYSON</t>
  </si>
  <si>
    <t>TOLEDA</t>
  </si>
  <si>
    <t>EXEN</t>
  </si>
  <si>
    <t>BANTIYAN</t>
  </si>
  <si>
    <t>11/14/1195</t>
  </si>
  <si>
    <t>BANAN</t>
  </si>
  <si>
    <t>RICO</t>
  </si>
  <si>
    <t>GUMARANG</t>
  </si>
  <si>
    <t>GUILLERMO</t>
  </si>
  <si>
    <t>MARC IVAN</t>
  </si>
  <si>
    <t>DIZON</t>
  </si>
  <si>
    <t>URDILLAS</t>
  </si>
  <si>
    <t>JOYCE ANN</t>
  </si>
  <si>
    <t>PADER</t>
  </si>
  <si>
    <t>CIPRIANO</t>
  </si>
  <si>
    <t>VALERIE</t>
  </si>
  <si>
    <t>CMT</t>
  </si>
  <si>
    <t>Transferred to Region 3</t>
  </si>
  <si>
    <t>ENGINEER III</t>
  </si>
  <si>
    <t>MARTENSEN</t>
  </si>
  <si>
    <t>STEFFAN DALE DEAN</t>
  </si>
  <si>
    <t>GARINGAN</t>
  </si>
  <si>
    <t>CUDIAMAT</t>
  </si>
  <si>
    <t>Planning Officer II</t>
  </si>
  <si>
    <t>Project Development Officer II</t>
  </si>
  <si>
    <t>Project Development Officer I</t>
  </si>
  <si>
    <t>darlenejoy.seguritan@dict.gov.ph</t>
  </si>
  <si>
    <t>christian.caldez@dict.gov.ph</t>
  </si>
  <si>
    <t>herlynkaye.natividad@dict.gov.ph</t>
  </si>
  <si>
    <t>maelijah.pilotin@dict.gov.ph</t>
  </si>
  <si>
    <t>exen.claro@dict.gov.ph</t>
  </si>
  <si>
    <t>rito.banan@dict.gov.ph</t>
  </si>
  <si>
    <t>marcivan.guillermo@dict.gov.ph</t>
  </si>
  <si>
    <t>joyrceanne.urdillas@dict.gov.ph</t>
  </si>
  <si>
    <t>Engineeer I</t>
  </si>
  <si>
    <t>glenard.martin@dict.gov.ph</t>
  </si>
  <si>
    <t>Monthly Salary</t>
  </si>
  <si>
    <t>Annual Salary</t>
  </si>
  <si>
    <t>Other Benefits</t>
  </si>
  <si>
    <t>PERA</t>
  </si>
  <si>
    <t>Mid Year Bonus</t>
  </si>
  <si>
    <t>Year End Bonus</t>
  </si>
  <si>
    <t>Clothing Allowance</t>
  </si>
  <si>
    <t>RATA(Annual)</t>
  </si>
  <si>
    <t>REGIONAL OFFICE 02</t>
  </si>
  <si>
    <t>STATUS</t>
  </si>
  <si>
    <t>Basic Salary</t>
  </si>
  <si>
    <t>20%</t>
  </si>
  <si>
    <t>Basic Salary+20%</t>
  </si>
  <si>
    <t>EMAIL ADRRESS</t>
  </si>
  <si>
    <t>JO</t>
  </si>
  <si>
    <t>MARIA KRISTINE T. VALDEZ</t>
  </si>
  <si>
    <t>09760231578</t>
  </si>
  <si>
    <t>EDISON S. AGAOID</t>
  </si>
  <si>
    <t>09062040935</t>
  </si>
  <si>
    <t>Training Specialist I</t>
  </si>
  <si>
    <t>RICA V.CASUGA</t>
  </si>
  <si>
    <t>09615060035</t>
  </si>
  <si>
    <t xml:space="preserve">CHRISTINE V. JOYCE </t>
  </si>
  <si>
    <t>JONATHAN F. DEL ROSARIO</t>
  </si>
  <si>
    <t>SAMANTHA P. DAWIDEO</t>
  </si>
  <si>
    <t>GUITIERREZ</t>
  </si>
  <si>
    <t>GAEL</t>
  </si>
  <si>
    <t>DJPH</t>
  </si>
  <si>
    <t>JAYFER T. AMMASI</t>
  </si>
  <si>
    <t>MALVAS</t>
  </si>
  <si>
    <t>RITZ ANDREI</t>
  </si>
  <si>
    <t>IMBIEN</t>
  </si>
  <si>
    <t>RITZ ANDREI I. MALVAS</t>
  </si>
  <si>
    <t>9451424077/09354182172</t>
  </si>
  <si>
    <t>KIMBERLY ANN B. CALAYAN</t>
  </si>
  <si>
    <t>9556652398</t>
  </si>
  <si>
    <t>GOVNET</t>
  </si>
  <si>
    <t>JOHNY C. BATANG</t>
  </si>
  <si>
    <t>09750721939 / 09508598452</t>
  </si>
  <si>
    <t>CYRILL SHANE T.CEPEDA</t>
  </si>
  <si>
    <t>CEPEDA, CYRILL SHANE T.</t>
  </si>
  <si>
    <t>09176382689</t>
  </si>
  <si>
    <t>JOEY MARK D. ELCHICO</t>
  </si>
  <si>
    <t>ELCHICO, JOEY MARK D.</t>
  </si>
  <si>
    <t>Training Specialist II</t>
  </si>
  <si>
    <t>STEFFAN DALE DEAN G. MARTENSEN</t>
  </si>
  <si>
    <t>MARTENSEN, STEFFAN DALE DEAN G.</t>
  </si>
  <si>
    <t>09151332084</t>
  </si>
  <si>
    <t>VILLANUEVA</t>
  </si>
  <si>
    <t>IANJOEY</t>
  </si>
  <si>
    <t>SAJONIA</t>
  </si>
  <si>
    <t>IANJOEY S. VILLANUEVA</t>
  </si>
  <si>
    <t>VILLANUEVA, IANJOEY S.</t>
  </si>
  <si>
    <t>09054003193</t>
  </si>
  <si>
    <t>NORA</t>
  </si>
  <si>
    <t>NICHOLAI CHRISTOPHER</t>
  </si>
  <si>
    <t>BAXA</t>
  </si>
  <si>
    <t>NICHOLAI CHRISTOPHER B. NORA</t>
  </si>
  <si>
    <t>NORA, NICHOLAI CHRISTOPHER B.</t>
  </si>
  <si>
    <t>09999856634</t>
  </si>
  <si>
    <t>NEIL KRISTOPHER C. GUIMMAYEN</t>
  </si>
  <si>
    <t>GUIMMAYEN, NEIL KRISTOPHER C.</t>
  </si>
  <si>
    <t>09178749200</t>
  </si>
  <si>
    <t>BRYAN H. TOMAS</t>
  </si>
  <si>
    <t>TOMAS, BRYAN H.</t>
  </si>
  <si>
    <t>09179359842</t>
  </si>
  <si>
    <t>Procurement Mgmt. Officer I</t>
  </si>
  <si>
    <t>MARIN</t>
  </si>
  <si>
    <t>DANNY</t>
  </si>
  <si>
    <t>DELA CRUZ</t>
  </si>
  <si>
    <t>DANNY D. MARIN</t>
  </si>
  <si>
    <t>MARIN, DANNY D.</t>
  </si>
  <si>
    <t>09281925623</t>
  </si>
  <si>
    <t>danny.marin@dict.gov.ph</t>
  </si>
  <si>
    <t>PLO 2</t>
  </si>
  <si>
    <t>CALALO</t>
  </si>
  <si>
    <t>IAN MARCO</t>
  </si>
  <si>
    <t>CALIMAG</t>
  </si>
  <si>
    <t>IAN MARCO C. CALALO</t>
  </si>
  <si>
    <t>9178797767</t>
  </si>
  <si>
    <t>ian.calalo@dict.gov.ph</t>
  </si>
  <si>
    <t>PMO 1</t>
  </si>
  <si>
    <t>A</t>
  </si>
  <si>
    <t>MAR ELVISON A. BAQUIRAN</t>
  </si>
  <si>
    <t>TUNGUE</t>
  </si>
  <si>
    <t>JANET T. CATINOY</t>
  </si>
  <si>
    <t>DRRM</t>
  </si>
  <si>
    <t>MICHAEL ANGELO R. LANGCAY</t>
  </si>
  <si>
    <t>09369711046</t>
  </si>
  <si>
    <t>EBPLS/IBPLS</t>
  </si>
  <si>
    <t>ISA II</t>
  </si>
  <si>
    <t>BAGUILAT</t>
  </si>
  <si>
    <t>EVENCE MICHAEL</t>
  </si>
  <si>
    <t>CANDELARIA</t>
  </si>
  <si>
    <t>EVENCE MICHAEL C. BAGUILAT</t>
  </si>
  <si>
    <t>09361930988</t>
  </si>
  <si>
    <t>ELPIDIO JR</t>
  </si>
  <si>
    <t>DAUAG</t>
  </si>
  <si>
    <t>ELPIDIO D. CARONAN, JR.</t>
  </si>
  <si>
    <t>09361071128</t>
  </si>
  <si>
    <t>TRINIDAD</t>
  </si>
  <si>
    <t>LYNDON</t>
  </si>
  <si>
    <t>BUMALIN</t>
  </si>
  <si>
    <t>LYNDON B. TRINIDAD</t>
  </si>
  <si>
    <t>JOHN WESLEY</t>
  </si>
  <si>
    <t>AGRAVE</t>
  </si>
  <si>
    <t>JOHN WESLEY A. VALENTINO</t>
  </si>
  <si>
    <t>09269562053</t>
  </si>
  <si>
    <t>DTC</t>
  </si>
  <si>
    <t>15</t>
  </si>
  <si>
    <t>SHERYL N. SAGAYDORO</t>
  </si>
  <si>
    <t>DEEJAY G. ANAPI</t>
  </si>
  <si>
    <t>JEANNE SHANNON O. GARCIA</t>
  </si>
  <si>
    <t>JAYMAR C. RECOLIZADO</t>
  </si>
  <si>
    <t>RILLERA</t>
  </si>
  <si>
    <t>DAN MARK R. JOSE</t>
  </si>
  <si>
    <t>MARK JOHN C. TUMALIUAN</t>
  </si>
  <si>
    <t>PLANTILLA ITEM NUMBER</t>
  </si>
  <si>
    <t>DESIGNATION</t>
  </si>
  <si>
    <t>ADDITIONAL FUNCTIONS</t>
  </si>
  <si>
    <t>SALARY 120%</t>
  </si>
  <si>
    <t>CP NUMBER</t>
  </si>
  <si>
    <t>email address</t>
  </si>
  <si>
    <t>LAST</t>
  </si>
  <si>
    <t>FIRST</t>
  </si>
  <si>
    <t>MIDDLE</t>
  </si>
  <si>
    <t>REGIONAL OFFICE</t>
  </si>
  <si>
    <t>AFD</t>
  </si>
  <si>
    <t>ORGANIC</t>
  </si>
  <si>
    <t>TECH4ED DTC</t>
  </si>
  <si>
    <t>Accountant</t>
  </si>
  <si>
    <t>Budget</t>
  </si>
  <si>
    <t>HR</t>
  </si>
  <si>
    <t>Cashier</t>
  </si>
  <si>
    <t>17,269.00</t>
  </si>
  <si>
    <t>09974538200</t>
  </si>
  <si>
    <t>SDO</t>
  </si>
  <si>
    <t>BLDG. MAINTENANCE/LIAISON OFFICER</t>
  </si>
  <si>
    <t>14,993.00</t>
  </si>
  <si>
    <t>09179094468</t>
  </si>
  <si>
    <t>SUPPLY OFFICER</t>
  </si>
  <si>
    <t>4 TOWERS</t>
  </si>
  <si>
    <t>21,093.00</t>
  </si>
  <si>
    <t>09066965466</t>
  </si>
  <si>
    <t>RADIO</t>
  </si>
  <si>
    <t>UTILITY/BLDG. MAINTENANCE</t>
  </si>
  <si>
    <t>20,918.00</t>
  </si>
  <si>
    <t>09257314840</t>
  </si>
  <si>
    <t>AFD ASST.</t>
  </si>
  <si>
    <t>BLDG. MAINTENANCE/FREE WIFI/CONNECTIVITY SUPPORT</t>
  </si>
  <si>
    <t>09978925329</t>
  </si>
  <si>
    <t>Admin Aide IV/Driver</t>
  </si>
  <si>
    <t>DRIVER</t>
  </si>
  <si>
    <t>BLDG. &amp; VEHICLE MAINTENANCE/PROJECT SUPPORT</t>
  </si>
  <si>
    <t>09364432341</t>
  </si>
  <si>
    <t>Admin Aide IV./Driver II</t>
  </si>
  <si>
    <t>BLDG. MAINTENANCE</t>
  </si>
  <si>
    <t>JOB ORDER</t>
  </si>
  <si>
    <t>Admin Officer II</t>
  </si>
  <si>
    <t>ACCOUNTING STAFF</t>
  </si>
  <si>
    <t>COS</t>
  </si>
  <si>
    <t>30, 526.80</t>
  </si>
  <si>
    <t>Admin Officer II (HRMO)</t>
  </si>
  <si>
    <t>BAC SEC MEMBER/ADMIN STAFF/GECS</t>
  </si>
  <si>
    <t>ANGOBONG</t>
  </si>
  <si>
    <t>Budget Officer</t>
  </si>
  <si>
    <t>Admin Officer I (Supply Officer I)</t>
  </si>
  <si>
    <t>PROJECT SUPPORT</t>
  </si>
  <si>
    <t>EDWARD MARK</t>
  </si>
  <si>
    <t>FEMALE</t>
  </si>
  <si>
    <t xml:space="preserve"> 11-1</t>
  </si>
  <si>
    <t>Admin Officer I (Records Officer I)</t>
  </si>
  <si>
    <t>HR STAFF</t>
  </si>
  <si>
    <t>Admin Officer I (Cashier I)</t>
  </si>
  <si>
    <t>Admin Asst II (Acctg Clerk)</t>
  </si>
  <si>
    <t>Admin Aide IV</t>
  </si>
  <si>
    <t>IVAN PAUL</t>
  </si>
  <si>
    <t>TOD</t>
  </si>
  <si>
    <t>69,963.00</t>
  </si>
  <si>
    <t>09178095588</t>
  </si>
  <si>
    <t>Engineer</t>
  </si>
  <si>
    <t>ITO</t>
  </si>
  <si>
    <t>Driver</t>
  </si>
  <si>
    <t>7S/ADMIN STAFF/CONNECTIVITY</t>
  </si>
  <si>
    <t>Free Wi-fi</t>
  </si>
  <si>
    <t>ORD/INTERNAL COMMUNICATION/GECS</t>
  </si>
  <si>
    <t>TUNQUE</t>
  </si>
  <si>
    <t xml:space="preserve"> 15-1</t>
  </si>
  <si>
    <t>BAC SEC MEMBER/ARTA/INSPECTION AND ACCEPTANCE COMMITTEE MEMBER/GECS</t>
  </si>
  <si>
    <t>INVENTORY/7S/CANVASSER/CONNECTIVITY</t>
  </si>
  <si>
    <t>MALE</t>
  </si>
  <si>
    <t xml:space="preserve"> 16-1</t>
  </si>
  <si>
    <t>INVENTORY/7S/ASSO/CONNECTIVITY</t>
  </si>
  <si>
    <t>PDO 2</t>
  </si>
  <si>
    <t>COMMUNICATION/ADMIN STAFF</t>
  </si>
  <si>
    <t>ICT PROF EXAM PROCTOR/CANVASSER/TECH SUPPORT/GECS</t>
  </si>
  <si>
    <t>ADMIN/VIMS/EVENT SUPPORT</t>
  </si>
  <si>
    <t>Computer Maintenance Technologist II</t>
  </si>
  <si>
    <t>PDO I</t>
  </si>
  <si>
    <t>PLO 1</t>
  </si>
  <si>
    <t>PMO I</t>
  </si>
  <si>
    <t>BATANES</t>
  </si>
  <si>
    <t>CPO/iBPLS</t>
  </si>
  <si>
    <t>DRRM/GSO/BAC</t>
  </si>
  <si>
    <t>RONALD</t>
  </si>
  <si>
    <t>09286844397</t>
  </si>
  <si>
    <t>CANO</t>
  </si>
  <si>
    <t>17,806.00</t>
  </si>
  <si>
    <t>09618513950</t>
  </si>
  <si>
    <t>ILCDB/DEPUTY PO/COMMUNICATIONS</t>
  </si>
  <si>
    <t>PDO II</t>
  </si>
  <si>
    <t>CAGAYAN</t>
  </si>
  <si>
    <t>BPO/CONNECTIVITY</t>
  </si>
  <si>
    <t>SAFETY OFFICER/BAC-TWG/DRRM/ INSPECTION AND ACCEPTANCE COMMITTEE</t>
  </si>
  <si>
    <t>ROGELIO</t>
  </si>
  <si>
    <t>8 TOWERS</t>
  </si>
  <si>
    <t>2 TOWERS</t>
  </si>
  <si>
    <t>RO BM/WIFI/GOVNET/DTC</t>
  </si>
  <si>
    <t>09277964522</t>
  </si>
  <si>
    <t>BLDG. &amp; VEHICLE MAINTENANCE/CONNECTIVITY SUPPORT</t>
  </si>
  <si>
    <t>ISA III</t>
  </si>
  <si>
    <t>CYBERSECURITY/WEB DEV</t>
  </si>
  <si>
    <t>Free Wifi</t>
  </si>
  <si>
    <t>PDO 1</t>
  </si>
  <si>
    <t>ISABELA-CAUAYAN CITY</t>
  </si>
  <si>
    <t>IPO/CYBER/PNPKI</t>
  </si>
  <si>
    <t>iBPLS/BAC/NSPECTION AND ACCEPTANCE COMMITTEE MEMBER</t>
  </si>
  <si>
    <t>DRIVER/2 TOWERS</t>
  </si>
  <si>
    <t>CANVASSER/BLDG. MAINTENANCE</t>
  </si>
  <si>
    <t>09263959017</t>
  </si>
  <si>
    <t>RECORDS OFFICER/PR</t>
  </si>
  <si>
    <t>LIAISON OFFICER/BLDG. MAINTENANCE/PROJECT SUPPORT</t>
  </si>
  <si>
    <t>1 TOWER/PAYROLL CLERK</t>
  </si>
  <si>
    <t>CEO I</t>
  </si>
  <si>
    <t>TECH AND EVENT SUPPORT/FW/COMMUNICATION</t>
  </si>
  <si>
    <t>EVENT SUPPORT/ADMIN/PROCUREMENT SUPPORT/COMMUNICATION</t>
  </si>
  <si>
    <t>ISABELA-SANTIAGO CITY</t>
  </si>
  <si>
    <t>RECORDS OFFICER</t>
  </si>
  <si>
    <t>BLDG. MAINTENANCE/PROJECT SUPPORT</t>
  </si>
  <si>
    <t>21,626.00</t>
  </si>
  <si>
    <t>09365445403</t>
  </si>
  <si>
    <t>WEB DEV/EVENT SUPPORT</t>
  </si>
  <si>
    <t>QUIRINO</t>
  </si>
  <si>
    <t>ISA</t>
  </si>
  <si>
    <t>09676728284</t>
  </si>
  <si>
    <t>MPO II (QUIRINO/SANTIAGO)</t>
  </si>
  <si>
    <t>ADMIN/WEB DEV</t>
  </si>
  <si>
    <t>PLA</t>
  </si>
  <si>
    <t>NUEVA VIZCAYA-BAYOMBONG</t>
  </si>
  <si>
    <t>UTILITY</t>
  </si>
  <si>
    <t>NVPO/QAPO</t>
  </si>
  <si>
    <t>IIDB/BAC/GAD/VIMS/WEB DEV</t>
  </si>
  <si>
    <t>27,608.00</t>
  </si>
  <si>
    <t>09672488708</t>
  </si>
  <si>
    <t>WEB DEV/COMMUNICATION/RP/EVENT SUPPORT</t>
  </si>
  <si>
    <t>ZIPAGAN</t>
  </si>
  <si>
    <t>ANGOBUNG</t>
  </si>
  <si>
    <t>#</t>
  </si>
  <si>
    <t>Communication Equipment Operator III</t>
  </si>
  <si>
    <t xml:space="preserve"> 9-4</t>
  </si>
  <si>
    <t>CTI</t>
  </si>
  <si>
    <t>Electronic Communication Equipment Technician I</t>
  </si>
  <si>
    <t>Information Technology Officer II</t>
  </si>
  <si>
    <t xml:space="preserve"> 22-1</t>
  </si>
  <si>
    <t xml:space="preserve"> 6-1</t>
  </si>
  <si>
    <t xml:space="preserve"> 9-8</t>
  </si>
  <si>
    <t>Mechanical Plant Operator II</t>
  </si>
  <si>
    <t xml:space="preserve"> 6-4 </t>
  </si>
  <si>
    <t>Communication Equipment Operator II</t>
  </si>
  <si>
    <t xml:space="preserve"> 6-4</t>
  </si>
  <si>
    <t>Information Technology Officer I</t>
  </si>
  <si>
    <t xml:space="preserve"> 4-1</t>
  </si>
  <si>
    <t>Information Technology Officer III</t>
  </si>
  <si>
    <t xml:space="preserve"> 6-8</t>
  </si>
  <si>
    <t xml:space="preserve"> 9-5</t>
  </si>
  <si>
    <t>Chief Administrative Officer</t>
  </si>
  <si>
    <t>Lineman</t>
  </si>
  <si>
    <t xml:space="preserve"> 3-8</t>
  </si>
  <si>
    <t xml:space="preserve"> 6-6</t>
  </si>
  <si>
    <t>Information Systems Analyst I</t>
  </si>
  <si>
    <t>Human Resource Management Officer II</t>
  </si>
  <si>
    <t>OSEC-DICTB-CEO3-27-2020</t>
  </si>
  <si>
    <t>ICTOB-CEO2-288-2011</t>
  </si>
  <si>
    <t>OSEC-DICTB-CEO2-107-2021</t>
  </si>
  <si>
    <t xml:space="preserve">POSITION </t>
  </si>
  <si>
    <t>20% Premium</t>
  </si>
  <si>
    <t>Salary + 20%</t>
  </si>
  <si>
    <t>Regional Office 2</t>
  </si>
  <si>
    <t>Isabela Prov'l Office</t>
  </si>
  <si>
    <t>PLA I</t>
  </si>
  <si>
    <t>Batanes Prov'l Office</t>
  </si>
  <si>
    <t>Cagayan Prov'l Office</t>
  </si>
  <si>
    <t>Nueva Vizcaya Prov'l Office</t>
  </si>
  <si>
    <t>Quirino Prov'l Office</t>
  </si>
  <si>
    <t>ILCDB-DTC</t>
  </si>
  <si>
    <t xml:space="preserve">ABBAS, ALISON AHMAD L. </t>
  </si>
  <si>
    <t>Admin. Aide IV (Driver II)</t>
  </si>
  <si>
    <t>LIM NARDO A.</t>
  </si>
  <si>
    <t>SALARY GRADE</t>
  </si>
  <si>
    <t>49,835.00</t>
  </si>
  <si>
    <t>OSEC-DICTB-ITO2-170-2017</t>
  </si>
  <si>
    <t>LINEMAN I</t>
  </si>
  <si>
    <t>14,903.00</t>
  </si>
  <si>
    <t>BLDG. &amp; VEHICLE MAINTENANCE</t>
  </si>
  <si>
    <t xml:space="preserve">ITO II </t>
  </si>
  <si>
    <t>OSEC-DICTB-ENGR3-131-2017</t>
  </si>
  <si>
    <t>SAFETY OFFICER/BAC-TWG/DRRM</t>
  </si>
  <si>
    <t>1 TOWER</t>
  </si>
  <si>
    <t>TECH FW/BLDG. MAINTENANCE</t>
  </si>
  <si>
    <t>iBPLS/BAC</t>
  </si>
  <si>
    <t>NVPO</t>
  </si>
  <si>
    <t>IIDB/BAC/GAD</t>
  </si>
  <si>
    <t>LOZANO</t>
  </si>
  <si>
    <t>Place of Assignment</t>
  </si>
  <si>
    <t>No.</t>
  </si>
  <si>
    <t>Project</t>
  </si>
  <si>
    <t>ULYSSES NIÑO</t>
  </si>
  <si>
    <t>MARCELO</t>
  </si>
  <si>
    <t>FIDEL</t>
  </si>
  <si>
    <t>DONNA ANDREA</t>
  </si>
  <si>
    <t>DURIAN</t>
  </si>
  <si>
    <t>PASCUAL</t>
  </si>
  <si>
    <t>HAROLD</t>
  </si>
  <si>
    <t>PAGATPATAN</t>
  </si>
  <si>
    <t>GUIM, ARIES ANTHONY F.</t>
  </si>
  <si>
    <t>USMAN, MOHAMADNOR G.</t>
  </si>
  <si>
    <t>vacant</t>
  </si>
  <si>
    <t>Admin. Assistant II (Admin Asst.)</t>
  </si>
  <si>
    <t>CADIENTE</t>
  </si>
  <si>
    <t>PLO 3</t>
  </si>
  <si>
    <t>18-1</t>
  </si>
  <si>
    <t>M</t>
  </si>
  <si>
    <t>NGP</t>
  </si>
  <si>
    <t xml:space="preserve">PLA  </t>
  </si>
  <si>
    <t>DICT REGION 2 JOB ORDER EMPLOYEES</t>
  </si>
  <si>
    <t>LEAÑO</t>
  </si>
  <si>
    <t>ALEEN GLEEN</t>
  </si>
  <si>
    <t>JURADO</t>
  </si>
  <si>
    <t xml:space="preserve">CALALO </t>
  </si>
  <si>
    <t xml:space="preserve">PMO </t>
  </si>
  <si>
    <t>P</t>
  </si>
  <si>
    <t>S</t>
  </si>
  <si>
    <t>D</t>
  </si>
  <si>
    <t>Admin. Assistant II (Admin Clerk)</t>
  </si>
  <si>
    <t>JOYCE</t>
  </si>
  <si>
    <t>Region 02</t>
  </si>
  <si>
    <t>OFFICE</t>
  </si>
  <si>
    <t>ISABELA II (SANTIAGO)</t>
  </si>
  <si>
    <t>REGION 2</t>
  </si>
  <si>
    <t>ISABELA I (CAUAYAN)</t>
  </si>
  <si>
    <t>iBPLS</t>
  </si>
  <si>
    <t>NBP - GovNet</t>
  </si>
  <si>
    <t xml:space="preserve">6-4 </t>
  </si>
  <si>
    <t xml:space="preserve"> 12-1</t>
  </si>
  <si>
    <t>NUEVA VIZCAYA</t>
  </si>
  <si>
    <t xml:space="preserve"> 19-1</t>
  </si>
  <si>
    <t>NBP-VIMS</t>
  </si>
  <si>
    <t>C.</t>
  </si>
  <si>
    <t>M.</t>
  </si>
  <si>
    <t>HR/PAYROLL/FINANCE</t>
  </si>
  <si>
    <t>BAC SEC MEMBER/EVENT SUPPORT</t>
  </si>
  <si>
    <t>Admin Asst II (Admin Asst)</t>
  </si>
  <si>
    <t xml:space="preserve">MARIZA NOVA </t>
  </si>
  <si>
    <t>PLO/BAC SEC MEMBER</t>
  </si>
  <si>
    <t>DOCUMENT/COMMUNICATION/GECS</t>
  </si>
  <si>
    <t>MOTORPOOL/BAC TWG/7S/GECS</t>
  </si>
  <si>
    <t>ORD/COMMUNICATIONS</t>
  </si>
  <si>
    <t>ORD/BAC SEC MEMBER/IIDB/GECS</t>
  </si>
  <si>
    <t>BAC TWG/MS CANVASSER/TECH SUPPORT</t>
  </si>
  <si>
    <t>EVENT SUPPORT/ADMIN</t>
  </si>
  <si>
    <t>TECH FW/BLDG. MAINTENANCE/CANVASSER</t>
  </si>
  <si>
    <t>CYBERSECURITY/WEB DEV/DEPUTY PO</t>
  </si>
  <si>
    <t>ADMIN/PROJECT SUPPORT/COMMUNICATION</t>
  </si>
  <si>
    <t>on-going</t>
  </si>
  <si>
    <t>ECET III</t>
  </si>
  <si>
    <t>DELAPA</t>
  </si>
  <si>
    <t>CLINJAY KHINE</t>
  </si>
  <si>
    <t>EUGENIO</t>
  </si>
  <si>
    <t>Resigned</t>
  </si>
  <si>
    <t>09755117063 / 09391363458</t>
  </si>
  <si>
    <t>clinjay.delapa@dict.gov.ph</t>
  </si>
  <si>
    <t>13-1</t>
  </si>
  <si>
    <t>nicholai.nora@dict.gov.ph</t>
  </si>
  <si>
    <t>09266144600</t>
  </si>
  <si>
    <t>OLIGARIO</t>
  </si>
  <si>
    <t>JUZ PETER</t>
  </si>
  <si>
    <t>ZERRUDO</t>
  </si>
  <si>
    <t>09199891637 / 09166955615</t>
  </si>
  <si>
    <t>juzpeter.oligario@dict.gov.ph</t>
  </si>
  <si>
    <t>ianjoey.villanueva@dict.gov.ph</t>
  </si>
  <si>
    <t>PDO  I</t>
  </si>
  <si>
    <t>TECH4ED</t>
  </si>
  <si>
    <t>11-0</t>
  </si>
  <si>
    <t>ILCDB-DJPH</t>
  </si>
  <si>
    <t>ILCDB-CORE</t>
  </si>
  <si>
    <t>CARINUGAN</t>
  </si>
  <si>
    <t>MERCY JAYLOVE</t>
  </si>
  <si>
    <t>URU</t>
  </si>
  <si>
    <t>mercy.carinugan@dict.gov.ph</t>
  </si>
  <si>
    <t>j</t>
  </si>
  <si>
    <t>PDO-1</t>
  </si>
  <si>
    <t>Birthday</t>
  </si>
  <si>
    <t>September 4,1970</t>
  </si>
  <si>
    <t>October 12, 1964</t>
  </si>
  <si>
    <t>July 7, 1991</t>
  </si>
  <si>
    <t>January 24,1998</t>
  </si>
  <si>
    <t>December 12</t>
  </si>
  <si>
    <t>December 26, 1994</t>
  </si>
  <si>
    <t>June 11,1968</t>
  </si>
  <si>
    <t>October 8,1967</t>
  </si>
  <si>
    <t>November 29,1967</t>
  </si>
  <si>
    <t>July 12,1961</t>
  </si>
  <si>
    <t>January 18,1971</t>
  </si>
  <si>
    <t>May 26,1969</t>
  </si>
  <si>
    <t>November 10, 1970</t>
  </si>
  <si>
    <t>July 28,1968</t>
  </si>
  <si>
    <t xml:space="preserve">TRINIDAD </t>
  </si>
  <si>
    <t>lyndon.trinindad@dict.gov.ph</t>
  </si>
  <si>
    <t>Organic</t>
  </si>
  <si>
    <t>DTR</t>
  </si>
  <si>
    <t>a</t>
  </si>
  <si>
    <t>Associates</t>
  </si>
  <si>
    <t>ISABELA- CAUAYAN CITY</t>
  </si>
  <si>
    <t>Training Specialist  II</t>
  </si>
  <si>
    <t>Procurement Mgmt Ofcr. I</t>
  </si>
  <si>
    <t>Provincial Heads</t>
  </si>
  <si>
    <t>T</t>
  </si>
  <si>
    <t>abad</t>
  </si>
  <si>
    <t>ferdinand</t>
  </si>
  <si>
    <t>jimenez</t>
  </si>
  <si>
    <t>pinky</t>
  </si>
  <si>
    <t>AA II</t>
  </si>
  <si>
    <t xml:space="preserve">MOHAMDNOR </t>
  </si>
  <si>
    <t xml:space="preserve">PLA </t>
  </si>
  <si>
    <t>DESIGNATION/PROJECT</t>
  </si>
  <si>
    <t>PROVINCIAL OFFICE</t>
  </si>
  <si>
    <t>MINA FLOR TALAY VILLAFUERTE</t>
  </si>
  <si>
    <t>JEMAR JAY CALAYAN DEL ROSARIO</t>
  </si>
  <si>
    <t>LOT-LOT ACERA ABRIGO</t>
  </si>
  <si>
    <t>JAYFER TABAO-ICAN AMMASI</t>
  </si>
  <si>
    <t>CHRISTINE JOYCE VILLALUZ BUENO</t>
  </si>
  <si>
    <t>EDWARD CABUTAJE MANUEL</t>
  </si>
  <si>
    <t>EDMUND CABUTAJE MANUEL</t>
  </si>
  <si>
    <t>ELON FLORES DOMINGO</t>
  </si>
  <si>
    <t>CLARO MATAMMU MAGGAY</t>
  </si>
  <si>
    <t>PABLO GERALDO FUGABAN</t>
  </si>
  <si>
    <t>NODEL MEMAN TUMALIUAN</t>
  </si>
  <si>
    <t>KIMBERLY ANN BANATAO CALAYAN</t>
  </si>
  <si>
    <t>JULIUS CEZAR CALIGUIRAN BAQUIRAN</t>
  </si>
  <si>
    <t>MAR ELVISON ANGOBONG BAQUIRAN</t>
  </si>
  <si>
    <t>JENNY SALA PRUDENCIADO</t>
  </si>
  <si>
    <t>EDWARD MARK DELOS SANTOS ARGONZA</t>
  </si>
  <si>
    <t>SHEREEN JUNGCO TABUG</t>
  </si>
  <si>
    <t>LEONOR JUANDAY TUMALIUAN</t>
  </si>
  <si>
    <t>MARIZA NOVA MIRANDA MONTES</t>
  </si>
  <si>
    <t>IVAN PAUL MATIAS SANTOS</t>
  </si>
  <si>
    <t>MAGDALENA DACUYCUY GOMEZ</t>
  </si>
  <si>
    <t>JOHNY CALAYAN BATANG</t>
  </si>
  <si>
    <t>JOEY MARK DE GUZMAN ELCHICO</t>
  </si>
  <si>
    <t>MARK JOHN CUDIAMAT TUMALIUAN</t>
  </si>
  <si>
    <t>JANET TUNQUE CATINOY</t>
  </si>
  <si>
    <t>CYRILL SHANE TAGUIAM CEPEDA</t>
  </si>
  <si>
    <t>DAN MARK RILLERA JOSE</t>
  </si>
  <si>
    <t>MICHAEL ANGELO ROBLES LANGCAY</t>
  </si>
  <si>
    <t>RICA VALENTINO CASUGA</t>
  </si>
  <si>
    <t>NEIL KRISTOPHER CONEL GUIMMAYEN</t>
  </si>
  <si>
    <t>ROEL URSUA JIMENEZ</t>
  </si>
  <si>
    <t>KYLE RUZZEL CARONAN SUYU</t>
  </si>
  <si>
    <t>JEANNE SHANNON ORIAL GARCIA</t>
  </si>
  <si>
    <t>RICO GUMARANG BANAN</t>
  </si>
  <si>
    <t>SAMANTHA PAYUKET DAWIDEO</t>
  </si>
  <si>
    <t>CZYIONE DAYL ASUNCION MENDOZA</t>
  </si>
  <si>
    <t>CHRISTIAN LAZARO FLORES CALDEZ</t>
  </si>
  <si>
    <t>JEI ARISTON CASTILLO JIMENEZ</t>
  </si>
  <si>
    <t>VLADIMIR VIKTOR GACUTAN NUVAL</t>
  </si>
  <si>
    <t>JOYCE ANN PADER URDILLAS</t>
  </si>
  <si>
    <t>NARDO ABARRA LIM</t>
  </si>
  <si>
    <t>MARIO JR ANTONIO DECAPIA</t>
  </si>
  <si>
    <t>GLENARD FERNANDO MARTIN</t>
  </si>
  <si>
    <t>RONALD SIUAGAN BARIUAN</t>
  </si>
  <si>
    <t>ROLAND BARTILAD HUBALDE</t>
  </si>
  <si>
    <t>ADELMO GATO CANO</t>
  </si>
  <si>
    <t>LEAH GALAROSSA GALOLO</t>
  </si>
  <si>
    <t>ALISON AHMAD LLAUDERES ABBAS</t>
  </si>
  <si>
    <t>MAYLANIE ORDOÑO MAGGAY</t>
  </si>
  <si>
    <t>HERLYN KAYE CALDITO NATIVIDAD</t>
  </si>
  <si>
    <t>ROGELIO TAGUIBAO LAYUGAN</t>
  </si>
  <si>
    <t>FERDINAND BARIUAN ABAD</t>
  </si>
  <si>
    <t>RICHARD PINEDA BALIGOD</t>
  </si>
  <si>
    <t>ALVIN BALIGOD BERMEJO</t>
  </si>
  <si>
    <t>MARICAR SORIANO PECSON</t>
  </si>
  <si>
    <t>JAYMAR CORSINO RECOLIZADO</t>
  </si>
  <si>
    <t>DEEJAY GATAN ANAPI</t>
  </si>
  <si>
    <t>YANCEE KEARVIN KYLE AQUINO RAFER</t>
  </si>
  <si>
    <t>ARIES ANTHONY FUGGAY GUIM</t>
  </si>
  <si>
    <t>LAWRENCE JAY MARALLAG NUNAG</t>
  </si>
  <si>
    <t>CHRISTOPHER ELEESON LARGADO CAPILI</t>
  </si>
  <si>
    <t>DARLENE JOY BASSIG SEGURITAN</t>
  </si>
  <si>
    <t>CIRILO JR. NACINO GAZZINGAN</t>
  </si>
  <si>
    <t>EUGENE LOMPERO PABRO</t>
  </si>
  <si>
    <t>CONCEPCION CABALONGA NAZARITA</t>
  </si>
  <si>
    <t>DANIEL PADILLA RAMIREZ</t>
  </si>
  <si>
    <t>MARILYN FLORES ROBLES</t>
  </si>
  <si>
    <t>BRYAN HIDALGO TOMAS</t>
  </si>
  <si>
    <t>LEO JAY LORENZO ALILAM</t>
  </si>
  <si>
    <t>LANIE AGTARAP CABACUNGAN</t>
  </si>
  <si>
    <t>DIETHER ALBANO ABAD</t>
  </si>
  <si>
    <t>MARIA KRISTINE TAGUINOD VALDEZ</t>
  </si>
  <si>
    <t>MARC IVAN DIZON GUILLERMO</t>
  </si>
  <si>
    <t>EDISON SALVADOR AGAOID</t>
  </si>
  <si>
    <t>MEDY JOSE MOSADAS CABACUNGAN</t>
  </si>
  <si>
    <t>JONATHAN FERNANDEZ DEL ROSARIO</t>
  </si>
  <si>
    <t>ARJAY NIÑO AGUB LAGGUI</t>
  </si>
  <si>
    <t>EXEN BANTIYAN CLARO</t>
  </si>
  <si>
    <t>JOSEPH  ROSAL</t>
  </si>
  <si>
    <t>JOHANNA FERIDO TULAUAN</t>
  </si>
  <si>
    <t>KARL STEVEN ADALEM MADDELA</t>
  </si>
  <si>
    <t>DEBORA PIDO BACKIAWAN</t>
  </si>
  <si>
    <t>MOHAMADNOR GURO USMAN</t>
  </si>
  <si>
    <t>MA. ELIJAH HUGO PILOTIN</t>
  </si>
  <si>
    <t xml:space="preserve">BATANES </t>
  </si>
  <si>
    <t>ISABELA - CAUAYAN</t>
  </si>
  <si>
    <t>ISABELA -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</si>
</sst>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\-d"/>
    <numFmt numFmtId="165" formatCode="mmmm\ d\,\ yyyy"/>
    <numFmt numFmtId="166" formatCode="mmmm\ dd"/>
    <numFmt numFmtId="167" formatCode="mmmm\ d\,yyyy"/>
    <numFmt numFmtId="168" formatCode="mmmm\ dd\,\ yyyy"/>
    <numFmt numFmtId="169" formatCode="mmmm\ d\.\ yyyy"/>
  </numFmts>
  <fonts count="7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Nunito"/>
    </font>
    <font>
      <b/>
      <sz val="13"/>
      <color theme="1"/>
      <name val="Nunito"/>
    </font>
    <font>
      <sz val="11"/>
      <name val="Calibri"/>
    </font>
    <font>
      <sz val="11"/>
      <color theme="1"/>
      <name val="Calibri"/>
      <scheme val="minor"/>
    </font>
    <font>
      <sz val="12"/>
      <color rgb="FF000000"/>
      <name val="Nunito"/>
    </font>
    <font>
      <sz val="11"/>
      <color rgb="FF000000"/>
      <name val="Roboto"/>
    </font>
    <font>
      <b/>
      <sz val="12"/>
      <color theme="1"/>
      <name val="Nunito"/>
    </font>
    <font>
      <b/>
      <sz val="14"/>
      <color theme="1"/>
      <name val="Calibri"/>
      <scheme val="minor"/>
    </font>
    <font>
      <sz val="11"/>
      <color theme="1"/>
      <name val="Nunito"/>
    </font>
    <font>
      <b/>
      <sz val="16"/>
      <color theme="1"/>
      <name val="Calibri"/>
      <scheme val="minor"/>
    </font>
    <font>
      <sz val="14"/>
      <color theme="1"/>
      <name val="Calibri"/>
      <scheme val="minor"/>
    </font>
    <font>
      <sz val="14"/>
      <color theme="1"/>
      <name val="Calibri"/>
    </font>
    <font>
      <sz val="11"/>
      <color rgb="FF000000"/>
      <name val="Nunito"/>
    </font>
    <font>
      <sz val="14"/>
      <color rgb="FF000000"/>
      <name val="Calibri"/>
    </font>
    <font>
      <sz val="12"/>
      <color rgb="FFFFFFFF"/>
      <name val="Nunito"/>
    </font>
    <font>
      <sz val="14"/>
      <color rgb="FFFFFFFF"/>
      <name val="Calibri"/>
    </font>
    <font>
      <sz val="13"/>
      <color theme="1"/>
      <name val="Nunito"/>
    </font>
    <font>
      <b/>
      <sz val="12"/>
      <color theme="1"/>
      <name val="Calibri"/>
      <scheme val="minor"/>
    </font>
    <font>
      <sz val="11"/>
      <color theme="1"/>
      <name val="Nunito"/>
    </font>
    <font>
      <sz val="10"/>
      <color theme="1"/>
      <name val="Nunito"/>
    </font>
    <font>
      <sz val="12"/>
      <color theme="1"/>
      <name val="Calibri"/>
      <scheme val="minor"/>
    </font>
    <font>
      <sz val="13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3"/>
      <color theme="1"/>
      <name val="Calibri"/>
      <scheme val="minor"/>
    </font>
    <font>
      <sz val="12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8"/>
      <color theme="1"/>
      <name val="Calibri"/>
    </font>
    <font>
      <b/>
      <sz val="16"/>
      <color theme="1"/>
      <name val="Calibri"/>
    </font>
    <font>
      <sz val="17"/>
      <color theme="1"/>
      <name val="Nunito"/>
    </font>
    <font>
      <sz val="16"/>
      <color theme="1"/>
      <name val="Nunito"/>
    </font>
    <font>
      <b/>
      <sz val="22"/>
      <color theme="1"/>
      <name val="Nunito"/>
    </font>
    <font>
      <b/>
      <sz val="12"/>
      <color rgb="FF000000"/>
      <name val="Nunito"/>
    </font>
    <font>
      <sz val="12"/>
      <color rgb="FF000000"/>
      <name val="&quot;Aptos Narrow&quot;"/>
    </font>
    <font>
      <sz val="12"/>
      <color rgb="FF000000"/>
      <name val="Arial"/>
    </font>
    <font>
      <sz val="8"/>
      <color theme="1"/>
      <name val="Nunito"/>
    </font>
    <font>
      <b/>
      <sz val="14"/>
      <color rgb="FFFF0000"/>
      <name val="Calibri"/>
    </font>
    <font>
      <b/>
      <sz val="22"/>
      <color theme="1"/>
      <name val="Calibri"/>
    </font>
    <font>
      <sz val="9"/>
      <color theme="1"/>
      <name val="Nunito"/>
    </font>
    <font>
      <sz val="9"/>
      <color rgb="FF000000"/>
      <name val="Nunito"/>
    </font>
    <font>
      <sz val="7"/>
      <color theme="1"/>
      <name val="Nunito"/>
    </font>
    <font>
      <sz val="12"/>
      <color theme="1"/>
      <name val="Arial"/>
    </font>
    <font>
      <sz val="11"/>
      <color rgb="FF000000"/>
      <name val="Docs-Calibri"/>
    </font>
    <font>
      <b/>
      <sz val="12"/>
      <color theme="1"/>
      <name val="Palatino Linotype"/>
    </font>
    <font>
      <b/>
      <sz val="11"/>
      <color theme="1"/>
      <name val="Palatino Linotype"/>
    </font>
    <font>
      <b/>
      <sz val="10"/>
      <color theme="1"/>
      <name val="Calibri"/>
      <scheme val="minor"/>
    </font>
    <font>
      <b/>
      <sz val="25"/>
      <color theme="1"/>
      <name val="Palatino Linotype"/>
    </font>
    <font>
      <b/>
      <sz val="10"/>
      <color theme="1"/>
      <name val="Palatino Linotype"/>
    </font>
    <font>
      <b/>
      <sz val="14"/>
      <color theme="1"/>
      <name val="Calibri"/>
    </font>
    <font>
      <b/>
      <sz val="17"/>
      <color theme="1"/>
      <name val="Calibri"/>
    </font>
    <font>
      <sz val="16"/>
      <color theme="1"/>
      <name val="Calibri"/>
    </font>
    <font>
      <sz val="16"/>
      <color rgb="FF000000"/>
      <name val="Nunito"/>
    </font>
    <font>
      <sz val="16"/>
      <color theme="1"/>
      <name val="Arial"/>
    </font>
    <font>
      <sz val="17"/>
      <color theme="1"/>
      <name val="Arial"/>
    </font>
    <font>
      <sz val="11"/>
      <color rgb="FF000000"/>
      <name val="Calibri"/>
    </font>
    <font>
      <sz val="16"/>
      <color theme="1"/>
      <name val="Roboto"/>
    </font>
    <font>
      <sz val="17"/>
      <color rgb="FF000000"/>
      <name val="Nunito"/>
    </font>
    <font>
      <sz val="17"/>
      <color rgb="FF000000"/>
      <name val="Calibri"/>
    </font>
    <font>
      <sz val="15"/>
      <color theme="1"/>
      <name val="Nunito"/>
    </font>
    <font>
      <sz val="17"/>
      <color theme="1"/>
      <name val="Calibri"/>
    </font>
    <font>
      <sz val="14"/>
      <color theme="1"/>
      <name val="Nunito"/>
    </font>
    <font>
      <b/>
      <sz val="12"/>
      <color rgb="FF980000"/>
      <name val="Nunito"/>
    </font>
    <font>
      <b/>
      <sz val="12"/>
      <color rgb="FF980000"/>
      <name val="Roboto"/>
    </font>
    <font>
      <b/>
      <sz val="12"/>
      <color theme="1"/>
      <name val="Roboto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D1A6D5"/>
        <bgColor rgb="FFD1A6D5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6C8EA"/>
        <bgColor rgb="FFF6C8EA"/>
      </patternFill>
    </fill>
    <fill>
      <patternFill patternType="solid">
        <fgColor rgb="FFFFC000"/>
        <bgColor rgb="FFFFC000"/>
      </patternFill>
    </fill>
    <fill>
      <patternFill patternType="solid">
        <fgColor rgb="FFA2C4C9"/>
        <bgColor rgb="FFA2C4C9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FFFF"/>
        <bgColor rgb="FF00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8" fillId="0" borderId="0" applyNumberFormat="0" applyFill="0" applyBorder="0" applyAlignment="0" applyProtection="0"/>
  </cellStyleXfs>
  <cellXfs count="718">
    <xf numFmtId="0" fontId="0" fillId="0" borderId="0" xfId="0"/>
    <xf numFmtId="0" fontId="2" fillId="0" borderId="0" xfId="0" applyFont="1" applyAlignment="1">
      <alignment horizontal="left" vertical="center"/>
    </xf>
    <xf numFmtId="0" fontId="5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4" borderId="3" xfId="0" applyFont="1" applyFill="1" applyBorder="1"/>
    <xf numFmtId="0" fontId="7" fillId="4" borderId="0" xfId="0" applyFont="1" applyFill="1" applyAlignment="1">
      <alignment horizontal="center"/>
    </xf>
    <xf numFmtId="49" fontId="5" fillId="0" borderId="0" xfId="0" applyNumberFormat="1" applyFont="1"/>
    <xf numFmtId="4" fontId="5" fillId="0" borderId="0" xfId="0" applyNumberFormat="1" applyFont="1" applyAlignment="1">
      <alignment horizontal="center"/>
    </xf>
    <xf numFmtId="14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4" fontId="12" fillId="0" borderId="3" xfId="0" applyNumberFormat="1" applyFont="1" applyBorder="1" applyAlignment="1">
      <alignment horizontal="center"/>
    </xf>
    <xf numFmtId="0" fontId="2" fillId="4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3" xfId="0" applyFont="1" applyBorder="1"/>
    <xf numFmtId="0" fontId="14" fillId="0" borderId="0" xfId="0" applyFont="1"/>
    <xf numFmtId="0" fontId="5" fillId="0" borderId="0" xfId="0" applyFont="1"/>
    <xf numFmtId="0" fontId="2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14" fontId="14" fillId="0" borderId="3" xfId="0" applyNumberFormat="1" applyFont="1" applyBorder="1"/>
    <xf numFmtId="0" fontId="14" fillId="0" borderId="0" xfId="0" applyFont="1" applyAlignment="1">
      <alignment horizontal="right"/>
    </xf>
    <xf numFmtId="14" fontId="6" fillId="4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14" fontId="13" fillId="0" borderId="3" xfId="0" applyNumberFormat="1" applyFont="1" applyBorder="1"/>
    <xf numFmtId="0" fontId="2" fillId="0" borderId="4" xfId="0" applyFont="1" applyBorder="1" applyAlignment="1">
      <alignment horizontal="left" vertical="center"/>
    </xf>
    <xf numFmtId="49" fontId="6" fillId="4" borderId="3" xfId="0" applyNumberFormat="1" applyFont="1" applyFill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14" fontId="6" fillId="4" borderId="9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15" fillId="0" borderId="3" xfId="0" applyFont="1" applyBorder="1" applyAlignment="1">
      <alignment horizontal="center"/>
    </xf>
    <xf numFmtId="49" fontId="2" fillId="4" borderId="3" xfId="0" applyNumberFormat="1" applyFont="1" applyFill="1" applyBorder="1" applyAlignment="1">
      <alignment vertical="center"/>
    </xf>
    <xf numFmtId="4" fontId="2" fillId="0" borderId="3" xfId="0" applyNumberFormat="1" applyFont="1" applyBorder="1" applyAlignment="1">
      <alignment horizontal="center"/>
    </xf>
    <xf numFmtId="0" fontId="2" fillId="0" borderId="0" xfId="0" applyFont="1"/>
    <xf numFmtId="49" fontId="2" fillId="4" borderId="3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4" fontId="6" fillId="4" borderId="0" xfId="0" applyNumberFormat="1" applyFont="1" applyFill="1" applyAlignment="1">
      <alignment horizontal="center"/>
    </xf>
    <xf numFmtId="14" fontId="13" fillId="6" borderId="3" xfId="0" applyNumberFormat="1" applyFont="1" applyFill="1" applyBorder="1"/>
    <xf numFmtId="14" fontId="13" fillId="7" borderId="3" xfId="0" applyNumberFormat="1" applyFont="1" applyFill="1" applyBorder="1"/>
    <xf numFmtId="49" fontId="2" fillId="0" borderId="3" xfId="0" quotePrefix="1" applyNumberFormat="1" applyFont="1" applyBorder="1" applyAlignment="1">
      <alignment horizontal="left"/>
    </xf>
    <xf numFmtId="14" fontId="14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6" fillId="4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6" fillId="8" borderId="3" xfId="0" applyFont="1" applyFill="1" applyBorder="1" applyAlignment="1">
      <alignment vertical="center" wrapText="1"/>
    </xf>
    <xf numFmtId="164" fontId="16" fillId="8" borderId="3" xfId="0" applyNumberFormat="1" applyFont="1" applyFill="1" applyBorder="1" applyAlignment="1">
      <alignment horizontal="center"/>
    </xf>
    <xf numFmtId="4" fontId="16" fillId="8" borderId="3" xfId="0" applyNumberFormat="1" applyFont="1" applyFill="1" applyBorder="1" applyAlignment="1">
      <alignment horizontal="center"/>
    </xf>
    <xf numFmtId="0" fontId="16" fillId="8" borderId="3" xfId="0" applyFont="1" applyFill="1" applyBorder="1" applyAlignment="1">
      <alignment vertical="center"/>
    </xf>
    <xf numFmtId="0" fontId="16" fillId="8" borderId="3" xfId="0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left"/>
    </xf>
    <xf numFmtId="0" fontId="16" fillId="8" borderId="3" xfId="0" applyFont="1" applyFill="1" applyBorder="1"/>
    <xf numFmtId="1" fontId="16" fillId="8" borderId="3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/>
    </xf>
    <xf numFmtId="14" fontId="17" fillId="8" borderId="3" xfId="0" applyNumberFormat="1" applyFont="1" applyFill="1" applyBorder="1"/>
    <xf numFmtId="164" fontId="2" fillId="4" borderId="3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49" fontId="18" fillId="0" borderId="3" xfId="0" applyNumberFormat="1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3" xfId="0" quotePrefix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4" fontId="5" fillId="0" borderId="3" xfId="0" applyNumberFormat="1" applyFont="1" applyBorder="1"/>
    <xf numFmtId="0" fontId="16" fillId="8" borderId="3" xfId="0" applyFont="1" applyFill="1" applyBorder="1" applyAlignment="1">
      <alignment horizontal="left"/>
    </xf>
    <xf numFmtId="49" fontId="16" fillId="8" borderId="3" xfId="0" applyNumberFormat="1" applyFont="1" applyFill="1" applyBorder="1" applyAlignment="1">
      <alignment horizontal="center"/>
    </xf>
    <xf numFmtId="4" fontId="16" fillId="8" borderId="3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/>
    </xf>
    <xf numFmtId="0" fontId="16" fillId="8" borderId="2" xfId="0" applyFont="1" applyFill="1" applyBorder="1" applyAlignment="1">
      <alignment horizontal="left" vertical="center"/>
    </xf>
    <xf numFmtId="0" fontId="5" fillId="4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8" fillId="5" borderId="0" xfId="0" applyFont="1" applyFill="1" applyAlignment="1">
      <alignment horizontal="left" vertical="center"/>
    </xf>
    <xf numFmtId="0" fontId="14" fillId="9" borderId="0" xfId="0" applyFont="1" applyFill="1"/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0" fillId="0" borderId="0" xfId="0" applyFont="1" applyAlignment="1">
      <alignment wrapText="1"/>
    </xf>
    <xf numFmtId="14" fontId="5" fillId="0" borderId="0" xfId="0" applyNumberFormat="1" applyFont="1"/>
    <xf numFmtId="0" fontId="6" fillId="10" borderId="3" xfId="0" applyFont="1" applyFill="1" applyBorder="1" applyAlignment="1">
      <alignment horizontal="left"/>
    </xf>
    <xf numFmtId="0" fontId="2" fillId="10" borderId="3" xfId="0" applyFont="1" applyFill="1" applyBorder="1"/>
    <xf numFmtId="0" fontId="2" fillId="10" borderId="3" xfId="0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5" fillId="10" borderId="0" xfId="0" applyFont="1" applyFill="1"/>
    <xf numFmtId="14" fontId="5" fillId="10" borderId="0" xfId="0" applyNumberFormat="1" applyFont="1" applyFill="1"/>
    <xf numFmtId="0" fontId="2" fillId="10" borderId="3" xfId="0" applyFont="1" applyFill="1" applyBorder="1" applyAlignment="1">
      <alignment horizontal="left"/>
    </xf>
    <xf numFmtId="49" fontId="2" fillId="10" borderId="3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/>
    </xf>
    <xf numFmtId="0" fontId="6" fillId="4" borderId="3" xfId="0" applyFont="1" applyFill="1" applyBorder="1"/>
    <xf numFmtId="14" fontId="2" fillId="6" borderId="3" xfId="0" applyNumberFormat="1" applyFont="1" applyFill="1" applyBorder="1" applyAlignment="1">
      <alignment horizontal="center" vertical="center"/>
    </xf>
    <xf numFmtId="0" fontId="22" fillId="0" borderId="0" xfId="0" applyFont="1"/>
    <xf numFmtId="14" fontId="22" fillId="0" borderId="0" xfId="0" applyNumberFormat="1" applyFont="1"/>
    <xf numFmtId="14" fontId="6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1" fillId="11" borderId="0" xfId="0" applyFont="1" applyFill="1" applyAlignment="1">
      <alignment wrapText="1"/>
    </xf>
    <xf numFmtId="4" fontId="2" fillId="4" borderId="3" xfId="0" applyNumberFormat="1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left"/>
    </xf>
    <xf numFmtId="14" fontId="2" fillId="4" borderId="3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/>
    <xf numFmtId="0" fontId="23" fillId="0" borderId="3" xfId="0" applyFont="1" applyBorder="1"/>
    <xf numFmtId="14" fontId="2" fillId="4" borderId="3" xfId="0" applyNumberFormat="1" applyFont="1" applyFill="1" applyBorder="1"/>
    <xf numFmtId="14" fontId="0" fillId="0" borderId="0" xfId="0" applyNumberFormat="1"/>
    <xf numFmtId="164" fontId="23" fillId="4" borderId="3" xfId="0" applyNumberFormat="1" applyFont="1" applyFill="1" applyBorder="1" applyAlignment="1">
      <alignment horizontal="center" wrapText="1"/>
    </xf>
    <xf numFmtId="14" fontId="2" fillId="6" borderId="3" xfId="0" applyNumberFormat="1" applyFont="1" applyFill="1" applyBorder="1"/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0" fillId="4" borderId="0" xfId="0" applyFont="1" applyFill="1"/>
    <xf numFmtId="0" fontId="1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4" fontId="24" fillId="0" borderId="3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24" fillId="0" borderId="3" xfId="0" applyFont="1" applyBorder="1"/>
    <xf numFmtId="164" fontId="24" fillId="0" borderId="3" xfId="0" applyNumberFormat="1" applyFont="1" applyBorder="1" applyAlignment="1">
      <alignment horizontal="center"/>
    </xf>
    <xf numFmtId="164" fontId="24" fillId="4" borderId="3" xfId="0" applyNumberFormat="1" applyFont="1" applyFill="1" applyBorder="1" applyAlignment="1">
      <alignment horizontal="center"/>
    </xf>
    <xf numFmtId="0" fontId="24" fillId="4" borderId="3" xfId="0" applyFont="1" applyFill="1" applyBorder="1" applyAlignment="1">
      <alignment horizontal="center"/>
    </xf>
    <xf numFmtId="0" fontId="24" fillId="10" borderId="0" xfId="0" applyFont="1" applyFill="1" applyAlignment="1">
      <alignment horizontal="center" vertical="center"/>
    </xf>
    <xf numFmtId="164" fontId="24" fillId="4" borderId="3" xfId="0" applyNumberFormat="1" applyFont="1" applyFill="1" applyBorder="1" applyAlignment="1">
      <alignment horizontal="center" wrapText="1"/>
    </xf>
    <xf numFmtId="4" fontId="5" fillId="0" borderId="0" xfId="0" applyNumberFormat="1" applyFont="1"/>
    <xf numFmtId="4" fontId="2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4" fontId="2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4" fontId="25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1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left" vertical="center"/>
    </xf>
    <xf numFmtId="4" fontId="25" fillId="3" borderId="11" xfId="0" applyNumberFormat="1" applyFont="1" applyFill="1" applyBorder="1" applyAlignment="1">
      <alignment horizontal="left" vertical="center"/>
    </xf>
    <xf numFmtId="0" fontId="25" fillId="3" borderId="11" xfId="0" quotePrefix="1" applyFont="1" applyFill="1" applyBorder="1" applyAlignment="1">
      <alignment horizontal="left" vertical="center"/>
    </xf>
    <xf numFmtId="0" fontId="31" fillId="3" borderId="13" xfId="0" applyFont="1" applyFill="1" applyBorder="1" applyAlignment="1">
      <alignment vertical="center"/>
    </xf>
    <xf numFmtId="0" fontId="31" fillId="3" borderId="13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left" vertical="center"/>
    </xf>
    <xf numFmtId="4" fontId="25" fillId="3" borderId="13" xfId="0" applyNumberFormat="1" applyFont="1" applyFill="1" applyBorder="1" applyAlignment="1">
      <alignment horizontal="left" vertical="center"/>
    </xf>
    <xf numFmtId="0" fontId="3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left" vertical="center"/>
    </xf>
    <xf numFmtId="165" fontId="6" fillId="0" borderId="1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left"/>
    </xf>
    <xf numFmtId="49" fontId="2" fillId="0" borderId="3" xfId="0" quotePrefix="1" applyNumberFormat="1" applyFont="1" applyBorder="1" applyAlignment="1">
      <alignment horizontal="left" vertical="center"/>
    </xf>
    <xf numFmtId="4" fontId="2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 vertical="center"/>
    </xf>
    <xf numFmtId="4" fontId="2" fillId="0" borderId="8" xfId="0" applyNumberFormat="1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0" fontId="6" fillId="4" borderId="0" xfId="0" applyFont="1" applyFill="1" applyAlignment="1">
      <alignment horizontal="left"/>
    </xf>
    <xf numFmtId="166" fontId="6" fillId="0" borderId="2" xfId="0" applyNumberFormat="1" applyFont="1" applyBorder="1" applyAlignment="1">
      <alignment horizontal="left"/>
    </xf>
    <xf numFmtId="0" fontId="33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167" fontId="6" fillId="4" borderId="2" xfId="0" applyNumberFormat="1" applyFont="1" applyFill="1" applyBorder="1" applyAlignment="1">
      <alignment horizontal="left"/>
    </xf>
    <xf numFmtId="165" fontId="6" fillId="0" borderId="3" xfId="0" applyNumberFormat="1" applyFont="1" applyBorder="1" applyAlignment="1">
      <alignment horizontal="left"/>
    </xf>
    <xf numFmtId="167" fontId="6" fillId="0" borderId="0" xfId="0" applyNumberFormat="1" applyFont="1" applyAlignment="1">
      <alignment horizontal="left"/>
    </xf>
    <xf numFmtId="167" fontId="6" fillId="0" borderId="3" xfId="0" applyNumberFormat="1" applyFont="1" applyBorder="1" applyAlignment="1">
      <alignment horizontal="left"/>
    </xf>
    <xf numFmtId="168" fontId="6" fillId="0" borderId="2" xfId="0" applyNumberFormat="1" applyFont="1" applyBorder="1" applyAlignment="1">
      <alignment horizontal="left"/>
    </xf>
    <xf numFmtId="167" fontId="6" fillId="0" borderId="2" xfId="0" applyNumberFormat="1" applyFont="1" applyBorder="1" applyAlignment="1">
      <alignment horizontal="left"/>
    </xf>
    <xf numFmtId="0" fontId="32" fillId="0" borderId="3" xfId="0" applyFont="1" applyBorder="1" applyAlignment="1">
      <alignment vertical="center"/>
    </xf>
    <xf numFmtId="0" fontId="6" fillId="4" borderId="3" xfId="0" applyFont="1" applyFill="1" applyBorder="1" applyAlignment="1">
      <alignment horizontal="left"/>
    </xf>
    <xf numFmtId="4" fontId="2" fillId="0" borderId="3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vertical="center"/>
    </xf>
    <xf numFmtId="14" fontId="6" fillId="0" borderId="3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/>
    <xf numFmtId="49" fontId="6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8" fillId="0" borderId="0" xfId="0" applyFont="1"/>
    <xf numFmtId="16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5" fillId="4" borderId="3" xfId="0" applyFont="1" applyFill="1" applyBorder="1"/>
    <xf numFmtId="0" fontId="12" fillId="0" borderId="0" xfId="0" applyFont="1"/>
    <xf numFmtId="1" fontId="24" fillId="0" borderId="3" xfId="0" quotePrefix="1" applyNumberFormat="1" applyFont="1" applyBorder="1" applyAlignment="1">
      <alignment horizontal="center"/>
    </xf>
    <xf numFmtId="0" fontId="24" fillId="0" borderId="3" xfId="0" quotePrefix="1" applyFont="1" applyBorder="1" applyAlignment="1">
      <alignment horizontal="center"/>
    </xf>
    <xf numFmtId="0" fontId="29" fillId="0" borderId="0" xfId="0" applyFont="1"/>
    <xf numFmtId="0" fontId="5" fillId="6" borderId="3" xfId="0" applyFont="1" applyFill="1" applyBorder="1"/>
    <xf numFmtId="0" fontId="40" fillId="0" borderId="0" xfId="0" applyFont="1" applyAlignment="1">
      <alignment horizontal="center"/>
    </xf>
    <xf numFmtId="14" fontId="8" fillId="10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left"/>
    </xf>
    <xf numFmtId="0" fontId="21" fillId="0" borderId="3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49" fontId="42" fillId="0" borderId="3" xfId="0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38" fillId="0" borderId="3" xfId="0" applyFont="1" applyBorder="1" applyAlignment="1">
      <alignment vertical="center"/>
    </xf>
    <xf numFmtId="0" fontId="20" fillId="0" borderId="3" xfId="0" applyFont="1" applyBorder="1" applyAlignment="1">
      <alignment vertical="center" wrapText="1"/>
    </xf>
    <xf numFmtId="49" fontId="8" fillId="12" borderId="6" xfId="0" applyNumberFormat="1" applyFont="1" applyFill="1" applyBorder="1" applyAlignment="1">
      <alignment horizontal="left" vertical="center"/>
    </xf>
    <xf numFmtId="14" fontId="7" fillId="4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38" fillId="0" borderId="8" xfId="0" applyFont="1" applyBorder="1"/>
    <xf numFmtId="0" fontId="38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49" fontId="2" fillId="0" borderId="8" xfId="0" applyNumberFormat="1" applyFont="1" applyBorder="1"/>
    <xf numFmtId="0" fontId="43" fillId="0" borderId="3" xfId="0" applyFont="1" applyBorder="1" applyAlignment="1">
      <alignment vertical="center"/>
    </xf>
    <xf numFmtId="0" fontId="8" fillId="12" borderId="3" xfId="0" applyFont="1" applyFill="1" applyBorder="1"/>
    <xf numFmtId="14" fontId="8" fillId="12" borderId="3" xfId="0" applyNumberFormat="1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6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14" fontId="6" fillId="4" borderId="17" xfId="0" applyNumberFormat="1" applyFont="1" applyFill="1" applyBorder="1" applyAlignment="1">
      <alignment horizontal="center"/>
    </xf>
    <xf numFmtId="49" fontId="6" fillId="0" borderId="17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0" fillId="0" borderId="3" xfId="0" applyNumberFormat="1" applyFont="1" applyBorder="1" applyAlignment="1">
      <alignment horizontal="center" vertical="center"/>
    </xf>
    <xf numFmtId="4" fontId="20" fillId="4" borderId="3" xfId="0" applyNumberFormat="1" applyFont="1" applyFill="1" applyBorder="1" applyAlignment="1">
      <alignment horizontal="center" vertical="center"/>
    </xf>
    <xf numFmtId="0" fontId="14" fillId="4" borderId="0" xfId="0" applyFont="1" applyFill="1"/>
    <xf numFmtId="0" fontId="45" fillId="4" borderId="0" xfId="0" applyFont="1" applyFill="1" applyAlignment="1">
      <alignment horizontal="left"/>
    </xf>
    <xf numFmtId="4" fontId="20" fillId="0" borderId="3" xfId="0" applyNumberFormat="1" applyFont="1" applyBorder="1" applyAlignment="1">
      <alignment horizontal="center"/>
    </xf>
    <xf numFmtId="0" fontId="24" fillId="20" borderId="3" xfId="0" applyFont="1" applyFill="1" applyBorder="1" applyAlignment="1">
      <alignment horizontal="center" vertical="center"/>
    </xf>
    <xf numFmtId="4" fontId="20" fillId="4" borderId="3" xfId="0" applyNumberFormat="1" applyFont="1" applyFill="1" applyBorder="1" applyAlignment="1">
      <alignment horizontal="center"/>
    </xf>
    <xf numFmtId="0" fontId="29" fillId="4" borderId="3" xfId="0" applyFont="1" applyFill="1" applyBorder="1" applyAlignment="1">
      <alignment horizontal="center"/>
    </xf>
    <xf numFmtId="0" fontId="24" fillId="4" borderId="3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/>
    </xf>
    <xf numFmtId="0" fontId="29" fillId="6" borderId="3" xfId="0" applyFont="1" applyFill="1" applyBorder="1" applyAlignment="1">
      <alignment horizontal="center"/>
    </xf>
    <xf numFmtId="164" fontId="24" fillId="6" borderId="3" xfId="0" applyNumberFormat="1" applyFont="1" applyFill="1" applyBorder="1" applyAlignment="1">
      <alignment horizontal="center" wrapText="1"/>
    </xf>
    <xf numFmtId="4" fontId="20" fillId="6" borderId="3" xfId="0" applyNumberFormat="1" applyFont="1" applyFill="1" applyBorder="1" applyAlignment="1">
      <alignment horizontal="center" vertical="center"/>
    </xf>
    <xf numFmtId="4" fontId="20" fillId="6" borderId="3" xfId="0" applyNumberFormat="1" applyFont="1" applyFill="1" applyBorder="1" applyAlignment="1">
      <alignment horizontal="center"/>
    </xf>
    <xf numFmtId="0" fontId="14" fillId="6" borderId="0" xfId="0" applyFont="1" applyFill="1"/>
    <xf numFmtId="0" fontId="45" fillId="6" borderId="0" xfId="0" applyFont="1" applyFill="1" applyAlignment="1">
      <alignment horizontal="left"/>
    </xf>
    <xf numFmtId="0" fontId="24" fillId="0" borderId="3" xfId="0" applyFont="1" applyBorder="1" applyAlignment="1">
      <alignment horizontal="center" wrapText="1"/>
    </xf>
    <xf numFmtId="164" fontId="24" fillId="0" borderId="3" xfId="0" applyNumberFormat="1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/>
    </xf>
    <xf numFmtId="0" fontId="5" fillId="11" borderId="0" xfId="0" applyFont="1" applyFill="1"/>
    <xf numFmtId="164" fontId="5" fillId="4" borderId="3" xfId="0" applyNumberFormat="1" applyFont="1" applyFill="1" applyBorder="1" applyAlignment="1">
      <alignment horizontal="center"/>
    </xf>
    <xf numFmtId="0" fontId="21" fillId="0" borderId="0" xfId="0" applyFont="1"/>
    <xf numFmtId="0" fontId="2" fillId="0" borderId="0" xfId="0" applyFont="1" applyAlignment="1">
      <alignment horizontal="left"/>
    </xf>
    <xf numFmtId="0" fontId="24" fillId="11" borderId="3" xfId="0" applyFont="1" applyFill="1" applyBorder="1" applyAlignment="1">
      <alignment horizontal="center"/>
    </xf>
    <xf numFmtId="4" fontId="20" fillId="11" borderId="3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0" fontId="29" fillId="4" borderId="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24" fillId="4" borderId="0" xfId="0" applyFont="1" applyFill="1" applyAlignment="1">
      <alignment horizontal="center"/>
    </xf>
    <xf numFmtId="164" fontId="24" fillId="4" borderId="0" xfId="0" applyNumberFormat="1" applyFont="1" applyFill="1" applyAlignment="1">
      <alignment horizontal="center"/>
    </xf>
    <xf numFmtId="164" fontId="24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9" fillId="4" borderId="0" xfId="0" applyFont="1" applyFill="1" applyAlignment="1">
      <alignment horizontal="center" vertical="center"/>
    </xf>
    <xf numFmtId="164" fontId="5" fillId="0" borderId="3" xfId="0" applyNumberFormat="1" applyFont="1" applyBorder="1"/>
    <xf numFmtId="0" fontId="47" fillId="0" borderId="0" xfId="0" applyFont="1"/>
    <xf numFmtId="0" fontId="4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8" fillId="21" borderId="3" xfId="0" applyFont="1" applyFill="1" applyBorder="1"/>
    <xf numFmtId="0" fontId="50" fillId="21" borderId="3" xfId="0" applyFont="1" applyFill="1" applyBorder="1" applyAlignment="1">
      <alignment horizontal="center" vertical="center"/>
    </xf>
    <xf numFmtId="0" fontId="46" fillId="21" borderId="3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/>
    </xf>
    <xf numFmtId="0" fontId="5" fillId="21" borderId="3" xfId="0" applyFont="1" applyFill="1" applyBorder="1"/>
    <xf numFmtId="1" fontId="24" fillId="0" borderId="0" xfId="0" applyNumberFormat="1" applyFont="1" applyAlignment="1">
      <alignment horizontal="center"/>
    </xf>
    <xf numFmtId="0" fontId="46" fillId="22" borderId="3" xfId="0" applyFont="1" applyFill="1" applyBorder="1" applyAlignment="1">
      <alignment horizontal="center" vertical="center"/>
    </xf>
    <xf numFmtId="0" fontId="50" fillId="22" borderId="3" xfId="0" applyFont="1" applyFill="1" applyBorder="1" applyAlignment="1">
      <alignment horizontal="center" vertical="center"/>
    </xf>
    <xf numFmtId="9" fontId="46" fillId="22" borderId="3" xfId="0" applyNumberFormat="1" applyFont="1" applyFill="1" applyBorder="1" applyAlignment="1">
      <alignment horizontal="center" vertical="center"/>
    </xf>
    <xf numFmtId="0" fontId="47" fillId="0" borderId="3" xfId="0" applyFont="1" applyBorder="1"/>
    <xf numFmtId="1" fontId="2" fillId="0" borderId="3" xfId="0" quotePrefix="1" applyNumberFormat="1" applyFont="1" applyBorder="1" applyAlignment="1">
      <alignment horizontal="right"/>
    </xf>
    <xf numFmtId="0" fontId="21" fillId="0" borderId="3" xfId="0" applyFont="1" applyBorder="1"/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0" fillId="0" borderId="3" xfId="0" applyFont="1" applyBorder="1" applyAlignment="1">
      <alignment horizontal="center"/>
    </xf>
    <xf numFmtId="0" fontId="20" fillId="0" borderId="3" xfId="0" applyFont="1" applyBorder="1"/>
    <xf numFmtId="0" fontId="20" fillId="0" borderId="3" xfId="0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16" fontId="2" fillId="0" borderId="3" xfId="0" applyNumberFormat="1" applyFont="1" applyBorder="1" applyAlignment="1">
      <alignment horizontal="right"/>
    </xf>
    <xf numFmtId="0" fontId="2" fillId="0" borderId="3" xfId="0" quotePrefix="1" applyFont="1" applyBorder="1" applyAlignment="1">
      <alignment horizontal="right"/>
    </xf>
    <xf numFmtId="16" fontId="24" fillId="0" borderId="0" xfId="0" applyNumberFormat="1" applyFont="1" applyAlignment="1">
      <alignment horizontal="center"/>
    </xf>
    <xf numFmtId="4" fontId="20" fillId="0" borderId="3" xfId="0" applyNumberFormat="1" applyFont="1" applyBorder="1"/>
    <xf numFmtId="164" fontId="20" fillId="0" borderId="3" xfId="0" applyNumberFormat="1" applyFont="1" applyBorder="1" applyAlignment="1">
      <alignment horizontal="right"/>
    </xf>
    <xf numFmtId="164" fontId="20" fillId="0" borderId="3" xfId="0" quotePrefix="1" applyNumberFormat="1" applyFont="1" applyBorder="1" applyAlignment="1">
      <alignment horizontal="right"/>
    </xf>
    <xf numFmtId="0" fontId="8" fillId="10" borderId="3" xfId="0" applyFont="1" applyFill="1" applyBorder="1" applyAlignment="1">
      <alignment horizontal="left" vertical="center"/>
    </xf>
    <xf numFmtId="0" fontId="8" fillId="12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left" vertical="center"/>
    </xf>
    <xf numFmtId="0" fontId="29" fillId="0" borderId="8" xfId="0" applyFont="1" applyBorder="1"/>
    <xf numFmtId="14" fontId="29" fillId="0" borderId="8" xfId="0" applyNumberFormat="1" applyFont="1" applyBorder="1"/>
    <xf numFmtId="4" fontId="2" fillId="0" borderId="8" xfId="0" applyNumberFormat="1" applyFont="1" applyBorder="1" applyAlignment="1">
      <alignment horizontal="center"/>
    </xf>
    <xf numFmtId="49" fontId="29" fillId="0" borderId="8" xfId="0" applyNumberFormat="1" applyFont="1" applyBorder="1"/>
    <xf numFmtId="0" fontId="20" fillId="0" borderId="16" xfId="0" applyFont="1" applyBorder="1"/>
    <xf numFmtId="0" fontId="29" fillId="0" borderId="16" xfId="0" applyFont="1" applyBorder="1"/>
    <xf numFmtId="0" fontId="2" fillId="0" borderId="16" xfId="0" applyFont="1" applyBorder="1" applyAlignment="1">
      <alignment wrapText="1"/>
    </xf>
    <xf numFmtId="0" fontId="2" fillId="0" borderId="16" xfId="0" applyFont="1" applyBorder="1"/>
    <xf numFmtId="14" fontId="29" fillId="0" borderId="16" xfId="0" applyNumberFormat="1" applyFont="1" applyBorder="1"/>
    <xf numFmtId="0" fontId="2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4" fontId="20" fillId="0" borderId="16" xfId="0" applyNumberFormat="1" applyFont="1" applyBorder="1" applyAlignment="1">
      <alignment horizontal="center"/>
    </xf>
    <xf numFmtId="49" fontId="29" fillId="0" borderId="16" xfId="0" applyNumberFormat="1" applyFont="1" applyBorder="1"/>
    <xf numFmtId="0" fontId="8" fillId="0" borderId="3" xfId="0" applyFont="1" applyBorder="1"/>
    <xf numFmtId="16" fontId="2" fillId="0" borderId="16" xfId="0" applyNumberFormat="1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left"/>
    </xf>
    <xf numFmtId="0" fontId="4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/>
    <xf numFmtId="0" fontId="2" fillId="6" borderId="3" xfId="0" applyFont="1" applyFill="1" applyBorder="1" applyAlignment="1">
      <alignment vertical="center" wrapText="1"/>
    </xf>
    <xf numFmtId="0" fontId="41" fillId="6" borderId="3" xfId="0" applyFont="1" applyFill="1" applyBorder="1"/>
    <xf numFmtId="0" fontId="2" fillId="6" borderId="3" xfId="0" applyFont="1" applyFill="1" applyBorder="1" applyAlignment="1">
      <alignment horizontal="center"/>
    </xf>
    <xf numFmtId="4" fontId="2" fillId="6" borderId="3" xfId="0" applyNumberFormat="1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left"/>
    </xf>
    <xf numFmtId="0" fontId="41" fillId="0" borderId="3" xfId="0" applyFont="1" applyBorder="1"/>
    <xf numFmtId="0" fontId="41" fillId="0" borderId="3" xfId="0" applyFont="1" applyBorder="1" applyAlignment="1">
      <alignment wrapText="1"/>
    </xf>
    <xf numFmtId="164" fontId="20" fillId="0" borderId="3" xfId="0" applyNumberFormat="1" applyFont="1" applyBorder="1" applyAlignment="1">
      <alignment horizontal="center"/>
    </xf>
    <xf numFmtId="164" fontId="20" fillId="0" borderId="3" xfId="0" quotePrefix="1" applyNumberFormat="1" applyFont="1" applyBorder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8" fillId="12" borderId="7" xfId="0" applyFont="1" applyFill="1" applyBorder="1" applyAlignment="1">
      <alignment horizontal="left" vertical="center"/>
    </xf>
    <xf numFmtId="0" fontId="8" fillId="12" borderId="8" xfId="0" applyFont="1" applyFill="1" applyBorder="1" applyAlignment="1">
      <alignment horizontal="left" vertical="center"/>
    </xf>
    <xf numFmtId="14" fontId="6" fillId="0" borderId="17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left" vertical="center"/>
    </xf>
    <xf numFmtId="49" fontId="8" fillId="12" borderId="8" xfId="0" applyNumberFormat="1" applyFont="1" applyFill="1" applyBorder="1" applyAlignment="1">
      <alignment horizontal="left" vertical="center"/>
    </xf>
    <xf numFmtId="14" fontId="7" fillId="4" borderId="7" xfId="0" applyNumberFormat="1" applyFont="1" applyFill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38" fillId="0" borderId="3" xfId="0" applyFont="1" applyBorder="1"/>
    <xf numFmtId="14" fontId="2" fillId="0" borderId="3" xfId="0" applyNumberFormat="1" applyFont="1" applyBorder="1" applyAlignment="1">
      <alignment horizontal="center"/>
    </xf>
    <xf numFmtId="0" fontId="8" fillId="12" borderId="6" xfId="0" applyFont="1" applyFill="1" applyBorder="1"/>
    <xf numFmtId="0" fontId="8" fillId="12" borderId="7" xfId="0" applyFont="1" applyFill="1" applyBorder="1"/>
    <xf numFmtId="0" fontId="8" fillId="12" borderId="7" xfId="0" applyFont="1" applyFill="1" applyBorder="1" applyAlignment="1">
      <alignment horizontal="left"/>
    </xf>
    <xf numFmtId="0" fontId="8" fillId="12" borderId="8" xfId="0" applyFont="1" applyFill="1" applyBorder="1"/>
    <xf numFmtId="0" fontId="6" fillId="0" borderId="7" xfId="0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/>
    </xf>
    <xf numFmtId="0" fontId="6" fillId="0" borderId="7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49" fontId="6" fillId="0" borderId="7" xfId="0" applyNumberFormat="1" applyFont="1" applyBorder="1" applyAlignment="1">
      <alignment vertical="center"/>
    </xf>
    <xf numFmtId="14" fontId="6" fillId="4" borderId="7" xfId="0" applyNumberFormat="1" applyFont="1" applyFill="1" applyBorder="1" applyAlignment="1">
      <alignment horizontal="center"/>
    </xf>
    <xf numFmtId="49" fontId="6" fillId="0" borderId="7" xfId="0" applyNumberFormat="1" applyFont="1" applyBorder="1" applyAlignment="1">
      <alignment horizontal="center" vertical="center"/>
    </xf>
    <xf numFmtId="0" fontId="12" fillId="0" borderId="3" xfId="0" applyFont="1" applyBorder="1"/>
    <xf numFmtId="0" fontId="51" fillId="0" borderId="3" xfId="0" applyFont="1" applyBorder="1" applyAlignment="1">
      <alignment horizontal="center"/>
    </xf>
    <xf numFmtId="0" fontId="9" fillId="0" borderId="3" xfId="0" applyFont="1" applyBorder="1"/>
    <xf numFmtId="0" fontId="13" fillId="0" borderId="3" xfId="0" applyFont="1" applyBorder="1"/>
    <xf numFmtId="1" fontId="13" fillId="0" borderId="3" xfId="0" quotePrefix="1" applyNumberFormat="1" applyFont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0" fontId="13" fillId="6" borderId="3" xfId="0" applyFont="1" applyFill="1" applyBorder="1"/>
    <xf numFmtId="1" fontId="13" fillId="6" borderId="3" xfId="0" applyNumberFormat="1" applyFont="1" applyFill="1" applyBorder="1" applyAlignment="1">
      <alignment horizontal="center"/>
    </xf>
    <xf numFmtId="4" fontId="13" fillId="6" borderId="3" xfId="0" applyNumberFormat="1" applyFont="1" applyFill="1" applyBorder="1" applyAlignment="1">
      <alignment horizontal="center"/>
    </xf>
    <xf numFmtId="16" fontId="13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6" borderId="3" xfId="0" applyFont="1" applyFill="1" applyBorder="1"/>
    <xf numFmtId="0" fontId="12" fillId="6" borderId="3" xfId="0" applyFont="1" applyFill="1" applyBorder="1" applyAlignment="1">
      <alignment horizontal="center"/>
    </xf>
    <xf numFmtId="0" fontId="39" fillId="0" borderId="0" xfId="0" applyFont="1"/>
    <xf numFmtId="0" fontId="12" fillId="0" borderId="0" xfId="0" applyFont="1" applyAlignment="1">
      <alignment horizontal="center"/>
    </xf>
    <xf numFmtId="0" fontId="13" fillId="0" borderId="8" xfId="0" applyFont="1" applyBorder="1"/>
    <xf numFmtId="0" fontId="13" fillId="0" borderId="8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51" fillId="0" borderId="16" xfId="0" applyFont="1" applyBorder="1" applyAlignment="1">
      <alignment horizontal="center"/>
    </xf>
    <xf numFmtId="0" fontId="51" fillId="0" borderId="16" xfId="0" applyFont="1" applyBorder="1"/>
    <xf numFmtId="0" fontId="13" fillId="0" borderId="16" xfId="0" applyFont="1" applyBorder="1"/>
    <xf numFmtId="1" fontId="13" fillId="0" borderId="16" xfId="0" applyNumberFormat="1" applyFont="1" applyBorder="1" applyAlignment="1">
      <alignment horizontal="center"/>
    </xf>
    <xf numFmtId="1" fontId="13" fillId="0" borderId="16" xfId="0" quotePrefix="1" applyNumberFormat="1" applyFont="1" applyBorder="1" applyAlignment="1">
      <alignment horizontal="center"/>
    </xf>
    <xf numFmtId="4" fontId="13" fillId="0" borderId="16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6" xfId="0" quotePrefix="1" applyFont="1" applyBorder="1" applyAlignment="1">
      <alignment horizontal="center"/>
    </xf>
    <xf numFmtId="0" fontId="29" fillId="0" borderId="0" xfId="0" applyFont="1" applyAlignment="1">
      <alignment horizontal="left" vertical="center"/>
    </xf>
    <xf numFmtId="4" fontId="29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4" fontId="3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0" fontId="52" fillId="3" borderId="11" xfId="0" applyFont="1" applyFill="1" applyBorder="1" applyAlignment="1">
      <alignment horizontal="left" vertical="center"/>
    </xf>
    <xf numFmtId="0" fontId="52" fillId="3" borderId="11" xfId="0" applyFont="1" applyFill="1" applyBorder="1" applyAlignment="1">
      <alignment horizontal="center" vertical="center"/>
    </xf>
    <xf numFmtId="4" fontId="52" fillId="3" borderId="11" xfId="0" applyNumberFormat="1" applyFont="1" applyFill="1" applyBorder="1" applyAlignment="1">
      <alignment horizontal="left" vertical="center"/>
    </xf>
    <xf numFmtId="0" fontId="31" fillId="3" borderId="11" xfId="0" applyFont="1" applyFill="1" applyBorder="1" applyAlignment="1">
      <alignment horizontal="left" vertical="center"/>
    </xf>
    <xf numFmtId="0" fontId="53" fillId="10" borderId="13" xfId="0" applyFont="1" applyFill="1" applyBorder="1" applyAlignment="1">
      <alignment horizontal="center" vertical="center"/>
    </xf>
    <xf numFmtId="0" fontId="33" fillId="0" borderId="13" xfId="0" applyFont="1" applyBorder="1" applyAlignment="1">
      <alignment vertical="center" wrapText="1"/>
    </xf>
    <xf numFmtId="0" fontId="33" fillId="0" borderId="13" xfId="0" applyFont="1" applyBorder="1" applyAlignment="1">
      <alignment vertical="center"/>
    </xf>
    <xf numFmtId="14" fontId="54" fillId="0" borderId="16" xfId="0" applyNumberFormat="1" applyFont="1" applyBorder="1" applyAlignment="1">
      <alignment horizontal="left"/>
    </xf>
    <xf numFmtId="0" fontId="33" fillId="0" borderId="13" xfId="0" applyFont="1" applyBorder="1" applyAlignment="1">
      <alignment horizontal="center" vertical="center"/>
    </xf>
    <xf numFmtId="164" fontId="32" fillId="0" borderId="13" xfId="0" applyNumberFormat="1" applyFont="1" applyBorder="1" applyAlignment="1">
      <alignment horizontal="center" vertical="center"/>
    </xf>
    <xf numFmtId="4" fontId="33" fillId="0" borderId="13" xfId="0" applyNumberFormat="1" applyFont="1" applyBorder="1" applyAlignment="1">
      <alignment horizontal="left" vertical="center"/>
    </xf>
    <xf numFmtId="49" fontId="33" fillId="0" borderId="13" xfId="0" applyNumberFormat="1" applyFont="1" applyBorder="1" applyAlignment="1">
      <alignment horizontal="left" vertical="center"/>
    </xf>
    <xf numFmtId="0" fontId="33" fillId="10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 wrapText="1"/>
    </xf>
    <xf numFmtId="49" fontId="33" fillId="0" borderId="3" xfId="0" applyNumberFormat="1" applyFont="1" applyBorder="1" applyAlignment="1">
      <alignment vertical="center"/>
    </xf>
    <xf numFmtId="49" fontId="33" fillId="0" borderId="3" xfId="0" applyNumberFormat="1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  <xf numFmtId="4" fontId="33" fillId="0" borderId="3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left" vertical="center"/>
    </xf>
    <xf numFmtId="0" fontId="33" fillId="0" borderId="3" xfId="0" applyFont="1" applyBorder="1" applyAlignment="1">
      <alignment vertical="center"/>
    </xf>
    <xf numFmtId="0" fontId="32" fillId="10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vertical="center" wrapText="1"/>
    </xf>
    <xf numFmtId="0" fontId="55" fillId="0" borderId="3" xfId="0" applyFont="1" applyBorder="1" applyAlignment="1">
      <alignment horizontal="center" vertical="center"/>
    </xf>
    <xf numFmtId="164" fontId="56" fillId="0" borderId="3" xfId="0" applyNumberFormat="1" applyFont="1" applyBorder="1" applyAlignment="1">
      <alignment horizontal="center" vertical="center"/>
    </xf>
    <xf numFmtId="49" fontId="33" fillId="0" borderId="3" xfId="0" quotePrefix="1" applyNumberFormat="1" applyFont="1" applyBorder="1" applyAlignment="1">
      <alignment horizontal="left" vertical="center"/>
    </xf>
    <xf numFmtId="14" fontId="57" fillId="0" borderId="16" xfId="0" applyNumberFormat="1" applyFont="1" applyBorder="1" applyAlignment="1">
      <alignment horizontal="left"/>
    </xf>
    <xf numFmtId="0" fontId="33" fillId="8" borderId="3" xfId="0" applyFont="1" applyFill="1" applyBorder="1" applyAlignment="1">
      <alignment vertical="center" wrapText="1"/>
    </xf>
    <xf numFmtId="0" fontId="33" fillId="8" borderId="3" xfId="0" applyFont="1" applyFill="1" applyBorder="1" applyAlignment="1">
      <alignment vertical="center"/>
    </xf>
    <xf numFmtId="14" fontId="54" fillId="8" borderId="16" xfId="0" applyNumberFormat="1" applyFont="1" applyFill="1" applyBorder="1" applyAlignment="1">
      <alignment horizontal="left"/>
    </xf>
    <xf numFmtId="0" fontId="33" fillId="8" borderId="3" xfId="0" applyFont="1" applyFill="1" applyBorder="1" applyAlignment="1">
      <alignment horizontal="center" vertical="center"/>
    </xf>
    <xf numFmtId="164" fontId="32" fillId="8" borderId="3" xfId="0" applyNumberFormat="1" applyFont="1" applyFill="1" applyBorder="1" applyAlignment="1">
      <alignment horizontal="center" vertical="center"/>
    </xf>
    <xf numFmtId="4" fontId="33" fillId="8" borderId="3" xfId="0" applyNumberFormat="1" applyFont="1" applyFill="1" applyBorder="1" applyAlignment="1">
      <alignment horizontal="left" vertical="center"/>
    </xf>
    <xf numFmtId="49" fontId="33" fillId="8" borderId="3" xfId="0" applyNumberFormat="1" applyFont="1" applyFill="1" applyBorder="1" applyAlignment="1">
      <alignment horizontal="left" vertical="center"/>
    </xf>
    <xf numFmtId="0" fontId="32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vertical="center"/>
    </xf>
    <xf numFmtId="14" fontId="54" fillId="4" borderId="16" xfId="0" applyNumberFormat="1" applyFont="1" applyFill="1" applyBorder="1" applyAlignment="1">
      <alignment horizontal="left"/>
    </xf>
    <xf numFmtId="0" fontId="33" fillId="0" borderId="3" xfId="0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3" fillId="0" borderId="3" xfId="0" applyFont="1" applyBorder="1" applyAlignment="1">
      <alignment horizontal="left" vertical="center"/>
    </xf>
    <xf numFmtId="0" fontId="33" fillId="8" borderId="3" xfId="0" applyFont="1" applyFill="1" applyBorder="1" applyAlignment="1">
      <alignment horizontal="left" vertical="center" wrapText="1"/>
    </xf>
    <xf numFmtId="49" fontId="33" fillId="8" borderId="3" xfId="0" applyNumberFormat="1" applyFont="1" applyFill="1" applyBorder="1" applyAlignment="1">
      <alignment vertical="center"/>
    </xf>
    <xf numFmtId="49" fontId="33" fillId="8" borderId="3" xfId="0" applyNumberFormat="1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58" fillId="0" borderId="3" xfId="0" applyFont="1" applyBorder="1" applyAlignment="1">
      <alignment vertical="center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vertical="center"/>
    </xf>
    <xf numFmtId="164" fontId="32" fillId="0" borderId="2" xfId="0" applyNumberFormat="1" applyFont="1" applyBorder="1" applyAlignment="1">
      <alignment horizontal="center" vertical="center"/>
    </xf>
    <xf numFmtId="4" fontId="33" fillId="0" borderId="2" xfId="0" applyNumberFormat="1" applyFont="1" applyBorder="1" applyAlignment="1">
      <alignment horizontal="left" vertical="center"/>
    </xf>
    <xf numFmtId="49" fontId="33" fillId="0" borderId="2" xfId="0" applyNumberFormat="1" applyFont="1" applyBorder="1" applyAlignment="1">
      <alignment horizontal="left" vertical="center"/>
    </xf>
    <xf numFmtId="4" fontId="32" fillId="0" borderId="3" xfId="0" applyNumberFormat="1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2" fillId="0" borderId="0" xfId="0" applyFont="1" applyAlignment="1">
      <alignment vertical="center"/>
    </xf>
    <xf numFmtId="0" fontId="32" fillId="8" borderId="3" xfId="0" applyFont="1" applyFill="1" applyBorder="1" applyAlignment="1">
      <alignment vertical="center"/>
    </xf>
    <xf numFmtId="0" fontId="32" fillId="8" borderId="14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horizontal="left" vertical="center"/>
    </xf>
    <xf numFmtId="164" fontId="32" fillId="8" borderId="14" xfId="0" applyNumberFormat="1" applyFont="1" applyFill="1" applyBorder="1" applyAlignment="1">
      <alignment horizontal="center" vertical="center"/>
    </xf>
    <xf numFmtId="4" fontId="32" fillId="8" borderId="14" xfId="0" applyNumberFormat="1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4" fontId="29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40" fillId="0" borderId="0" xfId="0" applyNumberFormat="1" applyFont="1" applyAlignment="1">
      <alignment horizontal="center" vertical="center"/>
    </xf>
    <xf numFmtId="4" fontId="31" fillId="3" borderId="11" xfId="0" applyNumberFormat="1" applyFont="1" applyFill="1" applyBorder="1" applyAlignment="1">
      <alignment horizontal="center" vertical="center"/>
    </xf>
    <xf numFmtId="0" fontId="31" fillId="3" borderId="11" xfId="0" quotePrefix="1" applyFont="1" applyFill="1" applyBorder="1" applyAlignment="1">
      <alignment horizontal="center" vertical="center"/>
    </xf>
    <xf numFmtId="4" fontId="31" fillId="3" borderId="13" xfId="0" applyNumberFormat="1" applyFont="1" applyFill="1" applyBorder="1" applyAlignment="1">
      <alignment vertical="center"/>
    </xf>
    <xf numFmtId="0" fontId="54" fillId="0" borderId="3" xfId="0" applyFont="1" applyBorder="1" applyAlignment="1">
      <alignment horizontal="left"/>
    </xf>
    <xf numFmtId="4" fontId="33" fillId="0" borderId="2" xfId="0" applyNumberFormat="1" applyFont="1" applyBorder="1" applyAlignment="1">
      <alignment vertical="center"/>
    </xf>
    <xf numFmtId="0" fontId="32" fillId="0" borderId="2" xfId="0" applyFont="1" applyBorder="1" applyAlignment="1">
      <alignment horizontal="center" vertical="center"/>
    </xf>
    <xf numFmtId="165" fontId="54" fillId="0" borderId="14" xfId="0" applyNumberFormat="1" applyFont="1" applyBorder="1" applyAlignment="1">
      <alignment horizontal="left"/>
    </xf>
    <xf numFmtId="0" fontId="54" fillId="11" borderId="2" xfId="0" applyFont="1" applyFill="1" applyBorder="1" applyAlignment="1">
      <alignment horizontal="left"/>
    </xf>
    <xf numFmtId="0" fontId="33" fillId="11" borderId="3" xfId="0" applyFont="1" applyFill="1" applyBorder="1" applyAlignment="1">
      <alignment vertical="center"/>
    </xf>
    <xf numFmtId="0" fontId="32" fillId="11" borderId="3" xfId="0" applyFont="1" applyFill="1" applyBorder="1" applyAlignment="1">
      <alignment horizontal="center" vertical="center"/>
    </xf>
    <xf numFmtId="4" fontId="33" fillId="11" borderId="2" xfId="0" applyNumberFormat="1" applyFont="1" applyFill="1" applyBorder="1" applyAlignment="1">
      <alignment vertical="center"/>
    </xf>
    <xf numFmtId="49" fontId="33" fillId="11" borderId="3" xfId="0" applyNumberFormat="1" applyFont="1" applyFill="1" applyBorder="1" applyAlignment="1">
      <alignment vertical="center"/>
    </xf>
    <xf numFmtId="0" fontId="32" fillId="11" borderId="2" xfId="0" applyFont="1" applyFill="1" applyBorder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165" fontId="54" fillId="11" borderId="3" xfId="0" applyNumberFormat="1" applyFont="1" applyFill="1" applyBorder="1" applyAlignment="1">
      <alignment horizontal="left"/>
    </xf>
    <xf numFmtId="49" fontId="33" fillId="11" borderId="3" xfId="0" applyNumberFormat="1" applyFont="1" applyFill="1" applyBorder="1" applyAlignment="1">
      <alignment horizontal="left" vertical="center"/>
    </xf>
    <xf numFmtId="0" fontId="54" fillId="0" borderId="2" xfId="0" applyFont="1" applyBorder="1" applyAlignment="1">
      <alignment horizontal="left"/>
    </xf>
    <xf numFmtId="4" fontId="33" fillId="0" borderId="3" xfId="0" applyNumberFormat="1" applyFont="1" applyBorder="1" applyAlignment="1">
      <alignment vertical="center"/>
    </xf>
    <xf numFmtId="165" fontId="54" fillId="0" borderId="2" xfId="0" applyNumberFormat="1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166" fontId="54" fillId="0" borderId="2" xfId="0" applyNumberFormat="1" applyFont="1" applyBorder="1" applyAlignment="1">
      <alignment horizontal="left"/>
    </xf>
    <xf numFmtId="4" fontId="32" fillId="0" borderId="3" xfId="0" applyNumberFormat="1" applyFont="1" applyBorder="1" applyAlignment="1">
      <alignment vertical="center"/>
    </xf>
    <xf numFmtId="165" fontId="54" fillId="4" borderId="2" xfId="0" applyNumberFormat="1" applyFont="1" applyFill="1" applyBorder="1" applyAlignment="1">
      <alignment horizontal="left"/>
    </xf>
    <xf numFmtId="0" fontId="54" fillId="0" borderId="2" xfId="0" applyFont="1" applyBorder="1" applyAlignment="1">
      <alignment horizontal="left" wrapText="1"/>
    </xf>
    <xf numFmtId="167" fontId="54" fillId="4" borderId="2" xfId="0" applyNumberFormat="1" applyFont="1" applyFill="1" applyBorder="1" applyAlignment="1">
      <alignment horizontal="left"/>
    </xf>
    <xf numFmtId="165" fontId="54" fillId="0" borderId="0" xfId="0" applyNumberFormat="1" applyFont="1" applyAlignment="1">
      <alignment horizontal="left"/>
    </xf>
    <xf numFmtId="167" fontId="54" fillId="0" borderId="3" xfId="0" applyNumberFormat="1" applyFont="1" applyBorder="1" applyAlignment="1">
      <alignment horizontal="left"/>
    </xf>
    <xf numFmtId="168" fontId="54" fillId="0" borderId="2" xfId="0" applyNumberFormat="1" applyFont="1" applyBorder="1" applyAlignment="1">
      <alignment horizontal="left"/>
    </xf>
    <xf numFmtId="0" fontId="60" fillId="0" borderId="2" xfId="0" applyFont="1" applyBorder="1" applyAlignment="1">
      <alignment horizontal="left"/>
    </xf>
    <xf numFmtId="167" fontId="59" fillId="0" borderId="2" xfId="0" applyNumberFormat="1" applyFont="1" applyBorder="1" applyAlignment="1">
      <alignment horizontal="left"/>
    </xf>
    <xf numFmtId="0" fontId="29" fillId="0" borderId="14" xfId="0" applyFont="1" applyBorder="1" applyAlignment="1">
      <alignment horizontal="center" vertical="center"/>
    </xf>
    <xf numFmtId="4" fontId="29" fillId="0" borderId="14" xfId="0" applyNumberFormat="1" applyFont="1" applyBorder="1" applyAlignment="1">
      <alignment horizontal="center" vertical="center"/>
    </xf>
    <xf numFmtId="4" fontId="29" fillId="0" borderId="0" xfId="0" applyNumberFormat="1" applyFont="1" applyAlignment="1">
      <alignment horizontal="center"/>
    </xf>
    <xf numFmtId="0" fontId="27" fillId="0" borderId="0" xfId="0" applyFont="1"/>
    <xf numFmtId="4" fontId="30" fillId="0" borderId="0" xfId="0" applyNumberFormat="1" applyFont="1" applyAlignment="1">
      <alignment horizontal="center"/>
    </xf>
    <xf numFmtId="4" fontId="40" fillId="0" borderId="0" xfId="0" applyNumberFormat="1" applyFont="1" applyAlignment="1">
      <alignment horizontal="center"/>
    </xf>
    <xf numFmtId="0" fontId="31" fillId="3" borderId="10" xfId="0" applyFont="1" applyFill="1" applyBorder="1" applyAlignment="1">
      <alignment horizontal="center"/>
    </xf>
    <xf numFmtId="0" fontId="31" fillId="3" borderId="11" xfId="0" applyFont="1" applyFill="1" applyBorder="1" applyAlignment="1">
      <alignment horizontal="center"/>
    </xf>
    <xf numFmtId="0" fontId="52" fillId="3" borderId="11" xfId="0" applyFont="1" applyFill="1" applyBorder="1" applyAlignment="1">
      <alignment horizontal="center"/>
    </xf>
    <xf numFmtId="4" fontId="31" fillId="3" borderId="11" xfId="0" applyNumberFormat="1" applyFont="1" applyFill="1" applyBorder="1" applyAlignment="1">
      <alignment horizontal="center"/>
    </xf>
    <xf numFmtId="0" fontId="31" fillId="3" borderId="13" xfId="0" applyFont="1" applyFill="1" applyBorder="1"/>
    <xf numFmtId="4" fontId="31" fillId="3" borderId="13" xfId="0" applyNumberFormat="1" applyFont="1" applyFill="1" applyBorder="1"/>
    <xf numFmtId="0" fontId="32" fillId="0" borderId="3" xfId="0" applyFont="1" applyBorder="1" applyAlignment="1">
      <alignment horizontal="center"/>
    </xf>
    <xf numFmtId="165" fontId="54" fillId="4" borderId="0" xfId="0" applyNumberFormat="1" applyFont="1" applyFill="1"/>
    <xf numFmtId="0" fontId="33" fillId="0" borderId="3" xfId="0" applyFont="1" applyBorder="1" applyAlignment="1">
      <alignment horizontal="center"/>
    </xf>
    <xf numFmtId="49" fontId="33" fillId="0" borderId="3" xfId="0" quotePrefix="1" applyNumberFormat="1" applyFont="1" applyBorder="1" applyAlignment="1">
      <alignment horizontal="left"/>
    </xf>
    <xf numFmtId="0" fontId="33" fillId="0" borderId="3" xfId="0" applyFont="1" applyBorder="1"/>
    <xf numFmtId="49" fontId="54" fillId="4" borderId="14" xfId="0" applyNumberFormat="1" applyFont="1" applyFill="1" applyBorder="1"/>
    <xf numFmtId="49" fontId="33" fillId="0" borderId="3" xfId="0" applyNumberFormat="1" applyFont="1" applyBorder="1" applyAlignment="1">
      <alignment horizontal="left"/>
    </xf>
    <xf numFmtId="165" fontId="54" fillId="4" borderId="3" xfId="0" applyNumberFormat="1" applyFont="1" applyFill="1" applyBorder="1"/>
    <xf numFmtId="49" fontId="54" fillId="4" borderId="3" xfId="0" applyNumberFormat="1" applyFont="1" applyFill="1" applyBorder="1"/>
    <xf numFmtId="4" fontId="54" fillId="4" borderId="3" xfId="0" applyNumberFormat="1" applyFont="1" applyFill="1" applyBorder="1" applyAlignment="1">
      <alignment horizontal="right"/>
    </xf>
    <xf numFmtId="49" fontId="54" fillId="4" borderId="3" xfId="0" applyNumberFormat="1" applyFont="1" applyFill="1" applyBorder="1" applyAlignment="1">
      <alignment horizontal="right"/>
    </xf>
    <xf numFmtId="4" fontId="33" fillId="0" borderId="3" xfId="0" applyNumberFormat="1" applyFont="1" applyBorder="1" applyAlignment="1">
      <alignment horizontal="right"/>
    </xf>
    <xf numFmtId="165" fontId="33" fillId="0" borderId="3" xfId="0" applyNumberFormat="1" applyFont="1" applyBorder="1" applyAlignment="1">
      <alignment horizontal="right"/>
    </xf>
    <xf numFmtId="4" fontId="33" fillId="0" borderId="3" xfId="0" applyNumberFormat="1" applyFont="1" applyBorder="1" applyAlignment="1">
      <alignment horizontal="right" vertical="center"/>
    </xf>
    <xf numFmtId="0" fontId="33" fillId="0" borderId="3" xfId="0" applyFont="1" applyBorder="1" applyAlignment="1">
      <alignment horizontal="left"/>
    </xf>
    <xf numFmtId="166" fontId="33" fillId="0" borderId="3" xfId="0" applyNumberFormat="1" applyFont="1" applyBorder="1" applyAlignment="1">
      <alignment horizontal="right"/>
    </xf>
    <xf numFmtId="0" fontId="32" fillId="0" borderId="3" xfId="0" applyFont="1" applyBorder="1"/>
    <xf numFmtId="0" fontId="32" fillId="0" borderId="3" xfId="0" applyFont="1" applyBorder="1" applyAlignment="1">
      <alignment horizontal="left"/>
    </xf>
    <xf numFmtId="0" fontId="55" fillId="0" borderId="3" xfId="0" applyFont="1" applyBorder="1"/>
    <xf numFmtId="164" fontId="32" fillId="0" borderId="3" xfId="0" applyNumberFormat="1" applyFont="1" applyBorder="1" applyAlignment="1">
      <alignment horizontal="center"/>
    </xf>
    <xf numFmtId="4" fontId="54" fillId="0" borderId="3" xfId="0" applyNumberFormat="1" applyFont="1" applyBorder="1" applyAlignment="1">
      <alignment horizontal="right"/>
    </xf>
    <xf numFmtId="167" fontId="33" fillId="0" borderId="3" xfId="0" applyNumberFormat="1" applyFont="1" applyBorder="1" applyAlignment="1">
      <alignment horizontal="right"/>
    </xf>
    <xf numFmtId="4" fontId="33" fillId="0" borderId="3" xfId="0" applyNumberFormat="1" applyFont="1" applyBorder="1" applyAlignment="1">
      <alignment vertical="center" wrapText="1"/>
    </xf>
    <xf numFmtId="49" fontId="54" fillId="4" borderId="0" xfId="0" applyNumberFormat="1" applyFont="1" applyFill="1" applyAlignment="1">
      <alignment horizontal="right"/>
    </xf>
    <xf numFmtId="4" fontId="13" fillId="0" borderId="8" xfId="0" applyNumberFormat="1" applyFont="1" applyBorder="1" applyAlignment="1">
      <alignment horizontal="right"/>
    </xf>
    <xf numFmtId="0" fontId="58" fillId="0" borderId="3" xfId="0" applyFont="1" applyBorder="1"/>
    <xf numFmtId="168" fontId="33" fillId="0" borderId="3" xfId="0" applyNumberFormat="1" applyFont="1" applyBorder="1" applyAlignment="1">
      <alignment horizontal="right"/>
    </xf>
    <xf numFmtId="4" fontId="33" fillId="0" borderId="8" xfId="0" applyNumberFormat="1" applyFont="1" applyBorder="1" applyAlignment="1">
      <alignment horizontal="right"/>
    </xf>
    <xf numFmtId="165" fontId="33" fillId="0" borderId="3" xfId="0" applyNumberFormat="1" applyFont="1" applyBorder="1"/>
    <xf numFmtId="0" fontId="61" fillId="0" borderId="3" xfId="0" applyFont="1" applyBorder="1"/>
    <xf numFmtId="49" fontId="33" fillId="0" borderId="3" xfId="0" applyNumberFormat="1" applyFont="1" applyBorder="1" applyAlignment="1">
      <alignment horizontal="right" vertical="center"/>
    </xf>
    <xf numFmtId="165" fontId="33" fillId="0" borderId="3" xfId="0" applyNumberFormat="1" applyFont="1" applyBorder="1" applyAlignment="1">
      <alignment horizontal="right" vertical="center"/>
    </xf>
    <xf numFmtId="4" fontId="33" fillId="0" borderId="3" xfId="0" applyNumberFormat="1" applyFont="1" applyBorder="1"/>
    <xf numFmtId="49" fontId="33" fillId="0" borderId="3" xfId="0" applyNumberFormat="1" applyFont="1" applyBorder="1" applyAlignment="1">
      <alignment horizontal="right"/>
    </xf>
    <xf numFmtId="0" fontId="33" fillId="0" borderId="3" xfId="0" applyFont="1" applyBorder="1" applyAlignment="1">
      <alignment horizontal="right" vertical="center"/>
    </xf>
    <xf numFmtId="164" fontId="56" fillId="0" borderId="3" xfId="0" applyNumberFormat="1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164" fontId="56" fillId="0" borderId="2" xfId="0" applyNumberFormat="1" applyFont="1" applyBorder="1" applyAlignment="1">
      <alignment horizontal="center"/>
    </xf>
    <xf numFmtId="165" fontId="33" fillId="0" borderId="2" xfId="0" applyNumberFormat="1" applyFont="1" applyBorder="1" applyAlignment="1">
      <alignment horizontal="right" vertical="center"/>
    </xf>
    <xf numFmtId="0" fontId="55" fillId="0" borderId="2" xfId="0" applyFont="1" applyBorder="1" applyAlignment="1">
      <alignment horizontal="center"/>
    </xf>
    <xf numFmtId="49" fontId="33" fillId="0" borderId="2" xfId="0" applyNumberFormat="1" applyFont="1" applyBorder="1" applyAlignment="1">
      <alignment horizontal="left"/>
    </xf>
    <xf numFmtId="0" fontId="33" fillId="0" borderId="2" xfId="0" applyFont="1" applyBorder="1"/>
    <xf numFmtId="49" fontId="33" fillId="0" borderId="2" xfId="0" applyNumberFormat="1" applyFont="1" applyBorder="1" applyAlignment="1">
      <alignment horizontal="right" vertical="center"/>
    </xf>
    <xf numFmtId="14" fontId="33" fillId="0" borderId="3" xfId="0" applyNumberFormat="1" applyFont="1" applyBorder="1" applyAlignment="1">
      <alignment vertical="center"/>
    </xf>
    <xf numFmtId="169" fontId="33" fillId="0" borderId="3" xfId="0" applyNumberFormat="1" applyFont="1" applyBorder="1" applyAlignment="1">
      <alignment horizontal="right" vertical="center"/>
    </xf>
    <xf numFmtId="0" fontId="62" fillId="0" borderId="3" xfId="0" applyFont="1" applyBorder="1" applyAlignment="1">
      <alignment horizontal="left"/>
    </xf>
    <xf numFmtId="164" fontId="62" fillId="0" borderId="3" xfId="0" applyNumberFormat="1" applyFont="1" applyBorder="1" applyAlignment="1">
      <alignment horizontal="center"/>
    </xf>
    <xf numFmtId="167" fontId="32" fillId="0" borderId="3" xfId="0" applyNumberFormat="1" applyFont="1" applyBorder="1" applyAlignment="1">
      <alignment horizontal="right"/>
    </xf>
    <xf numFmtId="0" fontId="62" fillId="0" borderId="3" xfId="0" applyFont="1" applyBorder="1" applyAlignment="1">
      <alignment horizontal="center"/>
    </xf>
    <xf numFmtId="0" fontId="63" fillId="0" borderId="0" xfId="0" applyFont="1"/>
    <xf numFmtId="0" fontId="20" fillId="0" borderId="0" xfId="0" applyFont="1" applyAlignment="1">
      <alignment horizontal="center"/>
    </xf>
    <xf numFmtId="0" fontId="8" fillId="1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25" fillId="3" borderId="10" xfId="0" applyFont="1" applyFill="1" applyBorder="1" applyAlignment="1">
      <alignment horizontal="center"/>
    </xf>
    <xf numFmtId="0" fontId="25" fillId="3" borderId="20" xfId="0" applyFont="1" applyFill="1" applyBorder="1" applyAlignment="1">
      <alignment horizontal="center"/>
    </xf>
    <xf numFmtId="0" fontId="25" fillId="3" borderId="11" xfId="0" applyFont="1" applyFill="1" applyBorder="1" applyAlignment="1">
      <alignment horizontal="center"/>
    </xf>
    <xf numFmtId="0" fontId="8" fillId="12" borderId="7" xfId="0" applyFont="1" applyFill="1" applyBorder="1" applyAlignment="1">
      <alignment horizontal="left" vertical="center" wrapText="1"/>
    </xf>
    <xf numFmtId="0" fontId="8" fillId="12" borderId="8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4" fontId="44" fillId="0" borderId="3" xfId="0" applyNumberFormat="1" applyFont="1" applyBorder="1" applyAlignment="1">
      <alignment horizontal="center"/>
    </xf>
    <xf numFmtId="0" fontId="2" fillId="23" borderId="3" xfId="0" applyFont="1" applyFill="1" applyBorder="1" applyAlignment="1">
      <alignment vertical="center" wrapText="1"/>
    </xf>
    <xf numFmtId="0" fontId="2" fillId="23" borderId="3" xfId="0" applyFont="1" applyFill="1" applyBorder="1" applyAlignment="1">
      <alignment vertical="center"/>
    </xf>
    <xf numFmtId="0" fontId="2" fillId="23" borderId="3" xfId="0" applyFont="1" applyFill="1" applyBorder="1" applyAlignment="1">
      <alignment horizontal="center" vertical="center"/>
    </xf>
    <xf numFmtId="0" fontId="8" fillId="23" borderId="3" xfId="0" applyFont="1" applyFill="1" applyBorder="1" applyAlignment="1">
      <alignment vertical="center" wrapText="1"/>
    </xf>
    <xf numFmtId="0" fontId="8" fillId="23" borderId="3" xfId="0" applyFont="1" applyFill="1" applyBorder="1" applyAlignment="1">
      <alignment vertical="center"/>
    </xf>
    <xf numFmtId="0" fontId="8" fillId="23" borderId="3" xfId="0" applyFont="1" applyFill="1" applyBorder="1" applyAlignment="1">
      <alignment horizontal="center" vertical="center"/>
    </xf>
    <xf numFmtId="0" fontId="44" fillId="0" borderId="3" xfId="0" applyFont="1" applyBorder="1"/>
    <xf numFmtId="0" fontId="2" fillId="13" borderId="3" xfId="0" applyFont="1" applyFill="1" applyBorder="1" applyAlignment="1">
      <alignment horizontal="center"/>
    </xf>
    <xf numFmtId="0" fontId="64" fillId="0" borderId="3" xfId="0" applyFont="1" applyBorder="1" applyAlignment="1">
      <alignment vertical="center"/>
    </xf>
    <xf numFmtId="0" fontId="64" fillId="0" borderId="3" xfId="0" applyFont="1" applyBorder="1"/>
    <xf numFmtId="0" fontId="8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/>
    </xf>
    <xf numFmtId="0" fontId="65" fillId="0" borderId="3" xfId="0" applyFont="1" applyBorder="1"/>
    <xf numFmtId="0" fontId="66" fillId="0" borderId="3" xfId="0" applyFont="1" applyBorder="1"/>
    <xf numFmtId="0" fontId="8" fillId="13" borderId="3" xfId="0" applyFont="1" applyFill="1" applyBorder="1" applyAlignment="1">
      <alignment horizontal="center" vertical="center"/>
    </xf>
    <xf numFmtId="0" fontId="35" fillId="23" borderId="3" xfId="0" applyFont="1" applyFill="1" applyBorder="1" applyAlignment="1">
      <alignment horizontal="left" vertical="center" wrapText="1"/>
    </xf>
    <xf numFmtId="49" fontId="35" fillId="23" borderId="3" xfId="0" applyNumberFormat="1" applyFont="1" applyFill="1" applyBorder="1" applyAlignment="1">
      <alignment vertical="center"/>
    </xf>
    <xf numFmtId="0" fontId="35" fillId="23" borderId="3" xfId="0" applyFont="1" applyFill="1" applyBorder="1" applyAlignment="1">
      <alignment horizontal="center" vertical="center"/>
    </xf>
    <xf numFmtId="0" fontId="44" fillId="10" borderId="3" xfId="0" applyFont="1" applyFill="1" applyBorder="1" applyAlignment="1">
      <alignment horizontal="center"/>
    </xf>
    <xf numFmtId="0" fontId="5" fillId="23" borderId="0" xfId="0" applyFont="1" applyFill="1"/>
    <xf numFmtId="0" fontId="28" fillId="0" borderId="0" xfId="0" applyFont="1"/>
    <xf numFmtId="0" fontId="28" fillId="2" borderId="0" xfId="0" applyFont="1" applyFill="1"/>
    <xf numFmtId="9" fontId="28" fillId="2" borderId="0" xfId="0" applyNumberFormat="1" applyFont="1" applyFill="1"/>
    <xf numFmtId="164" fontId="5" fillId="0" borderId="0" xfId="0" applyNumberFormat="1" applyFont="1"/>
    <xf numFmtId="16" fontId="5" fillId="0" borderId="0" xfId="0" applyNumberFormat="1" applyFont="1"/>
    <xf numFmtId="164" fontId="5" fillId="0" borderId="0" xfId="0" quotePrefix="1" applyNumberFormat="1" applyFont="1"/>
    <xf numFmtId="0" fontId="29" fillId="0" borderId="3" xfId="0" applyFont="1" applyBorder="1"/>
    <xf numFmtId="0" fontId="2" fillId="0" borderId="8" xfId="0" applyFont="1" applyBorder="1" applyAlignment="1">
      <alignment vertical="center" wrapText="1"/>
    </xf>
    <xf numFmtId="0" fontId="20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vertical="center" wrapText="1"/>
    </xf>
    <xf numFmtId="0" fontId="20" fillId="0" borderId="16" xfId="0" applyFont="1" applyBorder="1" applyAlignment="1">
      <alignment vertical="center"/>
    </xf>
    <xf numFmtId="0" fontId="38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0" fillId="0" borderId="16" xfId="0" applyFont="1" applyBorder="1" applyAlignment="1">
      <alignment vertical="center" wrapText="1"/>
    </xf>
    <xf numFmtId="0" fontId="41" fillId="0" borderId="16" xfId="0" applyFont="1" applyBorder="1" applyAlignment="1">
      <alignment vertical="center"/>
    </xf>
    <xf numFmtId="0" fontId="8" fillId="4" borderId="3" xfId="0" applyFont="1" applyFill="1" applyBorder="1" applyAlignment="1">
      <alignment horizontal="left" vertical="center"/>
    </xf>
    <xf numFmtId="0" fontId="10" fillId="0" borderId="7" xfId="0" applyFont="1" applyBorder="1"/>
    <xf numFmtId="0" fontId="10" fillId="0" borderId="8" xfId="0" applyFont="1" applyBorder="1"/>
    <xf numFmtId="0" fontId="0" fillId="0" borderId="21" xfId="0" applyBorder="1"/>
    <xf numFmtId="0" fontId="68" fillId="0" borderId="21" xfId="1" applyBorder="1"/>
    <xf numFmtId="0" fontId="67" fillId="0" borderId="21" xfId="0" applyFont="1" applyBorder="1"/>
    <xf numFmtId="0" fontId="69" fillId="0" borderId="21" xfId="0" applyFont="1" applyBorder="1"/>
    <xf numFmtId="0" fontId="36" fillId="0" borderId="21" xfId="0" applyFont="1" applyBorder="1"/>
    <xf numFmtId="49" fontId="36" fillId="0" borderId="21" xfId="0" applyNumberFormat="1" applyFont="1" applyBorder="1"/>
    <xf numFmtId="0" fontId="36" fillId="0" borderId="21" xfId="0" applyFont="1" applyBorder="1" applyAlignment="1">
      <alignment horizontal="left"/>
    </xf>
    <xf numFmtId="0" fontId="36" fillId="4" borderId="21" xfId="0" applyFont="1" applyFill="1" applyBorder="1"/>
    <xf numFmtId="0" fontId="37" fillId="0" borderId="21" xfId="0" applyFont="1" applyBorder="1"/>
    <xf numFmtId="0" fontId="70" fillId="0" borderId="21" xfId="0" applyFont="1" applyBorder="1"/>
    <xf numFmtId="0" fontId="70" fillId="0" borderId="0" xfId="0" applyFont="1"/>
    <xf numFmtId="0" fontId="1" fillId="0" borderId="21" xfId="0" applyFont="1" applyBorder="1"/>
    <xf numFmtId="0" fontId="8" fillId="0" borderId="1" xfId="0" applyFont="1" applyBorder="1" applyAlignment="1">
      <alignment horizontal="center" vertical="center"/>
    </xf>
    <xf numFmtId="0" fontId="4" fillId="0" borderId="2" xfId="0" applyFont="1" applyBorder="1"/>
    <xf numFmtId="0" fontId="8" fillId="0" borderId="1" xfId="0" applyFont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0" fillId="0" borderId="0" xfId="0"/>
    <xf numFmtId="0" fontId="5" fillId="6" borderId="0" xfId="0" applyFont="1" applyFill="1" applyAlignment="1">
      <alignment wrapText="1"/>
    </xf>
    <xf numFmtId="0" fontId="7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8" fillId="5" borderId="6" xfId="0" applyFont="1" applyFill="1" applyBorder="1" applyAlignment="1">
      <alignment horizontal="left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/>
    </xf>
    <xf numFmtId="0" fontId="4" fillId="0" borderId="15" xfId="0" applyFont="1" applyBorder="1"/>
    <xf numFmtId="0" fontId="25" fillId="3" borderId="12" xfId="0" applyFont="1" applyFill="1" applyBorder="1" applyAlignment="1">
      <alignment horizontal="left" vertical="center"/>
    </xf>
    <xf numFmtId="49" fontId="35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/>
    </xf>
    <xf numFmtId="14" fontId="8" fillId="10" borderId="1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center" wrapText="1"/>
    </xf>
    <xf numFmtId="0" fontId="29" fillId="0" borderId="18" xfId="0" applyFont="1" applyBorder="1" applyAlignment="1">
      <alignment horizontal="center"/>
    </xf>
    <xf numFmtId="0" fontId="4" fillId="0" borderId="14" xfId="0" applyFont="1" applyBorder="1"/>
    <xf numFmtId="0" fontId="4" fillId="0" borderId="19" xfId="0" applyFont="1" applyBorder="1"/>
    <xf numFmtId="0" fontId="4" fillId="0" borderId="5" xfId="0" applyFont="1" applyBorder="1"/>
    <xf numFmtId="0" fontId="4" fillId="0" borderId="9" xfId="0" applyFont="1" applyBorder="1"/>
    <xf numFmtId="0" fontId="4" fillId="0" borderId="4" xfId="0" applyFont="1" applyBorder="1"/>
    <xf numFmtId="0" fontId="4" fillId="0" borderId="17" xfId="0" applyFont="1" applyBorder="1"/>
    <xf numFmtId="0" fontId="4" fillId="0" borderId="16" xfId="0" applyFont="1" applyBorder="1"/>
    <xf numFmtId="0" fontId="30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2" fillId="0" borderId="0" xfId="0" applyFont="1"/>
    <xf numFmtId="49" fontId="8" fillId="12" borderId="6" xfId="0" applyNumberFormat="1" applyFont="1" applyFill="1" applyBorder="1" applyAlignment="1">
      <alignment horizontal="left" vertical="center"/>
    </xf>
    <xf numFmtId="0" fontId="26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5" fillId="10" borderId="0" xfId="0" applyFont="1" applyFill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6" fillId="21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8" fillId="12" borderId="6" xfId="0" applyFont="1" applyFill="1" applyBorder="1" applyAlignment="1">
      <alignment horizontal="left" vertical="center"/>
    </xf>
    <xf numFmtId="0" fontId="34" fillId="0" borderId="0" xfId="0" applyFont="1" applyAlignment="1">
      <alignment horizontal="center"/>
    </xf>
    <xf numFmtId="0" fontId="39" fillId="0" borderId="17" xfId="0" applyFont="1" applyBorder="1" applyAlignment="1">
      <alignment horizontal="center"/>
    </xf>
    <xf numFmtId="0" fontId="51" fillId="0" borderId="6" xfId="0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52" fillId="3" borderId="12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/>
    </xf>
    <xf numFmtId="0" fontId="2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46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4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142875</xdr:rowOff>
    </xdr:from>
    <xdr:ext cx="5772150" cy="1247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695325</xdr:colOff>
      <xdr:row>28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0</xdr:row>
      <xdr:rowOff>171450</xdr:rowOff>
    </xdr:from>
    <xdr:ext cx="7153275" cy="1200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9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0</xdr:row>
      <xdr:rowOff>133350</xdr:rowOff>
    </xdr:from>
    <xdr:ext cx="5324475" cy="9048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0</xdr:row>
      <xdr:rowOff>0</xdr:rowOff>
    </xdr:from>
    <xdr:ext cx="6000750" cy="10096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6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876300</xdr:colOff>
      <xdr:row>0</xdr:row>
      <xdr:rowOff>104775</xdr:rowOff>
    </xdr:from>
    <xdr:ext cx="2438400" cy="5048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695325</xdr:colOff>
      <xdr:row>26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0</xdr:row>
      <xdr:rowOff>171450</xdr:rowOff>
    </xdr:from>
    <xdr:ext cx="7153275" cy="1200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695325</xdr:colOff>
      <xdr:row>24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0</xdr:row>
      <xdr:rowOff>171450</xdr:rowOff>
    </xdr:from>
    <xdr:ext cx="7153275" cy="1200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24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1752600</xdr:colOff>
      <xdr:row>0</xdr:row>
      <xdr:rowOff>0</xdr:rowOff>
    </xdr:from>
    <xdr:ext cx="6038850" cy="12001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26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257175</xdr:colOff>
      <xdr:row>0</xdr:row>
      <xdr:rowOff>171450</xdr:rowOff>
    </xdr:from>
    <xdr:ext cx="7162800" cy="12001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0</xdr:row>
      <xdr:rowOff>0</xdr:rowOff>
    </xdr:from>
    <xdr:ext cx="6000750" cy="10096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8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1333500</xdr:colOff>
      <xdr:row>1</xdr:row>
      <xdr:rowOff>171450</xdr:rowOff>
    </xdr:from>
    <xdr:ext cx="2438400" cy="5048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mantha.dawideo@dict.gov.ph" TargetMode="External"/><Relationship Id="rId3" Type="http://schemas.openxmlformats.org/officeDocument/2006/relationships/hyperlink" Target="mailto:joeymark.elchico@dict.gov.ph" TargetMode="External"/><Relationship Id="rId7" Type="http://schemas.openxmlformats.org/officeDocument/2006/relationships/hyperlink" Target="mailto:janet.catinoy@dict.gov.ph" TargetMode="External"/><Relationship Id="rId2" Type="http://schemas.openxmlformats.org/officeDocument/2006/relationships/hyperlink" Target="mailto:johny.batang@dict.gov.ph" TargetMode="External"/><Relationship Id="rId1" Type="http://schemas.openxmlformats.org/officeDocument/2006/relationships/hyperlink" Target="mailto:edmund.manuel@dict.gov.ph" TargetMode="External"/><Relationship Id="rId6" Type="http://schemas.openxmlformats.org/officeDocument/2006/relationships/hyperlink" Target="mailto:leonor.tumaliuan@dict.gov.ph" TargetMode="External"/><Relationship Id="rId5" Type="http://schemas.openxmlformats.org/officeDocument/2006/relationships/hyperlink" Target="mailto:edwardmark.argonza@dict.gov.ph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juliuscezar.baquiran@dict.gov.ph" TargetMode="External"/><Relationship Id="rId9" Type="http://schemas.openxmlformats.org/officeDocument/2006/relationships/hyperlink" Target="mailto:christopher.capili@dictgov.p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AH1026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6.109375" customWidth="1"/>
    <col min="2" max="2" width="40.109375" customWidth="1"/>
    <col min="3" max="3" width="10.44140625" customWidth="1"/>
    <col min="4" max="5" width="23.109375" customWidth="1"/>
    <col min="6" max="6" width="26.6640625" customWidth="1"/>
    <col min="7" max="7" width="16.6640625" customWidth="1"/>
    <col min="10" max="10" width="35.109375" customWidth="1"/>
    <col min="11" max="11" width="43" customWidth="1"/>
    <col min="12" max="12" width="17.33203125" customWidth="1"/>
    <col min="13" max="13" width="38" customWidth="1"/>
    <col min="14" max="17" width="32.33203125" customWidth="1"/>
    <col min="18" max="18" width="41.44140625" customWidth="1"/>
  </cols>
  <sheetData>
    <row r="1" spans="1:18" ht="109.5" customHeight="1">
      <c r="A1" s="651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7"/>
    </row>
    <row r="2" spans="1:18" ht="18.600000000000001">
      <c r="C2" s="8"/>
      <c r="D2" s="9"/>
      <c r="I2" s="10"/>
      <c r="J2" s="1"/>
      <c r="K2" s="1"/>
      <c r="L2" s="11"/>
      <c r="M2" s="11"/>
    </row>
    <row r="3" spans="1:18" ht="18.600000000000001">
      <c r="C3" s="8"/>
      <c r="D3" s="9"/>
      <c r="I3" s="10"/>
      <c r="J3" s="1"/>
      <c r="K3" s="1"/>
      <c r="L3" s="11"/>
      <c r="M3" s="11"/>
    </row>
    <row r="4" spans="1:18" ht="21">
      <c r="A4" s="652"/>
      <c r="B4" s="645" t="s">
        <v>41</v>
      </c>
      <c r="C4" s="653" t="s">
        <v>42</v>
      </c>
      <c r="D4" s="654" t="s">
        <v>43</v>
      </c>
      <c r="E4" s="655" t="s">
        <v>44</v>
      </c>
      <c r="F4" s="656"/>
      <c r="G4" s="657"/>
      <c r="H4" s="645" t="s">
        <v>45</v>
      </c>
      <c r="I4" s="659" t="s">
        <v>46</v>
      </c>
      <c r="J4" s="660" t="s">
        <v>47</v>
      </c>
      <c r="K4" s="660" t="s">
        <v>0</v>
      </c>
      <c r="L4" s="645" t="s">
        <v>48</v>
      </c>
      <c r="M4" s="645" t="s">
        <v>49</v>
      </c>
      <c r="N4" s="647" t="s">
        <v>50</v>
      </c>
      <c r="O4" s="12" t="s">
        <v>51</v>
      </c>
      <c r="P4" s="13"/>
      <c r="Q4" s="13"/>
      <c r="R4" s="14" t="s">
        <v>52</v>
      </c>
    </row>
    <row r="5" spans="1:18" ht="18.600000000000001">
      <c r="A5" s="646"/>
      <c r="B5" s="646"/>
      <c r="C5" s="646"/>
      <c r="D5" s="646"/>
      <c r="E5" s="15" t="s">
        <v>53</v>
      </c>
      <c r="F5" s="15" t="s">
        <v>54</v>
      </c>
      <c r="G5" s="15" t="s">
        <v>55</v>
      </c>
      <c r="H5" s="646"/>
      <c r="I5" s="646"/>
      <c r="J5" s="646"/>
      <c r="K5" s="646"/>
      <c r="L5" s="646"/>
      <c r="M5" s="646"/>
      <c r="N5" s="646"/>
      <c r="O5" s="12" t="s">
        <v>56</v>
      </c>
      <c r="P5" s="13"/>
      <c r="Q5" s="13" t="s">
        <v>57</v>
      </c>
    </row>
    <row r="6" spans="1:18" ht="18.600000000000001">
      <c r="A6" s="658" t="s">
        <v>58</v>
      </c>
      <c r="B6" s="656"/>
      <c r="C6" s="656"/>
      <c r="D6" s="656"/>
      <c r="E6" s="656"/>
      <c r="F6" s="656"/>
      <c r="G6" s="656"/>
      <c r="H6" s="16"/>
      <c r="I6" s="16"/>
      <c r="J6" s="16"/>
      <c r="K6" s="16"/>
      <c r="L6" s="17"/>
      <c r="M6" s="18"/>
      <c r="N6" s="18"/>
      <c r="O6" s="18"/>
      <c r="P6" s="13"/>
      <c r="Q6" s="13"/>
    </row>
    <row r="7" spans="1:18" ht="19.2">
      <c r="A7" s="19">
        <v>1</v>
      </c>
      <c r="B7" s="20" t="s">
        <v>59</v>
      </c>
      <c r="C7" s="19" t="s">
        <v>60</v>
      </c>
      <c r="D7" s="21">
        <v>160469</v>
      </c>
      <c r="E7" s="22" t="s">
        <v>61</v>
      </c>
      <c r="F7" s="23" t="s">
        <v>62</v>
      </c>
      <c r="G7" s="23" t="s">
        <v>63</v>
      </c>
      <c r="H7" s="24" t="s">
        <v>64</v>
      </c>
      <c r="I7" s="25">
        <v>28229</v>
      </c>
      <c r="J7" s="26"/>
      <c r="K7" s="27" t="s">
        <v>65</v>
      </c>
      <c r="L7" s="28" t="s">
        <v>66</v>
      </c>
      <c r="M7" s="29" t="s">
        <v>67</v>
      </c>
      <c r="N7" s="30">
        <v>2004093385</v>
      </c>
      <c r="O7" s="31"/>
      <c r="P7" s="32" t="str">
        <f t="shared" ref="P7:P45" si="0">CONCATENATE(E7,",", " ",F7," ", LEFT(G7,1),".",)</f>
        <v>JIMENEZ, PINKY T.</v>
      </c>
      <c r="Q7" s="32"/>
      <c r="R7" s="33">
        <v>47</v>
      </c>
    </row>
    <row r="8" spans="1:18" ht="19.2">
      <c r="A8" s="19">
        <v>2</v>
      </c>
      <c r="B8" s="34" t="s">
        <v>68</v>
      </c>
      <c r="C8" s="35" t="s">
        <v>69</v>
      </c>
      <c r="D8" s="36">
        <v>98185</v>
      </c>
      <c r="E8" s="22" t="s">
        <v>70</v>
      </c>
      <c r="F8" s="23" t="s">
        <v>71</v>
      </c>
      <c r="G8" s="23" t="s">
        <v>72</v>
      </c>
      <c r="H8" s="28" t="s">
        <v>64</v>
      </c>
      <c r="I8" s="37">
        <v>23575</v>
      </c>
      <c r="J8" s="4">
        <v>9178095588</v>
      </c>
      <c r="K8" s="5" t="s">
        <v>18</v>
      </c>
      <c r="L8" s="28" t="s">
        <v>66</v>
      </c>
      <c r="M8" s="38" t="s">
        <v>73</v>
      </c>
      <c r="N8" s="30">
        <v>2001895932</v>
      </c>
      <c r="O8" s="39">
        <v>34773</v>
      </c>
      <c r="P8" s="32" t="str">
        <f t="shared" si="0"/>
        <v>GOMEZ, MAGDALENA D.</v>
      </c>
      <c r="Q8" s="40" t="str">
        <f t="shared" ref="Q8:Q15" ca="1" si="1">DATEDIF(O8,TODAY(),"Y")&amp;"Years"&amp;DATEDIF(O8,TODAY(),"YM")&amp;"Months"</f>
        <v>30Years5Months</v>
      </c>
      <c r="R8" s="33">
        <v>60</v>
      </c>
    </row>
    <row r="9" spans="1:18" ht="19.2">
      <c r="A9" s="19">
        <v>3</v>
      </c>
      <c r="B9" s="34" t="s">
        <v>74</v>
      </c>
      <c r="C9" s="35" t="s">
        <v>69</v>
      </c>
      <c r="D9" s="36">
        <v>98185</v>
      </c>
      <c r="E9" s="22" t="s">
        <v>75</v>
      </c>
      <c r="F9" s="23" t="s">
        <v>76</v>
      </c>
      <c r="G9" s="23" t="s">
        <v>77</v>
      </c>
      <c r="H9" s="28" t="s">
        <v>64</v>
      </c>
      <c r="I9" s="41">
        <v>23662</v>
      </c>
      <c r="J9" s="4" t="s">
        <v>78</v>
      </c>
      <c r="K9" s="42" t="s">
        <v>15</v>
      </c>
      <c r="L9" s="28" t="s">
        <v>66</v>
      </c>
      <c r="M9" s="38" t="s">
        <v>79</v>
      </c>
      <c r="N9" s="30">
        <v>2002292910</v>
      </c>
      <c r="O9" s="43">
        <v>32356</v>
      </c>
      <c r="P9" s="32" t="str">
        <f t="shared" si="0"/>
        <v>VILLAFUERTE, MINA FLOR T.</v>
      </c>
      <c r="Q9" s="40" t="str">
        <f t="shared" ca="1" si="1"/>
        <v>37Years1Months</v>
      </c>
      <c r="R9" s="33">
        <v>63</v>
      </c>
    </row>
    <row r="10" spans="1:18" ht="19.2">
      <c r="A10" s="19">
        <v>4</v>
      </c>
      <c r="B10" s="34" t="s">
        <v>80</v>
      </c>
      <c r="C10" s="35" t="s">
        <v>81</v>
      </c>
      <c r="D10" s="36">
        <v>78162</v>
      </c>
      <c r="E10" s="22" t="s">
        <v>82</v>
      </c>
      <c r="F10" s="23" t="s">
        <v>83</v>
      </c>
      <c r="G10" s="23" t="s">
        <v>84</v>
      </c>
      <c r="H10" s="28" t="s">
        <v>85</v>
      </c>
      <c r="I10" s="37">
        <v>27002</v>
      </c>
      <c r="J10" s="4">
        <v>9277964522</v>
      </c>
      <c r="K10" s="44" t="s">
        <v>16</v>
      </c>
      <c r="L10" s="28" t="s">
        <v>66</v>
      </c>
      <c r="M10" s="38" t="s">
        <v>86</v>
      </c>
      <c r="N10" s="30">
        <v>2002292602</v>
      </c>
      <c r="O10" s="39">
        <v>35373</v>
      </c>
      <c r="P10" s="32" t="str">
        <f t="shared" si="0"/>
        <v>BARIUAN, RONALD  S.</v>
      </c>
      <c r="Q10" s="40" t="str">
        <f t="shared" ca="1" si="1"/>
        <v>28Years10Months</v>
      </c>
      <c r="R10" s="33">
        <v>51</v>
      </c>
    </row>
    <row r="11" spans="1:18" ht="19.2">
      <c r="A11" s="19">
        <v>5</v>
      </c>
      <c r="B11" s="34" t="s">
        <v>80</v>
      </c>
      <c r="C11" s="35" t="s">
        <v>81</v>
      </c>
      <c r="D11" s="36">
        <v>78162</v>
      </c>
      <c r="E11" s="22" t="s">
        <v>87</v>
      </c>
      <c r="F11" s="23" t="s">
        <v>88</v>
      </c>
      <c r="G11" s="23" t="s">
        <v>89</v>
      </c>
      <c r="H11" s="28" t="s">
        <v>85</v>
      </c>
      <c r="I11" s="37">
        <v>25815</v>
      </c>
      <c r="J11" s="4" t="s">
        <v>90</v>
      </c>
      <c r="K11" s="1" t="s">
        <v>17</v>
      </c>
      <c r="L11" s="28" t="s">
        <v>66</v>
      </c>
      <c r="M11" s="38" t="s">
        <v>91</v>
      </c>
      <c r="N11" s="30">
        <v>2001893942</v>
      </c>
      <c r="O11" s="39">
        <v>35373</v>
      </c>
      <c r="P11" s="32" t="str">
        <f t="shared" si="0"/>
        <v>GAZZINGAN, CIRILO JR. N.</v>
      </c>
      <c r="Q11" s="40" t="str">
        <f t="shared" ca="1" si="1"/>
        <v>28Years10Months</v>
      </c>
      <c r="R11" s="33">
        <v>54</v>
      </c>
    </row>
    <row r="12" spans="1:18" ht="18.600000000000001">
      <c r="A12" s="19">
        <v>6</v>
      </c>
      <c r="B12" s="34" t="s">
        <v>80</v>
      </c>
      <c r="C12" s="35" t="s">
        <v>81</v>
      </c>
      <c r="D12" s="36">
        <v>78162</v>
      </c>
      <c r="E12" s="22" t="s">
        <v>92</v>
      </c>
      <c r="F12" s="23" t="s">
        <v>93</v>
      </c>
      <c r="G12" s="23" t="s">
        <v>94</v>
      </c>
      <c r="H12" s="28" t="s">
        <v>85</v>
      </c>
      <c r="I12" s="37">
        <v>26101</v>
      </c>
      <c r="J12" s="4" t="s">
        <v>95</v>
      </c>
      <c r="K12" s="5" t="s">
        <v>13</v>
      </c>
      <c r="L12" s="28" t="s">
        <v>66</v>
      </c>
      <c r="M12" s="38" t="s">
        <v>96</v>
      </c>
      <c r="N12" s="31"/>
      <c r="O12" s="39">
        <v>42515</v>
      </c>
      <c r="P12" s="32" t="str">
        <f t="shared" si="0"/>
        <v>LAYUGAN, ROGELIO  T.</v>
      </c>
      <c r="Q12" s="40" t="str">
        <f t="shared" ca="1" si="1"/>
        <v>9Years3Months</v>
      </c>
      <c r="R12" s="33">
        <v>53</v>
      </c>
    </row>
    <row r="13" spans="1:18" ht="18.600000000000001">
      <c r="A13" s="19">
        <v>7</v>
      </c>
      <c r="B13" s="20" t="s">
        <v>97</v>
      </c>
      <c r="C13" s="19" t="s">
        <v>98</v>
      </c>
      <c r="D13" s="36">
        <v>56390</v>
      </c>
      <c r="E13" s="22" t="s">
        <v>99</v>
      </c>
      <c r="F13" s="23" t="s">
        <v>100</v>
      </c>
      <c r="G13" s="23" t="s">
        <v>101</v>
      </c>
      <c r="H13" s="24" t="s">
        <v>85</v>
      </c>
      <c r="I13" s="37">
        <v>31690</v>
      </c>
      <c r="J13" s="26" t="s">
        <v>102</v>
      </c>
      <c r="K13" s="27" t="s">
        <v>103</v>
      </c>
      <c r="L13" s="28" t="s">
        <v>66</v>
      </c>
      <c r="M13" s="28" t="s">
        <v>104</v>
      </c>
      <c r="N13" s="31"/>
      <c r="O13" s="39">
        <v>45307</v>
      </c>
      <c r="P13" s="32" t="str">
        <f t="shared" si="0"/>
        <v>DEL ROSARIO, JEMAR JAY C.</v>
      </c>
      <c r="Q13" s="40" t="str">
        <f t="shared" ca="1" si="1"/>
        <v>1Years7Months</v>
      </c>
      <c r="R13" s="33">
        <v>38</v>
      </c>
    </row>
    <row r="14" spans="1:18" ht="18.600000000000001">
      <c r="A14" s="19">
        <v>8</v>
      </c>
      <c r="B14" s="34" t="s">
        <v>105</v>
      </c>
      <c r="C14" s="35" t="s">
        <v>98</v>
      </c>
      <c r="D14" s="36">
        <v>56390</v>
      </c>
      <c r="E14" s="45" t="s">
        <v>106</v>
      </c>
      <c r="F14" s="46" t="s">
        <v>107</v>
      </c>
      <c r="G14" s="46" t="s">
        <v>108</v>
      </c>
      <c r="H14" s="24" t="s">
        <v>64</v>
      </c>
      <c r="I14" s="41">
        <v>27740</v>
      </c>
      <c r="J14" s="4">
        <v>9672488708</v>
      </c>
      <c r="K14" s="42" t="s">
        <v>14</v>
      </c>
      <c r="L14" s="28" t="s">
        <v>66</v>
      </c>
      <c r="M14" s="38" t="s">
        <v>109</v>
      </c>
      <c r="N14" s="31"/>
      <c r="O14" s="39">
        <v>44270</v>
      </c>
      <c r="P14" s="32" t="str">
        <f t="shared" si="0"/>
        <v>TULAUAN, JOHANNA F.</v>
      </c>
      <c r="Q14" s="40" t="str">
        <f t="shared" ca="1" si="1"/>
        <v>4Years5Months</v>
      </c>
      <c r="R14" s="33">
        <v>49</v>
      </c>
    </row>
    <row r="15" spans="1:18" ht="19.2">
      <c r="A15" s="19">
        <f t="shared" ref="A15:A41" si="2">A14+1</f>
        <v>9</v>
      </c>
      <c r="B15" s="20" t="s">
        <v>110</v>
      </c>
      <c r="C15" s="35" t="s">
        <v>98</v>
      </c>
      <c r="D15" s="36">
        <v>56390</v>
      </c>
      <c r="E15" s="22" t="s">
        <v>111</v>
      </c>
      <c r="F15" s="47" t="s">
        <v>112</v>
      </c>
      <c r="G15" s="47" t="s">
        <v>101</v>
      </c>
      <c r="H15" s="28" t="s">
        <v>85</v>
      </c>
      <c r="I15" s="48">
        <v>33434</v>
      </c>
      <c r="J15" s="1">
        <v>9508598452</v>
      </c>
      <c r="K15" s="49" t="s">
        <v>31</v>
      </c>
      <c r="L15" s="28" t="s">
        <v>66</v>
      </c>
      <c r="M15" s="28" t="s">
        <v>113</v>
      </c>
      <c r="N15" s="50">
        <v>2006599664</v>
      </c>
      <c r="O15" s="39">
        <v>45614</v>
      </c>
      <c r="P15" s="32" t="str">
        <f t="shared" si="0"/>
        <v>BATANG, JOHNY C.</v>
      </c>
      <c r="Q15" s="40" t="str">
        <f t="shared" ca="1" si="1"/>
        <v>0Years9Months</v>
      </c>
      <c r="R15" s="33"/>
    </row>
    <row r="16" spans="1:18" ht="18.600000000000001">
      <c r="A16" s="19">
        <f t="shared" si="2"/>
        <v>10</v>
      </c>
      <c r="B16" s="34" t="s">
        <v>105</v>
      </c>
      <c r="C16" s="35" t="s">
        <v>98</v>
      </c>
      <c r="D16" s="36">
        <v>56390</v>
      </c>
      <c r="E16" s="51" t="s">
        <v>114</v>
      </c>
      <c r="F16" s="47" t="s">
        <v>115</v>
      </c>
      <c r="G16" s="47" t="s">
        <v>116</v>
      </c>
      <c r="H16" s="28" t="s">
        <v>85</v>
      </c>
      <c r="I16" s="25">
        <v>34086</v>
      </c>
      <c r="J16" s="5" t="s">
        <v>117</v>
      </c>
      <c r="K16" s="5" t="s">
        <v>33</v>
      </c>
      <c r="L16" s="28" t="s">
        <v>66</v>
      </c>
      <c r="M16" s="28" t="s">
        <v>118</v>
      </c>
      <c r="N16" s="31"/>
      <c r="O16" s="39">
        <v>45726</v>
      </c>
      <c r="P16" s="32" t="str">
        <f t="shared" si="0"/>
        <v>ELCHICO, JOEY MARK D.</v>
      </c>
      <c r="Q16" s="40"/>
      <c r="R16" s="33"/>
    </row>
    <row r="17" spans="1:18" ht="18.600000000000001">
      <c r="A17" s="19">
        <f t="shared" si="2"/>
        <v>11</v>
      </c>
      <c r="B17" s="20" t="s">
        <v>119</v>
      </c>
      <c r="C17" s="19" t="s">
        <v>120</v>
      </c>
      <c r="D17" s="52">
        <v>40208</v>
      </c>
      <c r="E17" s="53" t="s">
        <v>121</v>
      </c>
      <c r="F17" s="23" t="s">
        <v>122</v>
      </c>
      <c r="G17" s="22" t="s">
        <v>123</v>
      </c>
      <c r="H17" s="24" t="s">
        <v>64</v>
      </c>
      <c r="I17" s="37">
        <v>32773</v>
      </c>
      <c r="J17" s="26" t="s">
        <v>124</v>
      </c>
      <c r="K17" s="27" t="s">
        <v>125</v>
      </c>
      <c r="L17" s="28" t="s">
        <v>66</v>
      </c>
      <c r="M17" s="28" t="s">
        <v>126</v>
      </c>
      <c r="N17" s="31"/>
      <c r="O17" s="39">
        <v>45307</v>
      </c>
      <c r="P17" s="32" t="str">
        <f t="shared" si="0"/>
        <v>ABRIGO, LOT-LOT A.</v>
      </c>
      <c r="Q17" s="40" t="str">
        <f ca="1">DATEDIF(O17,TODAY(),"Y")&amp;"Years"&amp;DATEDIF(O17,TODAY(),"YM")&amp;"Months"</f>
        <v>1Years7Months</v>
      </c>
      <c r="R17" s="33">
        <v>35</v>
      </c>
    </row>
    <row r="18" spans="1:18" ht="18.600000000000001">
      <c r="A18" s="19">
        <f t="shared" si="2"/>
        <v>12</v>
      </c>
      <c r="B18" s="34" t="s">
        <v>127</v>
      </c>
      <c r="C18" s="54" t="s">
        <v>120</v>
      </c>
      <c r="D18" s="52">
        <v>40208</v>
      </c>
      <c r="E18" s="22" t="s">
        <v>128</v>
      </c>
      <c r="F18" s="23" t="s">
        <v>129</v>
      </c>
      <c r="G18" s="23" t="s">
        <v>130</v>
      </c>
      <c r="H18" s="28" t="s">
        <v>85</v>
      </c>
      <c r="I18" s="37">
        <v>35253</v>
      </c>
      <c r="J18" s="5">
        <v>9060069530</v>
      </c>
      <c r="K18" s="5" t="s">
        <v>29</v>
      </c>
      <c r="L18" s="28" t="s">
        <v>66</v>
      </c>
      <c r="M18" s="28" t="s">
        <v>131</v>
      </c>
      <c r="N18" s="31"/>
      <c r="O18" s="39">
        <v>45621</v>
      </c>
      <c r="P18" s="32" t="str">
        <f t="shared" si="0"/>
        <v>AMMASI, JAYFER T.</v>
      </c>
      <c r="Q18" s="40"/>
      <c r="R18" s="33"/>
    </row>
    <row r="19" spans="1:18" ht="18.600000000000001">
      <c r="A19" s="19">
        <f t="shared" si="2"/>
        <v>13</v>
      </c>
      <c r="B19" s="34" t="s">
        <v>132</v>
      </c>
      <c r="C19" s="54" t="s">
        <v>133</v>
      </c>
      <c r="D19" s="52">
        <v>37024</v>
      </c>
      <c r="E19" s="6" t="s">
        <v>134</v>
      </c>
      <c r="F19" s="27" t="s">
        <v>135</v>
      </c>
      <c r="G19" s="27" t="s">
        <v>136</v>
      </c>
      <c r="H19" s="19" t="s">
        <v>64</v>
      </c>
      <c r="I19" s="55">
        <v>35234</v>
      </c>
      <c r="J19" s="4">
        <v>9264894119</v>
      </c>
      <c r="K19" s="5" t="s">
        <v>137</v>
      </c>
      <c r="L19" s="28" t="s">
        <v>66</v>
      </c>
      <c r="M19" s="28" t="s">
        <v>138</v>
      </c>
      <c r="N19" s="31"/>
      <c r="O19" s="39">
        <v>45621</v>
      </c>
      <c r="P19" s="32" t="str">
        <f t="shared" si="0"/>
        <v>BUENO, CHRISTINE JOYCE V.</v>
      </c>
      <c r="Q19" s="40"/>
      <c r="R19" s="33"/>
    </row>
    <row r="20" spans="1:18" ht="18.600000000000001">
      <c r="A20" s="19">
        <f t="shared" si="2"/>
        <v>14</v>
      </c>
      <c r="B20" s="34" t="s">
        <v>139</v>
      </c>
      <c r="C20" s="54" t="s">
        <v>140</v>
      </c>
      <c r="D20" s="52">
        <v>32245</v>
      </c>
      <c r="E20" s="51" t="s">
        <v>141</v>
      </c>
      <c r="F20" s="47" t="s">
        <v>142</v>
      </c>
      <c r="G20" s="47" t="s">
        <v>143</v>
      </c>
      <c r="H20" s="28" t="s">
        <v>85</v>
      </c>
      <c r="I20" s="41">
        <v>34927</v>
      </c>
      <c r="J20" s="42">
        <v>9062040935</v>
      </c>
      <c r="K20" s="42" t="s">
        <v>27</v>
      </c>
      <c r="L20" s="28" t="s">
        <v>66</v>
      </c>
      <c r="M20" s="28" t="s">
        <v>144</v>
      </c>
      <c r="N20" s="31"/>
      <c r="O20" s="39">
        <v>45635</v>
      </c>
      <c r="P20" s="32" t="str">
        <f t="shared" si="0"/>
        <v>AGAOID, EDISON S.</v>
      </c>
      <c r="Q20" s="40"/>
      <c r="R20" s="33"/>
    </row>
    <row r="21" spans="1:18" ht="18.600000000000001">
      <c r="A21" s="19">
        <f t="shared" si="2"/>
        <v>15</v>
      </c>
      <c r="B21" s="34" t="s">
        <v>145</v>
      </c>
      <c r="C21" s="54" t="s">
        <v>146</v>
      </c>
      <c r="D21" s="52">
        <v>24558</v>
      </c>
      <c r="E21" s="6" t="s">
        <v>147</v>
      </c>
      <c r="F21" s="27" t="s">
        <v>148</v>
      </c>
      <c r="G21" s="27" t="s">
        <v>149</v>
      </c>
      <c r="H21" s="19" t="s">
        <v>64</v>
      </c>
      <c r="I21" s="55">
        <v>25000</v>
      </c>
      <c r="J21" s="4">
        <v>9365445403</v>
      </c>
      <c r="K21" s="5" t="s">
        <v>4</v>
      </c>
      <c r="L21" s="28" t="s">
        <v>66</v>
      </c>
      <c r="M21" s="28" t="s">
        <v>150</v>
      </c>
      <c r="N21" s="31"/>
      <c r="O21" s="39">
        <v>32967</v>
      </c>
      <c r="P21" s="32" t="str">
        <f t="shared" si="0"/>
        <v>CABACUNGAN, LANIE A.</v>
      </c>
      <c r="Q21" s="40" t="str">
        <f t="shared" ref="Q21:Q34" ca="1" si="3">DATEDIF(O21,TODAY(),"Y")&amp;"Years"&amp;DATEDIF(O21,TODAY(),"YM")&amp;"Months"</f>
        <v>35Years5Months</v>
      </c>
      <c r="R21" s="33">
        <v>56</v>
      </c>
    </row>
    <row r="22" spans="1:18" ht="19.2">
      <c r="A22" s="19">
        <f t="shared" si="2"/>
        <v>16</v>
      </c>
      <c r="B22" s="34" t="s">
        <v>151</v>
      </c>
      <c r="C22" s="35" t="s">
        <v>152</v>
      </c>
      <c r="D22" s="36">
        <v>23978</v>
      </c>
      <c r="E22" s="22" t="s">
        <v>153</v>
      </c>
      <c r="F22" s="23" t="s">
        <v>154</v>
      </c>
      <c r="G22" s="23" t="s">
        <v>155</v>
      </c>
      <c r="H22" s="28" t="s">
        <v>85</v>
      </c>
      <c r="I22" s="55">
        <v>26146</v>
      </c>
      <c r="J22" s="4">
        <v>9066965466</v>
      </c>
      <c r="K22" s="5" t="s">
        <v>8</v>
      </c>
      <c r="L22" s="28" t="s">
        <v>66</v>
      </c>
      <c r="M22" s="38" t="s">
        <v>156</v>
      </c>
      <c r="N22" s="30">
        <v>2002291804</v>
      </c>
      <c r="O22" s="43">
        <v>35096</v>
      </c>
      <c r="P22" s="32" t="str">
        <f t="shared" si="0"/>
        <v>MANUEL, EDWARD C.</v>
      </c>
      <c r="Q22" s="40" t="str">
        <f t="shared" ca="1" si="3"/>
        <v>29Years7Months</v>
      </c>
      <c r="R22" s="33">
        <v>53</v>
      </c>
    </row>
    <row r="23" spans="1:18" ht="19.2">
      <c r="A23" s="19">
        <f t="shared" si="2"/>
        <v>17</v>
      </c>
      <c r="B23" s="20" t="s">
        <v>151</v>
      </c>
      <c r="C23" s="56">
        <v>44809</v>
      </c>
      <c r="D23" s="36">
        <v>23978</v>
      </c>
      <c r="E23" s="22" t="s">
        <v>157</v>
      </c>
      <c r="F23" s="23" t="s">
        <v>158</v>
      </c>
      <c r="G23" s="23" t="s">
        <v>159</v>
      </c>
      <c r="H23" s="24" t="s">
        <v>85</v>
      </c>
      <c r="I23" s="57">
        <v>24753</v>
      </c>
      <c r="J23" s="26" t="s">
        <v>160</v>
      </c>
      <c r="K23" s="27" t="s">
        <v>24</v>
      </c>
      <c r="L23" s="28" t="s">
        <v>66</v>
      </c>
      <c r="M23" s="38" t="s">
        <v>161</v>
      </c>
      <c r="N23" s="30">
        <v>2001894176</v>
      </c>
      <c r="O23" s="39">
        <v>35307</v>
      </c>
      <c r="P23" s="32" t="str">
        <f t="shared" si="0"/>
        <v>PABRO, EUGENE L.</v>
      </c>
      <c r="Q23" s="40" t="str">
        <f t="shared" ca="1" si="3"/>
        <v>29Years0Months</v>
      </c>
      <c r="R23" s="33">
        <v>57</v>
      </c>
    </row>
    <row r="24" spans="1:18" ht="19.2">
      <c r="A24" s="19">
        <f t="shared" si="2"/>
        <v>18</v>
      </c>
      <c r="B24" s="34" t="s">
        <v>151</v>
      </c>
      <c r="C24" s="35" t="s">
        <v>162</v>
      </c>
      <c r="D24" s="52">
        <v>23788</v>
      </c>
      <c r="E24" s="22" t="s">
        <v>163</v>
      </c>
      <c r="F24" s="23" t="s">
        <v>164</v>
      </c>
      <c r="G24" s="23" t="s">
        <v>82</v>
      </c>
      <c r="H24" s="28" t="s">
        <v>85</v>
      </c>
      <c r="I24" s="55">
        <v>25519</v>
      </c>
      <c r="J24" s="4" t="s">
        <v>165</v>
      </c>
      <c r="K24" s="5" t="s">
        <v>7</v>
      </c>
      <c r="L24" s="28" t="s">
        <v>66</v>
      </c>
      <c r="M24" s="38" t="s">
        <v>166</v>
      </c>
      <c r="N24" s="30">
        <v>2002291891</v>
      </c>
      <c r="O24" s="58">
        <v>34941</v>
      </c>
      <c r="P24" s="32" t="str">
        <f t="shared" si="0"/>
        <v>ABAD, FERDINAND B.</v>
      </c>
      <c r="Q24" s="40" t="str">
        <f t="shared" ca="1" si="3"/>
        <v>30Years0Months</v>
      </c>
      <c r="R24" s="33">
        <v>55</v>
      </c>
    </row>
    <row r="25" spans="1:18" ht="19.2">
      <c r="A25" s="19">
        <f t="shared" si="2"/>
        <v>19</v>
      </c>
      <c r="B25" s="34" t="s">
        <v>151</v>
      </c>
      <c r="C25" s="35" t="s">
        <v>162</v>
      </c>
      <c r="D25" s="52">
        <v>23788</v>
      </c>
      <c r="E25" s="22" t="s">
        <v>153</v>
      </c>
      <c r="F25" s="23" t="s">
        <v>167</v>
      </c>
      <c r="G25" s="23" t="s">
        <v>155</v>
      </c>
      <c r="H25" s="28" t="s">
        <v>85</v>
      </c>
      <c r="I25" s="55">
        <v>23689</v>
      </c>
      <c r="J25" s="4">
        <v>9257314840</v>
      </c>
      <c r="K25" s="5" t="s">
        <v>9</v>
      </c>
      <c r="L25" s="28" t="s">
        <v>66</v>
      </c>
      <c r="M25" s="38" t="s">
        <v>168</v>
      </c>
      <c r="N25" s="30">
        <v>2002291802</v>
      </c>
      <c r="O25" s="58">
        <v>37712</v>
      </c>
      <c r="P25" s="32" t="str">
        <f t="shared" si="0"/>
        <v>MANUEL, EDMUND C.</v>
      </c>
      <c r="Q25" s="40" t="str">
        <f t="shared" ca="1" si="3"/>
        <v>22Years5Months</v>
      </c>
      <c r="R25" s="33">
        <v>60</v>
      </c>
    </row>
    <row r="26" spans="1:18" ht="19.2">
      <c r="A26" s="19">
        <f t="shared" si="2"/>
        <v>20</v>
      </c>
      <c r="B26" s="34" t="s">
        <v>151</v>
      </c>
      <c r="C26" s="35" t="s">
        <v>162</v>
      </c>
      <c r="D26" s="52">
        <v>23788</v>
      </c>
      <c r="E26" s="22" t="s">
        <v>169</v>
      </c>
      <c r="F26" s="23" t="s">
        <v>170</v>
      </c>
      <c r="G26" s="23" t="s">
        <v>171</v>
      </c>
      <c r="H26" s="28" t="s">
        <v>64</v>
      </c>
      <c r="I26" s="55">
        <v>27564</v>
      </c>
      <c r="J26" s="4">
        <v>9263959017</v>
      </c>
      <c r="K26" s="5" t="s">
        <v>10</v>
      </c>
      <c r="L26" s="28" t="s">
        <v>66</v>
      </c>
      <c r="M26" s="38" t="s">
        <v>172</v>
      </c>
      <c r="N26" s="30">
        <v>2001895691</v>
      </c>
      <c r="O26" s="59">
        <v>35280</v>
      </c>
      <c r="P26" s="32" t="str">
        <f t="shared" si="0"/>
        <v>NAZARITA, CONCEPCION C.</v>
      </c>
      <c r="Q26" s="40" t="str">
        <f t="shared" ca="1" si="3"/>
        <v>29Years1Months</v>
      </c>
      <c r="R26" s="33">
        <v>49</v>
      </c>
    </row>
    <row r="27" spans="1:18" ht="19.2">
      <c r="A27" s="19">
        <f t="shared" si="2"/>
        <v>21</v>
      </c>
      <c r="B27" s="20" t="s">
        <v>151</v>
      </c>
      <c r="C27" s="56">
        <v>44808</v>
      </c>
      <c r="D27" s="52">
        <v>23788</v>
      </c>
      <c r="E27" s="22" t="s">
        <v>173</v>
      </c>
      <c r="F27" s="23" t="s">
        <v>174</v>
      </c>
      <c r="G27" s="23" t="s">
        <v>175</v>
      </c>
      <c r="H27" s="24" t="s">
        <v>85</v>
      </c>
      <c r="I27" s="37">
        <v>24805</v>
      </c>
      <c r="J27" s="60" t="s">
        <v>176</v>
      </c>
      <c r="K27" s="27" t="s">
        <v>25</v>
      </c>
      <c r="L27" s="28" t="s">
        <v>66</v>
      </c>
      <c r="M27" s="38" t="s">
        <v>177</v>
      </c>
      <c r="N27" s="30">
        <v>2001893963</v>
      </c>
      <c r="O27" s="43">
        <v>35431</v>
      </c>
      <c r="P27" s="32" t="str">
        <f t="shared" si="0"/>
        <v>RAMIREZ, DANIEL P.</v>
      </c>
      <c r="Q27" s="40" t="str">
        <f t="shared" ca="1" si="3"/>
        <v>28Years8Months</v>
      </c>
      <c r="R27" s="33">
        <v>57</v>
      </c>
    </row>
    <row r="28" spans="1:18" ht="19.2">
      <c r="A28" s="19">
        <f t="shared" si="2"/>
        <v>22</v>
      </c>
      <c r="B28" s="34" t="s">
        <v>178</v>
      </c>
      <c r="C28" s="35" t="s">
        <v>179</v>
      </c>
      <c r="D28" s="36">
        <v>19963</v>
      </c>
      <c r="E28" s="22" t="s">
        <v>180</v>
      </c>
      <c r="F28" s="23" t="s">
        <v>181</v>
      </c>
      <c r="G28" s="23" t="s">
        <v>182</v>
      </c>
      <c r="H28" s="28" t="s">
        <v>85</v>
      </c>
      <c r="I28" s="55">
        <v>23752</v>
      </c>
      <c r="J28" s="4">
        <v>9618513950</v>
      </c>
      <c r="K28" s="5" t="s">
        <v>11</v>
      </c>
      <c r="L28" s="28" t="s">
        <v>66</v>
      </c>
      <c r="M28" s="38" t="s">
        <v>183</v>
      </c>
      <c r="N28" s="30">
        <v>2002292505</v>
      </c>
      <c r="O28" s="39">
        <v>32685</v>
      </c>
      <c r="P28" s="32" t="str">
        <f t="shared" si="0"/>
        <v>HUBALDE, ROLAND B.</v>
      </c>
      <c r="Q28" s="40" t="str">
        <f t="shared" ca="1" si="3"/>
        <v>36Years2Months</v>
      </c>
      <c r="R28" s="33">
        <v>59</v>
      </c>
    </row>
    <row r="29" spans="1:18" ht="19.2">
      <c r="A29" s="19">
        <f t="shared" si="2"/>
        <v>23</v>
      </c>
      <c r="B29" s="20" t="s">
        <v>178</v>
      </c>
      <c r="C29" s="56">
        <v>45448</v>
      </c>
      <c r="D29" s="52">
        <v>19526</v>
      </c>
      <c r="E29" s="22" t="s">
        <v>184</v>
      </c>
      <c r="F29" s="23" t="s">
        <v>185</v>
      </c>
      <c r="G29" s="23" t="s">
        <v>186</v>
      </c>
      <c r="H29" s="24" t="s">
        <v>85</v>
      </c>
      <c r="I29" s="61">
        <v>25163</v>
      </c>
      <c r="J29" s="60" t="s">
        <v>187</v>
      </c>
      <c r="K29" s="27" t="s">
        <v>22</v>
      </c>
      <c r="L29" s="28" t="s">
        <v>66</v>
      </c>
      <c r="M29" s="38" t="s">
        <v>188</v>
      </c>
      <c r="N29" s="30">
        <v>2002292437</v>
      </c>
      <c r="O29" s="43">
        <v>34734</v>
      </c>
      <c r="P29" s="32" t="str">
        <f t="shared" si="0"/>
        <v>BALIGOD, RICHARD P.</v>
      </c>
      <c r="Q29" s="40" t="str">
        <f t="shared" ca="1" si="3"/>
        <v>30Years7Months</v>
      </c>
      <c r="R29" s="33">
        <v>56</v>
      </c>
    </row>
    <row r="30" spans="1:18" ht="19.2">
      <c r="A30" s="19">
        <f t="shared" si="2"/>
        <v>24</v>
      </c>
      <c r="B30" s="34" t="s">
        <v>189</v>
      </c>
      <c r="C30" s="35" t="s">
        <v>190</v>
      </c>
      <c r="D30" s="52">
        <v>19383</v>
      </c>
      <c r="E30" s="62" t="s">
        <v>191</v>
      </c>
      <c r="F30" s="27" t="s">
        <v>192</v>
      </c>
      <c r="G30" s="34" t="s">
        <v>193</v>
      </c>
      <c r="H30" s="19" t="s">
        <v>85</v>
      </c>
      <c r="I30" s="55">
        <v>26078</v>
      </c>
      <c r="J30" s="3">
        <v>9286844397</v>
      </c>
      <c r="K30" s="5" t="s">
        <v>3</v>
      </c>
      <c r="L30" s="28" t="s">
        <v>66</v>
      </c>
      <c r="M30" s="38" t="s">
        <v>194</v>
      </c>
      <c r="N30" s="30">
        <v>2002291494</v>
      </c>
      <c r="O30" s="39">
        <v>35863</v>
      </c>
      <c r="P30" s="32" t="str">
        <f t="shared" si="0"/>
        <v>CANO , ADELMO G.</v>
      </c>
      <c r="Q30" s="40" t="str">
        <f t="shared" ca="1" si="3"/>
        <v>27Years5Months</v>
      </c>
      <c r="R30" s="33">
        <v>53</v>
      </c>
    </row>
    <row r="31" spans="1:18" ht="19.2">
      <c r="A31" s="19">
        <f t="shared" si="2"/>
        <v>25</v>
      </c>
      <c r="B31" s="34" t="s">
        <v>189</v>
      </c>
      <c r="C31" s="35" t="s">
        <v>190</v>
      </c>
      <c r="D31" s="52">
        <v>19383</v>
      </c>
      <c r="E31" s="22" t="s">
        <v>195</v>
      </c>
      <c r="F31" s="23" t="s">
        <v>196</v>
      </c>
      <c r="G31" s="23" t="s">
        <v>197</v>
      </c>
      <c r="H31" s="28" t="s">
        <v>85</v>
      </c>
      <c r="I31" s="55">
        <v>27966</v>
      </c>
      <c r="J31" s="4">
        <v>9974538200</v>
      </c>
      <c r="K31" s="5" t="s">
        <v>5</v>
      </c>
      <c r="L31" s="28" t="s">
        <v>66</v>
      </c>
      <c r="M31" s="38" t="s">
        <v>198</v>
      </c>
      <c r="N31" s="30">
        <v>2002291808</v>
      </c>
      <c r="O31" s="58">
        <v>37712</v>
      </c>
      <c r="P31" s="32" t="str">
        <f t="shared" si="0"/>
        <v>DOMINGO, ELON F.</v>
      </c>
      <c r="Q31" s="40" t="str">
        <f t="shared" ca="1" si="3"/>
        <v>22Years5Months</v>
      </c>
      <c r="R31" s="33">
        <v>48</v>
      </c>
    </row>
    <row r="32" spans="1:18" ht="19.2">
      <c r="A32" s="19">
        <f t="shared" si="2"/>
        <v>26</v>
      </c>
      <c r="B32" s="34" t="s">
        <v>189</v>
      </c>
      <c r="C32" s="35" t="s">
        <v>190</v>
      </c>
      <c r="D32" s="52">
        <v>19383</v>
      </c>
      <c r="E32" s="22" t="s">
        <v>199</v>
      </c>
      <c r="F32" s="23" t="s">
        <v>200</v>
      </c>
      <c r="G32" s="23" t="s">
        <v>197</v>
      </c>
      <c r="H32" s="19" t="s">
        <v>64</v>
      </c>
      <c r="I32" s="55">
        <v>25951</v>
      </c>
      <c r="J32" s="63" t="s">
        <v>201</v>
      </c>
      <c r="K32" s="5" t="s">
        <v>6</v>
      </c>
      <c r="L32" s="28" t="s">
        <v>66</v>
      </c>
      <c r="M32" s="38" t="s">
        <v>202</v>
      </c>
      <c r="N32" s="30">
        <v>2001895979</v>
      </c>
      <c r="O32" s="43">
        <v>38070</v>
      </c>
      <c r="P32" s="32" t="str">
        <f t="shared" si="0"/>
        <v>ROBLES, MARILYN  F.</v>
      </c>
      <c r="Q32" s="40" t="str">
        <f t="shared" ca="1" si="3"/>
        <v>21Years5Months</v>
      </c>
      <c r="R32" s="33">
        <v>53</v>
      </c>
    </row>
    <row r="33" spans="1:20" ht="19.2">
      <c r="A33" s="19">
        <f t="shared" si="2"/>
        <v>27</v>
      </c>
      <c r="B33" s="34" t="s">
        <v>178</v>
      </c>
      <c r="C33" s="35" t="s">
        <v>190</v>
      </c>
      <c r="D33" s="52">
        <v>19383</v>
      </c>
      <c r="E33" s="22" t="s">
        <v>203</v>
      </c>
      <c r="F33" s="23" t="s">
        <v>204</v>
      </c>
      <c r="G33" s="23" t="s">
        <v>205</v>
      </c>
      <c r="H33" s="28" t="s">
        <v>85</v>
      </c>
      <c r="I33" s="55">
        <v>26844</v>
      </c>
      <c r="J33" s="4">
        <v>9978925329</v>
      </c>
      <c r="K33" s="5" t="s">
        <v>12</v>
      </c>
      <c r="L33" s="28" t="s">
        <v>66</v>
      </c>
      <c r="M33" s="38" t="s">
        <v>206</v>
      </c>
      <c r="N33" s="30">
        <v>2002291720</v>
      </c>
      <c r="O33" s="43">
        <v>33248</v>
      </c>
      <c r="P33" s="32" t="str">
        <f t="shared" si="0"/>
        <v>MAGGAY, CLARO M.</v>
      </c>
      <c r="Q33" s="40" t="str">
        <f t="shared" ca="1" si="3"/>
        <v>34Years7Months</v>
      </c>
      <c r="R33" s="33">
        <v>51</v>
      </c>
    </row>
    <row r="34" spans="1:20" ht="18.600000000000001">
      <c r="A34" s="19">
        <f t="shared" si="2"/>
        <v>28</v>
      </c>
      <c r="B34" s="34" t="s">
        <v>207</v>
      </c>
      <c r="C34" s="35" t="s">
        <v>190</v>
      </c>
      <c r="D34" s="52">
        <v>19383</v>
      </c>
      <c r="E34" s="64" t="s">
        <v>147</v>
      </c>
      <c r="F34" s="65" t="s">
        <v>208</v>
      </c>
      <c r="G34" s="65" t="s">
        <v>209</v>
      </c>
      <c r="H34" s="24" t="s">
        <v>85</v>
      </c>
      <c r="I34" s="41">
        <v>25349</v>
      </c>
      <c r="J34" s="4">
        <v>9676728284</v>
      </c>
      <c r="K34" s="42" t="s">
        <v>20</v>
      </c>
      <c r="L34" s="28" t="s">
        <v>66</v>
      </c>
      <c r="M34" s="28" t="s">
        <v>210</v>
      </c>
      <c r="N34" s="31"/>
      <c r="O34" s="39">
        <v>37975</v>
      </c>
      <c r="P34" s="32" t="str">
        <f t="shared" si="0"/>
        <v>CABACUNGAN, MEDY JOSE M.</v>
      </c>
      <c r="Q34" s="40" t="str">
        <f t="shared" ca="1" si="3"/>
        <v>21Years8Months</v>
      </c>
      <c r="R34" s="33">
        <v>55</v>
      </c>
    </row>
    <row r="35" spans="1:20" ht="19.2">
      <c r="A35" s="19">
        <f t="shared" si="2"/>
        <v>29</v>
      </c>
      <c r="B35" s="66" t="s">
        <v>178</v>
      </c>
      <c r="C35" s="67">
        <v>44716</v>
      </c>
      <c r="D35" s="68">
        <v>19383</v>
      </c>
      <c r="E35" s="69" t="s">
        <v>211</v>
      </c>
      <c r="F35" s="69" t="s">
        <v>212</v>
      </c>
      <c r="G35" s="69" t="s">
        <v>213</v>
      </c>
      <c r="H35" s="70" t="s">
        <v>85</v>
      </c>
      <c r="I35" s="70"/>
      <c r="J35" s="71" t="s">
        <v>214</v>
      </c>
      <c r="K35" s="72" t="s">
        <v>21</v>
      </c>
      <c r="L35" s="70" t="s">
        <v>66</v>
      </c>
      <c r="M35" s="73" t="s">
        <v>215</v>
      </c>
      <c r="N35" s="74">
        <v>2001895218</v>
      </c>
      <c r="O35" s="75">
        <v>35431</v>
      </c>
      <c r="P35" s="32" t="str">
        <f t="shared" si="0"/>
        <v>ANDRES, RENE R.</v>
      </c>
      <c r="Q35" s="40"/>
      <c r="R35" s="33">
        <v>63</v>
      </c>
    </row>
    <row r="36" spans="1:20" ht="19.2">
      <c r="A36" s="19">
        <f t="shared" si="2"/>
        <v>30</v>
      </c>
      <c r="B36" s="20" t="s">
        <v>178</v>
      </c>
      <c r="C36" s="76">
        <v>44713</v>
      </c>
      <c r="D36" s="77">
        <v>18957</v>
      </c>
      <c r="E36" s="22" t="s">
        <v>216</v>
      </c>
      <c r="F36" s="23" t="s">
        <v>217</v>
      </c>
      <c r="G36" s="23" t="s">
        <v>184</v>
      </c>
      <c r="H36" s="24" t="s">
        <v>85</v>
      </c>
      <c r="I36" s="37">
        <v>26348</v>
      </c>
      <c r="J36" s="60" t="s">
        <v>218</v>
      </c>
      <c r="K36" s="6" t="s">
        <v>23</v>
      </c>
      <c r="L36" s="28" t="s">
        <v>66</v>
      </c>
      <c r="M36" s="38" t="s">
        <v>219</v>
      </c>
      <c r="N36" s="30">
        <v>2002291497</v>
      </c>
      <c r="O36" s="43">
        <v>36853</v>
      </c>
      <c r="P36" s="32" t="str">
        <f t="shared" si="0"/>
        <v>BERMEJO, ALVIN B.</v>
      </c>
      <c r="Q36" s="40" t="str">
        <f t="shared" ref="Q36:Q38" ca="1" si="4">DATEDIF(O36,TODAY(),"Y")&amp;"Years"&amp;DATEDIF(O36,TODAY(),"YM")&amp;"Months"</f>
        <v>24Years9Months</v>
      </c>
      <c r="R36" s="33">
        <v>52</v>
      </c>
    </row>
    <row r="37" spans="1:20" ht="20.399999999999999">
      <c r="A37" s="19">
        <f t="shared" si="2"/>
        <v>31</v>
      </c>
      <c r="B37" s="34" t="s">
        <v>220</v>
      </c>
      <c r="C37" s="78" t="s">
        <v>221</v>
      </c>
      <c r="D37" s="52">
        <v>16833</v>
      </c>
      <c r="E37" s="62" t="s">
        <v>63</v>
      </c>
      <c r="F37" s="34" t="s">
        <v>222</v>
      </c>
      <c r="G37" s="34" t="s">
        <v>223</v>
      </c>
      <c r="H37" s="19" t="s">
        <v>85</v>
      </c>
      <c r="I37" s="55">
        <v>25047</v>
      </c>
      <c r="J37" s="3">
        <v>9364432341</v>
      </c>
      <c r="K37" s="3" t="s">
        <v>1</v>
      </c>
      <c r="L37" s="28" t="s">
        <v>66</v>
      </c>
      <c r="M37" s="28" t="s">
        <v>224</v>
      </c>
      <c r="N37" s="30">
        <v>2002292276</v>
      </c>
      <c r="O37" s="43">
        <v>36853</v>
      </c>
      <c r="P37" s="32" t="str">
        <f t="shared" si="0"/>
        <v>TUMALIUAN, NODEL M.</v>
      </c>
      <c r="Q37" s="40" t="str">
        <f t="shared" ca="1" si="4"/>
        <v>24Years9Months</v>
      </c>
      <c r="R37" s="33">
        <v>56</v>
      </c>
    </row>
    <row r="38" spans="1:20" ht="20.399999999999999">
      <c r="A38" s="19">
        <f t="shared" si="2"/>
        <v>32</v>
      </c>
      <c r="B38" s="34" t="s">
        <v>220</v>
      </c>
      <c r="C38" s="78" t="s">
        <v>221</v>
      </c>
      <c r="D38" s="52">
        <v>16833</v>
      </c>
      <c r="E38" s="62" t="s">
        <v>225</v>
      </c>
      <c r="F38" s="34" t="s">
        <v>226</v>
      </c>
      <c r="G38" s="23" t="s">
        <v>227</v>
      </c>
      <c r="H38" s="24" t="s">
        <v>85</v>
      </c>
      <c r="I38" s="37">
        <v>25882</v>
      </c>
      <c r="J38" s="26" t="s">
        <v>228</v>
      </c>
      <c r="K38" s="27" t="s">
        <v>2</v>
      </c>
      <c r="L38" s="28" t="s">
        <v>66</v>
      </c>
      <c r="M38" s="38" t="s">
        <v>229</v>
      </c>
      <c r="N38" s="31"/>
      <c r="O38" s="43">
        <v>44270</v>
      </c>
      <c r="P38" s="32" t="str">
        <f t="shared" si="0"/>
        <v>FUGABAN, PABLO G.</v>
      </c>
      <c r="Q38" s="40" t="str">
        <f t="shared" ca="1" si="4"/>
        <v>4Years5Months</v>
      </c>
      <c r="R38" s="33">
        <v>54</v>
      </c>
    </row>
    <row r="39" spans="1:20" ht="20.399999999999999">
      <c r="A39" s="19">
        <f t="shared" si="2"/>
        <v>33</v>
      </c>
      <c r="B39" s="34" t="s">
        <v>220</v>
      </c>
      <c r="C39" s="78" t="s">
        <v>221</v>
      </c>
      <c r="D39" s="52">
        <v>16833</v>
      </c>
      <c r="E39" s="6" t="s">
        <v>63</v>
      </c>
      <c r="F39" s="6" t="s">
        <v>230</v>
      </c>
      <c r="G39" s="6" t="s">
        <v>231</v>
      </c>
      <c r="H39" s="79" t="s">
        <v>85</v>
      </c>
      <c r="I39" s="55">
        <v>34694</v>
      </c>
      <c r="J39" s="80" t="s">
        <v>232</v>
      </c>
      <c r="K39" s="81" t="s">
        <v>233</v>
      </c>
      <c r="L39" s="28"/>
      <c r="M39" s="28" t="s">
        <v>234</v>
      </c>
      <c r="N39" s="30">
        <v>2006599559</v>
      </c>
      <c r="O39" s="82">
        <v>45537</v>
      </c>
      <c r="P39" s="32" t="str">
        <f t="shared" si="0"/>
        <v>TUMALIUAN, MARK JOHN C.</v>
      </c>
      <c r="Q39" s="40"/>
    </row>
    <row r="40" spans="1:20" ht="19.2">
      <c r="A40" s="19">
        <f t="shared" si="2"/>
        <v>34</v>
      </c>
      <c r="B40" s="83" t="s">
        <v>235</v>
      </c>
      <c r="C40" s="84" t="s">
        <v>236</v>
      </c>
      <c r="D40" s="85">
        <v>16693</v>
      </c>
      <c r="E40" s="69" t="s">
        <v>237</v>
      </c>
      <c r="F40" s="69" t="s">
        <v>238</v>
      </c>
      <c r="G40" s="69" t="s">
        <v>239</v>
      </c>
      <c r="H40" s="70" t="s">
        <v>85</v>
      </c>
      <c r="I40" s="70"/>
      <c r="J40" s="86" t="s">
        <v>240</v>
      </c>
      <c r="K40" s="87" t="s">
        <v>19</v>
      </c>
      <c r="L40" s="70" t="s">
        <v>66</v>
      </c>
      <c r="M40" s="73" t="s">
        <v>241</v>
      </c>
      <c r="N40" s="74">
        <v>2002291988</v>
      </c>
      <c r="O40" s="75">
        <v>33964</v>
      </c>
      <c r="P40" s="32" t="str">
        <f t="shared" si="0"/>
        <v>BAYLON, JOAQUIN B.</v>
      </c>
      <c r="Q40" s="40" t="str">
        <f ca="1">DATEDIF(O40,TODAY(),"Y")&amp;"Years"&amp;DATEDIF(O40,TODAY(),"YM")&amp;"Months"</f>
        <v>32Years8Months</v>
      </c>
      <c r="R40" s="33">
        <v>56</v>
      </c>
    </row>
    <row r="41" spans="1:20" ht="18.600000000000001">
      <c r="A41" s="19">
        <f t="shared" si="2"/>
        <v>35</v>
      </c>
      <c r="B41" s="20" t="s">
        <v>178</v>
      </c>
      <c r="C41" s="19"/>
      <c r="D41" s="36"/>
      <c r="E41" s="22" t="s">
        <v>242</v>
      </c>
      <c r="F41" s="23" t="s">
        <v>243</v>
      </c>
      <c r="G41" s="23" t="s">
        <v>244</v>
      </c>
      <c r="H41" s="24"/>
      <c r="I41" s="37"/>
      <c r="J41" s="26"/>
      <c r="K41" s="27"/>
      <c r="L41" s="28" t="s">
        <v>66</v>
      </c>
      <c r="M41" s="28"/>
      <c r="N41" s="31"/>
      <c r="O41" s="31"/>
      <c r="P41" s="32" t="str">
        <f t="shared" si="0"/>
        <v>ROSAL, JOSEPH C.</v>
      </c>
      <c r="Q41" s="40"/>
    </row>
    <row r="42" spans="1:20" ht="18.600000000000001" hidden="1">
      <c r="B42" s="20" t="s">
        <v>127</v>
      </c>
      <c r="C42" s="19" t="s">
        <v>120</v>
      </c>
      <c r="D42" s="36"/>
      <c r="E42" s="22"/>
      <c r="F42" s="23"/>
      <c r="G42" s="23"/>
      <c r="H42" s="24"/>
      <c r="I42" s="37"/>
      <c r="J42" s="26"/>
      <c r="K42" s="27"/>
      <c r="L42" s="28" t="s">
        <v>66</v>
      </c>
      <c r="M42" s="28"/>
      <c r="N42" s="31"/>
      <c r="O42" s="31"/>
      <c r="P42" s="32" t="str">
        <f t="shared" si="0"/>
        <v>,  .</v>
      </c>
      <c r="Q42" s="32"/>
    </row>
    <row r="43" spans="1:20" ht="18.600000000000001" hidden="1">
      <c r="B43" s="20" t="s">
        <v>132</v>
      </c>
      <c r="C43" s="19" t="s">
        <v>133</v>
      </c>
      <c r="D43" s="36"/>
      <c r="E43" s="88"/>
      <c r="G43" s="23"/>
      <c r="H43" s="24"/>
      <c r="I43" s="37"/>
      <c r="J43" s="26"/>
      <c r="K43" s="27"/>
      <c r="L43" s="28" t="s">
        <v>66</v>
      </c>
      <c r="M43" s="28"/>
      <c r="N43" s="31"/>
      <c r="O43" s="31"/>
      <c r="P43" s="32" t="str">
        <f t="shared" si="0"/>
        <v>,  .</v>
      </c>
      <c r="Q43" s="32"/>
    </row>
    <row r="44" spans="1:20" ht="18.600000000000001" hidden="1">
      <c r="B44" s="20" t="s">
        <v>245</v>
      </c>
      <c r="C44" s="19" t="s">
        <v>98</v>
      </c>
      <c r="D44" s="36"/>
      <c r="E44" s="22"/>
      <c r="F44" s="23"/>
      <c r="G44" s="23"/>
      <c r="H44" s="24"/>
      <c r="I44" s="37"/>
      <c r="J44" s="26"/>
      <c r="K44" s="27"/>
      <c r="L44" s="28" t="s">
        <v>66</v>
      </c>
      <c r="M44" s="28"/>
      <c r="N44" s="31"/>
      <c r="O44" s="31"/>
      <c r="P44" s="32" t="str">
        <f t="shared" si="0"/>
        <v>,  .</v>
      </c>
      <c r="Q44" s="32"/>
    </row>
    <row r="45" spans="1:20" ht="18.600000000000001" hidden="1">
      <c r="B45" s="20" t="s">
        <v>139</v>
      </c>
      <c r="C45" s="56">
        <v>45627</v>
      </c>
      <c r="D45" s="36"/>
      <c r="E45" s="22"/>
      <c r="F45" s="23"/>
      <c r="G45" s="23"/>
      <c r="H45" s="24"/>
      <c r="I45" s="37"/>
      <c r="J45" s="26"/>
      <c r="K45" s="27"/>
      <c r="L45" s="28" t="s">
        <v>66</v>
      </c>
      <c r="M45" s="28"/>
      <c r="N45" s="31"/>
      <c r="O45" s="31"/>
      <c r="P45" s="32" t="str">
        <f t="shared" si="0"/>
        <v>,  .</v>
      </c>
      <c r="Q45" s="32"/>
    </row>
    <row r="46" spans="1:20" ht="14.4">
      <c r="I46" s="88"/>
    </row>
    <row r="47" spans="1:20" ht="18.600000000000001">
      <c r="A47" s="89"/>
      <c r="B47" s="90"/>
      <c r="C47" s="91"/>
      <c r="D47" s="9"/>
      <c r="H47" s="89"/>
      <c r="I47" s="10"/>
      <c r="J47" s="1"/>
      <c r="K47" s="1"/>
      <c r="L47" s="11"/>
      <c r="M47" s="11"/>
    </row>
    <row r="48" spans="1:20" ht="23.25" customHeight="1">
      <c r="A48" s="658" t="s">
        <v>246</v>
      </c>
      <c r="B48" s="656"/>
      <c r="C48" s="656"/>
      <c r="D48" s="656"/>
      <c r="E48" s="656"/>
      <c r="F48" s="656"/>
      <c r="G48" s="656"/>
      <c r="H48" s="16"/>
      <c r="I48" s="16"/>
      <c r="J48" s="16"/>
      <c r="K48" s="16"/>
      <c r="L48" s="17"/>
      <c r="M48" s="92"/>
      <c r="N48" s="93"/>
      <c r="O48" s="93"/>
      <c r="P48" s="93"/>
      <c r="Q48" s="93"/>
      <c r="R48" s="648" t="s">
        <v>247</v>
      </c>
      <c r="T48" s="650" t="s">
        <v>248</v>
      </c>
    </row>
    <row r="49" spans="1:34" ht="23.25" customHeight="1">
      <c r="A49" s="94"/>
      <c r="B49" s="94" t="s">
        <v>41</v>
      </c>
      <c r="C49" s="94" t="s">
        <v>42</v>
      </c>
      <c r="D49" s="94" t="s">
        <v>249</v>
      </c>
      <c r="E49" s="94" t="s">
        <v>250</v>
      </c>
      <c r="F49" s="94" t="s">
        <v>54</v>
      </c>
      <c r="G49" s="94" t="s">
        <v>55</v>
      </c>
      <c r="H49" s="94" t="s">
        <v>45</v>
      </c>
      <c r="I49" s="94" t="s">
        <v>46</v>
      </c>
      <c r="J49" s="94" t="s">
        <v>47</v>
      </c>
      <c r="K49" s="94" t="s">
        <v>251</v>
      </c>
      <c r="L49" s="94" t="s">
        <v>48</v>
      </c>
      <c r="M49" s="95"/>
      <c r="N49" s="93"/>
      <c r="O49" s="93"/>
      <c r="P49" s="93" t="str">
        <f t="shared" ref="P49:P68" si="5">CONCATENATE(E49,",", " ",F49," ", LEFT(G49,1),".",)</f>
        <v>LAST NAME, FIRST NAME M.</v>
      </c>
      <c r="Q49" s="93"/>
      <c r="R49" s="649"/>
      <c r="S49" s="89"/>
      <c r="T49" s="64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</row>
    <row r="50" spans="1:34" ht="21" customHeight="1">
      <c r="A50" s="35" t="s">
        <v>252</v>
      </c>
      <c r="B50" s="34" t="s">
        <v>253</v>
      </c>
      <c r="C50" s="35" t="s">
        <v>98</v>
      </c>
      <c r="D50" s="52">
        <v>64647.6</v>
      </c>
      <c r="E50" s="6" t="s">
        <v>254</v>
      </c>
      <c r="F50" s="27" t="s">
        <v>255</v>
      </c>
      <c r="G50" s="27" t="s">
        <v>256</v>
      </c>
      <c r="H50" s="19" t="s">
        <v>64</v>
      </c>
      <c r="I50" s="55">
        <v>33004</v>
      </c>
      <c r="J50" s="5"/>
      <c r="K50" s="5" t="s">
        <v>257</v>
      </c>
      <c r="L50" s="28" t="s">
        <v>258</v>
      </c>
      <c r="M50" s="11"/>
      <c r="N50" s="32"/>
      <c r="O50" s="32"/>
      <c r="P50" s="32" t="str">
        <f t="shared" si="5"/>
        <v>PECSON, MARICAR S.</v>
      </c>
      <c r="Q50" s="32"/>
      <c r="R50" s="96" t="s">
        <v>259</v>
      </c>
      <c r="T50" s="97">
        <v>45444</v>
      </c>
      <c r="U50" s="33">
        <f t="shared" ref="U50:U54" ca="1" si="6">DATEDIF(T50,TODAY(),"Y")</f>
        <v>1</v>
      </c>
    </row>
    <row r="51" spans="1:34" ht="91.2">
      <c r="A51" s="35">
        <f t="shared" ref="A51:A102" si="7">A50+1</f>
        <v>2</v>
      </c>
      <c r="B51" s="34" t="s">
        <v>253</v>
      </c>
      <c r="C51" s="35" t="s">
        <v>98</v>
      </c>
      <c r="D51" s="52">
        <v>64647.6</v>
      </c>
      <c r="E51" s="6" t="s">
        <v>260</v>
      </c>
      <c r="F51" s="98" t="s">
        <v>261</v>
      </c>
      <c r="G51" s="99" t="s">
        <v>262</v>
      </c>
      <c r="H51" s="100" t="s">
        <v>85</v>
      </c>
      <c r="I51" s="101">
        <v>33526</v>
      </c>
      <c r="J51" s="102">
        <v>9169732612</v>
      </c>
      <c r="K51" s="102" t="s">
        <v>263</v>
      </c>
      <c r="L51" s="103" t="s">
        <v>264</v>
      </c>
      <c r="M51" s="104"/>
      <c r="N51" s="32"/>
      <c r="O51" s="32"/>
      <c r="P51" s="32" t="str">
        <f t="shared" si="5"/>
        <v>RECOLIZADO, JAYMAR C.</v>
      </c>
      <c r="Q51" s="32"/>
      <c r="R51" s="105" t="s">
        <v>265</v>
      </c>
      <c r="S51" s="33" t="s">
        <v>266</v>
      </c>
      <c r="T51" s="97">
        <v>45110</v>
      </c>
      <c r="U51" s="33">
        <f t="shared" ca="1" si="6"/>
        <v>2</v>
      </c>
    </row>
    <row r="52" spans="1:34" ht="46.2">
      <c r="A52" s="35">
        <f t="shared" si="7"/>
        <v>3</v>
      </c>
      <c r="B52" s="34" t="s">
        <v>267</v>
      </c>
      <c r="C52" s="35" t="s">
        <v>268</v>
      </c>
      <c r="D52" s="36">
        <v>34214</v>
      </c>
      <c r="E52" s="6" t="s">
        <v>61</v>
      </c>
      <c r="F52" s="27" t="s">
        <v>269</v>
      </c>
      <c r="G52" s="27" t="s">
        <v>270</v>
      </c>
      <c r="H52" s="19" t="s">
        <v>85</v>
      </c>
      <c r="I52" s="55">
        <v>34595</v>
      </c>
      <c r="J52" s="5"/>
      <c r="K52" s="5" t="s">
        <v>271</v>
      </c>
      <c r="L52" s="28" t="s">
        <v>272</v>
      </c>
      <c r="M52" s="11"/>
      <c r="N52" s="32"/>
      <c r="O52" s="32"/>
      <c r="P52" s="32" t="str">
        <f t="shared" si="5"/>
        <v>JIMENEZ, JEI ARISTON C.</v>
      </c>
      <c r="Q52" s="32"/>
      <c r="R52" s="106" t="s">
        <v>273</v>
      </c>
      <c r="S52" s="33" t="s">
        <v>266</v>
      </c>
      <c r="T52" s="97">
        <v>45208</v>
      </c>
      <c r="U52" s="33">
        <f t="shared" ca="1" si="6"/>
        <v>1</v>
      </c>
    </row>
    <row r="53" spans="1:34" ht="18.600000000000001">
      <c r="A53" s="35">
        <f t="shared" si="7"/>
        <v>4</v>
      </c>
      <c r="B53" s="34" t="s">
        <v>274</v>
      </c>
      <c r="C53" s="35" t="s">
        <v>275</v>
      </c>
      <c r="D53" s="36">
        <v>49939.199999999997</v>
      </c>
      <c r="E53" s="22" t="s">
        <v>276</v>
      </c>
      <c r="F53" s="23" t="s">
        <v>277</v>
      </c>
      <c r="G53" s="23" t="s">
        <v>278</v>
      </c>
      <c r="H53" s="28" t="s">
        <v>85</v>
      </c>
      <c r="I53" s="37">
        <v>33426</v>
      </c>
      <c r="J53" s="5">
        <v>9176382689</v>
      </c>
      <c r="K53" s="5" t="s">
        <v>34</v>
      </c>
      <c r="L53" s="103" t="s">
        <v>279</v>
      </c>
      <c r="M53" s="104"/>
      <c r="N53" s="32"/>
      <c r="O53" s="32"/>
      <c r="P53" s="32" t="str">
        <f t="shared" si="5"/>
        <v>CEPEDA, CYRILL SHANE T.</v>
      </c>
      <c r="Q53" s="32"/>
      <c r="R53" s="106" t="s">
        <v>280</v>
      </c>
      <c r="S53" s="107"/>
      <c r="T53" s="108">
        <v>44466</v>
      </c>
      <c r="U53" s="33">
        <f t="shared" ca="1" si="6"/>
        <v>3</v>
      </c>
    </row>
    <row r="54" spans="1:34" ht="18.600000000000001">
      <c r="A54" s="35">
        <f t="shared" si="7"/>
        <v>5</v>
      </c>
      <c r="B54" s="109" t="s">
        <v>281</v>
      </c>
      <c r="C54" s="110" t="s">
        <v>275</v>
      </c>
      <c r="D54" s="36">
        <v>49939.199999999997</v>
      </c>
      <c r="E54" s="22" t="s">
        <v>282</v>
      </c>
      <c r="F54" s="111" t="s">
        <v>283</v>
      </c>
      <c r="G54" s="111" t="s">
        <v>199</v>
      </c>
      <c r="H54" s="112" t="s">
        <v>85</v>
      </c>
      <c r="I54" s="41">
        <v>33544</v>
      </c>
      <c r="J54" s="102">
        <v>9369711046</v>
      </c>
      <c r="K54" s="102" t="s">
        <v>37</v>
      </c>
      <c r="L54" s="113" t="s">
        <v>284</v>
      </c>
      <c r="M54" s="114"/>
      <c r="N54" s="32"/>
      <c r="O54" s="32"/>
      <c r="P54" s="32" t="str">
        <f t="shared" si="5"/>
        <v>LANGCAY, MICHAEL ANGELO R.</v>
      </c>
      <c r="Q54" s="32"/>
      <c r="R54" s="106" t="s">
        <v>280</v>
      </c>
      <c r="T54" s="97">
        <v>44446</v>
      </c>
      <c r="U54" s="33">
        <f t="shared" ca="1" si="6"/>
        <v>4</v>
      </c>
    </row>
    <row r="55" spans="1:34" ht="18.600000000000001">
      <c r="A55" s="35">
        <f t="shared" si="7"/>
        <v>6</v>
      </c>
      <c r="B55" s="34" t="s">
        <v>285</v>
      </c>
      <c r="C55" s="35" t="s">
        <v>275</v>
      </c>
      <c r="D55" s="36">
        <v>49939.199999999997</v>
      </c>
      <c r="E55" s="6" t="s">
        <v>286</v>
      </c>
      <c r="F55" s="27" t="s">
        <v>287</v>
      </c>
      <c r="G55" s="27" t="s">
        <v>288</v>
      </c>
      <c r="H55" s="19" t="s">
        <v>85</v>
      </c>
      <c r="I55" s="101">
        <v>30481</v>
      </c>
      <c r="J55" s="42"/>
      <c r="K55" s="42" t="s">
        <v>289</v>
      </c>
      <c r="L55" s="115" t="s">
        <v>264</v>
      </c>
      <c r="M55" s="11"/>
      <c r="N55" s="32"/>
      <c r="O55" s="32"/>
      <c r="P55" s="32" t="str">
        <f t="shared" si="5"/>
        <v>MADDELA, KARL STEVEN A.</v>
      </c>
      <c r="Q55" s="32"/>
      <c r="R55" s="106" t="s">
        <v>290</v>
      </c>
      <c r="S55" s="107" t="s">
        <v>266</v>
      </c>
      <c r="T55" s="108">
        <v>45307</v>
      </c>
    </row>
    <row r="56" spans="1:34" ht="21" customHeight="1">
      <c r="A56" s="35">
        <f t="shared" si="7"/>
        <v>7</v>
      </c>
      <c r="B56" s="34" t="s">
        <v>285</v>
      </c>
      <c r="C56" s="35" t="s">
        <v>275</v>
      </c>
      <c r="D56" s="36">
        <v>49939.199999999997</v>
      </c>
      <c r="E56" s="6" t="s">
        <v>291</v>
      </c>
      <c r="F56" s="27" t="s">
        <v>292</v>
      </c>
      <c r="G56" s="27" t="s">
        <v>293</v>
      </c>
      <c r="H56" s="19" t="s">
        <v>85</v>
      </c>
      <c r="I56" s="55">
        <v>35819</v>
      </c>
      <c r="J56" s="5"/>
      <c r="K56" s="5" t="s">
        <v>32</v>
      </c>
      <c r="L56" s="28" t="s">
        <v>264</v>
      </c>
      <c r="M56" s="11"/>
      <c r="N56" s="32"/>
      <c r="O56" s="32"/>
      <c r="P56" s="32" t="str">
        <f t="shared" si="5"/>
        <v>TOMAS, BRYAN H.</v>
      </c>
      <c r="Q56" s="32"/>
      <c r="R56" s="106" t="s">
        <v>294</v>
      </c>
      <c r="T56" s="97">
        <v>45307</v>
      </c>
      <c r="U56" s="33">
        <f t="shared" ref="U56:U68" ca="1" si="8">DATEDIF(T56,TODAY(),"Y")</f>
        <v>1</v>
      </c>
    </row>
    <row r="57" spans="1:34" ht="18.600000000000001">
      <c r="A57" s="35">
        <f t="shared" si="7"/>
        <v>8</v>
      </c>
      <c r="B57" s="34" t="s">
        <v>295</v>
      </c>
      <c r="C57" s="35" t="s">
        <v>120</v>
      </c>
      <c r="D57" s="36">
        <v>46095.6</v>
      </c>
      <c r="E57" s="22" t="s">
        <v>296</v>
      </c>
      <c r="F57" s="23" t="s">
        <v>297</v>
      </c>
      <c r="G57" s="23" t="s">
        <v>298</v>
      </c>
      <c r="H57" s="28" t="s">
        <v>64</v>
      </c>
      <c r="I57" s="41">
        <v>35555</v>
      </c>
      <c r="J57" s="42">
        <v>9615060035</v>
      </c>
      <c r="K57" s="42" t="s">
        <v>28</v>
      </c>
      <c r="L57" s="28" t="s">
        <v>299</v>
      </c>
      <c r="M57" s="11"/>
      <c r="N57" s="32"/>
      <c r="O57" s="32"/>
      <c r="P57" s="32" t="str">
        <f t="shared" si="5"/>
        <v>CASUGA, RICA V.</v>
      </c>
      <c r="Q57" s="32"/>
      <c r="R57" s="106" t="s">
        <v>290</v>
      </c>
      <c r="S57" s="107" t="s">
        <v>266</v>
      </c>
      <c r="T57" s="108">
        <v>44440</v>
      </c>
      <c r="U57" s="33">
        <f t="shared" ca="1" si="8"/>
        <v>4</v>
      </c>
    </row>
    <row r="58" spans="1:34" ht="18.600000000000001">
      <c r="A58" s="35">
        <f t="shared" si="7"/>
        <v>9</v>
      </c>
      <c r="B58" s="109" t="s">
        <v>281</v>
      </c>
      <c r="C58" s="110" t="s">
        <v>120</v>
      </c>
      <c r="D58" s="36">
        <v>46095.6</v>
      </c>
      <c r="E58" s="22" t="s">
        <v>300</v>
      </c>
      <c r="F58" s="111" t="s">
        <v>301</v>
      </c>
      <c r="G58" s="111" t="s">
        <v>302</v>
      </c>
      <c r="H58" s="112" t="s">
        <v>85</v>
      </c>
      <c r="I58" s="37">
        <v>34771</v>
      </c>
      <c r="J58" s="116">
        <v>9178749200</v>
      </c>
      <c r="K58" s="116" t="s">
        <v>35</v>
      </c>
      <c r="L58" s="112" t="s">
        <v>279</v>
      </c>
      <c r="M58" s="104"/>
      <c r="N58" s="32"/>
      <c r="O58" s="32"/>
      <c r="P58" s="32" t="str">
        <f t="shared" si="5"/>
        <v>GUIMMAYEN, NEIL KRISTOPHER C.</v>
      </c>
      <c r="Q58" s="32"/>
      <c r="R58" s="106" t="s">
        <v>280</v>
      </c>
      <c r="T58" s="97">
        <v>44425</v>
      </c>
      <c r="U58" s="33">
        <f t="shared" ca="1" si="8"/>
        <v>4</v>
      </c>
    </row>
    <row r="59" spans="1:34" ht="18.600000000000001">
      <c r="A59" s="35">
        <f t="shared" si="7"/>
        <v>10</v>
      </c>
      <c r="B59" s="34" t="s">
        <v>303</v>
      </c>
      <c r="C59" s="35" t="s">
        <v>268</v>
      </c>
      <c r="D59" s="36">
        <v>34214</v>
      </c>
      <c r="E59" s="22" t="s">
        <v>101</v>
      </c>
      <c r="F59" s="111" t="s">
        <v>304</v>
      </c>
      <c r="G59" s="111" t="s">
        <v>305</v>
      </c>
      <c r="H59" s="112" t="s">
        <v>64</v>
      </c>
      <c r="I59" s="37">
        <v>36494</v>
      </c>
      <c r="J59" s="116">
        <v>9556652398</v>
      </c>
      <c r="K59" s="116" t="s">
        <v>306</v>
      </c>
      <c r="L59" s="112" t="s">
        <v>307</v>
      </c>
      <c r="M59" s="104"/>
      <c r="N59" s="32"/>
      <c r="O59" s="32"/>
      <c r="P59" s="32" t="str">
        <f t="shared" si="5"/>
        <v>CALAYAN, KIMBERLY ANN B.</v>
      </c>
      <c r="Q59" s="32"/>
      <c r="R59" s="105" t="s">
        <v>308</v>
      </c>
      <c r="S59" s="33" t="s">
        <v>266</v>
      </c>
      <c r="T59" s="97">
        <v>45108</v>
      </c>
      <c r="U59" s="33">
        <f t="shared" ca="1" si="8"/>
        <v>2</v>
      </c>
    </row>
    <row r="60" spans="1:34" ht="18.600000000000001">
      <c r="A60" s="35">
        <f t="shared" si="7"/>
        <v>11</v>
      </c>
      <c r="B60" s="34" t="s">
        <v>295</v>
      </c>
      <c r="C60" s="35" t="s">
        <v>120</v>
      </c>
      <c r="D60" s="36">
        <v>46095.6</v>
      </c>
      <c r="E60" s="22" t="s">
        <v>309</v>
      </c>
      <c r="F60" s="117" t="s">
        <v>310</v>
      </c>
      <c r="G60" s="27" t="s">
        <v>311</v>
      </c>
      <c r="H60" s="19" t="s">
        <v>85</v>
      </c>
      <c r="I60" s="118">
        <v>32975</v>
      </c>
      <c r="J60" s="5">
        <v>9162757816</v>
      </c>
      <c r="K60" s="27" t="s">
        <v>312</v>
      </c>
      <c r="L60" s="28" t="s">
        <v>313</v>
      </c>
      <c r="M60" s="11"/>
      <c r="N60" s="32"/>
      <c r="O60" s="32"/>
      <c r="P60" s="32" t="str">
        <f t="shared" si="5"/>
        <v>ANAPI, DEEJAY G.</v>
      </c>
      <c r="Q60" s="32"/>
      <c r="R60" s="106" t="s">
        <v>314</v>
      </c>
      <c r="T60" s="97">
        <v>45119</v>
      </c>
      <c r="U60" s="33">
        <f t="shared" ca="1" si="8"/>
        <v>2</v>
      </c>
    </row>
    <row r="61" spans="1:34" ht="18.600000000000001">
      <c r="A61" s="35">
        <f t="shared" si="7"/>
        <v>12</v>
      </c>
      <c r="B61" s="34" t="s">
        <v>295</v>
      </c>
      <c r="C61" s="35" t="s">
        <v>120</v>
      </c>
      <c r="D61" s="36">
        <v>46095.6</v>
      </c>
      <c r="E61" s="22" t="s">
        <v>315</v>
      </c>
      <c r="F61" s="117" t="s">
        <v>316</v>
      </c>
      <c r="G61" s="27" t="s">
        <v>317</v>
      </c>
      <c r="H61" s="19" t="s">
        <v>64</v>
      </c>
      <c r="I61" s="55" t="s">
        <v>318</v>
      </c>
      <c r="J61" s="5"/>
      <c r="K61" s="27" t="s">
        <v>319</v>
      </c>
      <c r="L61" s="28" t="s">
        <v>320</v>
      </c>
      <c r="M61" s="11"/>
      <c r="N61" s="32"/>
      <c r="O61" s="32"/>
      <c r="P61" s="32" t="str">
        <f t="shared" si="5"/>
        <v>GALOLO, LEAH G.</v>
      </c>
      <c r="Q61" s="32"/>
      <c r="R61" s="106" t="s">
        <v>321</v>
      </c>
      <c r="S61" s="33" t="s">
        <v>266</v>
      </c>
      <c r="T61" s="97">
        <v>45224</v>
      </c>
      <c r="U61" s="33">
        <f t="shared" ca="1" si="8"/>
        <v>1</v>
      </c>
    </row>
    <row r="62" spans="1:34" ht="20.25" customHeight="1">
      <c r="A62" s="35">
        <f t="shared" si="7"/>
        <v>13</v>
      </c>
      <c r="B62" s="34" t="s">
        <v>245</v>
      </c>
      <c r="C62" s="19" t="s">
        <v>98</v>
      </c>
      <c r="D62" s="52">
        <v>64647.6</v>
      </c>
      <c r="E62" s="6" t="s">
        <v>322</v>
      </c>
      <c r="F62" s="27" t="s">
        <v>323</v>
      </c>
      <c r="G62" s="27" t="s">
        <v>324</v>
      </c>
      <c r="H62" s="19" t="s">
        <v>64</v>
      </c>
      <c r="I62" s="55">
        <v>33605</v>
      </c>
      <c r="J62" s="5">
        <v>9974894912</v>
      </c>
      <c r="K62" s="5" t="s">
        <v>325</v>
      </c>
      <c r="L62" s="28" t="s">
        <v>320</v>
      </c>
      <c r="M62" s="11"/>
      <c r="N62" s="32"/>
      <c r="O62" s="32"/>
      <c r="P62" s="32" t="str">
        <f t="shared" si="5"/>
        <v>CATINOY, JANET T.</v>
      </c>
      <c r="Q62" s="32"/>
      <c r="R62" s="106" t="s">
        <v>326</v>
      </c>
      <c r="T62" s="97">
        <v>45139</v>
      </c>
      <c r="U62" s="33">
        <f t="shared" ca="1" si="8"/>
        <v>2</v>
      </c>
    </row>
    <row r="63" spans="1:34" ht="18.600000000000001">
      <c r="A63" s="35">
        <f t="shared" si="7"/>
        <v>14</v>
      </c>
      <c r="B63" s="34" t="s">
        <v>295</v>
      </c>
      <c r="C63" s="35" t="s">
        <v>120</v>
      </c>
      <c r="D63" s="36">
        <v>46095.6</v>
      </c>
      <c r="E63" s="6" t="s">
        <v>327</v>
      </c>
      <c r="F63" s="27" t="s">
        <v>328</v>
      </c>
      <c r="G63" s="27" t="s">
        <v>329</v>
      </c>
      <c r="H63" s="19" t="s">
        <v>64</v>
      </c>
      <c r="I63" s="55">
        <v>36036</v>
      </c>
      <c r="J63" s="5">
        <v>9171345522</v>
      </c>
      <c r="K63" s="27" t="s">
        <v>330</v>
      </c>
      <c r="L63" s="115" t="s">
        <v>264</v>
      </c>
      <c r="M63" s="11"/>
      <c r="N63" s="32"/>
      <c r="O63" s="32"/>
      <c r="P63" s="32" t="str">
        <f t="shared" si="5"/>
        <v>GARCIA, JEANNE SHANNON O.</v>
      </c>
      <c r="Q63" s="32"/>
      <c r="R63" s="106" t="s">
        <v>331</v>
      </c>
      <c r="S63" s="119"/>
      <c r="T63" s="120">
        <v>45117</v>
      </c>
      <c r="U63" s="33">
        <f t="shared" ca="1" si="8"/>
        <v>2</v>
      </c>
    </row>
    <row r="64" spans="1:34" ht="18.600000000000001">
      <c r="A64" s="35">
        <f t="shared" si="7"/>
        <v>15</v>
      </c>
      <c r="B64" s="34" t="s">
        <v>295</v>
      </c>
      <c r="C64" s="35" t="s">
        <v>120</v>
      </c>
      <c r="D64" s="36">
        <v>46095.6</v>
      </c>
      <c r="E64" s="6" t="s">
        <v>61</v>
      </c>
      <c r="F64" s="27" t="s">
        <v>332</v>
      </c>
      <c r="G64" s="27" t="s">
        <v>333</v>
      </c>
      <c r="H64" s="19" t="s">
        <v>85</v>
      </c>
      <c r="I64" s="55">
        <v>31554</v>
      </c>
      <c r="J64" s="5"/>
      <c r="K64" s="5" t="s">
        <v>334</v>
      </c>
      <c r="L64" s="28" t="s">
        <v>320</v>
      </c>
      <c r="M64" s="11"/>
      <c r="N64" s="32"/>
      <c r="O64" s="32"/>
      <c r="P64" s="32" t="str">
        <f t="shared" si="5"/>
        <v>JIMENEZ, ROEL U.</v>
      </c>
      <c r="Q64" s="32"/>
      <c r="R64" s="96" t="s">
        <v>259</v>
      </c>
      <c r="T64" s="97">
        <v>45444</v>
      </c>
      <c r="U64" s="33">
        <f t="shared" ca="1" si="8"/>
        <v>1</v>
      </c>
    </row>
    <row r="65" spans="1:34" ht="18.75" customHeight="1">
      <c r="A65" s="35">
        <f t="shared" si="7"/>
        <v>16</v>
      </c>
      <c r="B65" s="34" t="s">
        <v>335</v>
      </c>
      <c r="C65" s="35" t="s">
        <v>268</v>
      </c>
      <c r="D65" s="36">
        <v>34214</v>
      </c>
      <c r="E65" s="6" t="s">
        <v>336</v>
      </c>
      <c r="F65" s="27" t="s">
        <v>337</v>
      </c>
      <c r="G65" s="27" t="s">
        <v>338</v>
      </c>
      <c r="H65" s="19" t="s">
        <v>85</v>
      </c>
      <c r="I65" s="55">
        <v>32334</v>
      </c>
      <c r="J65" s="5">
        <v>9983560281</v>
      </c>
      <c r="K65" s="5" t="s">
        <v>339</v>
      </c>
      <c r="L65" s="28" t="s">
        <v>307</v>
      </c>
      <c r="M65" s="11"/>
      <c r="N65" s="32"/>
      <c r="O65" s="32"/>
      <c r="P65" s="32" t="str">
        <f t="shared" si="5"/>
        <v>BAQUIRAN, MAR ELVISON A.</v>
      </c>
      <c r="Q65" s="32"/>
      <c r="R65" s="106" t="s">
        <v>340</v>
      </c>
      <c r="S65" s="119" t="s">
        <v>266</v>
      </c>
      <c r="T65" s="120">
        <v>45170</v>
      </c>
      <c r="U65" s="33">
        <f t="shared" ca="1" si="8"/>
        <v>2</v>
      </c>
    </row>
    <row r="66" spans="1:34" ht="18.75" customHeight="1">
      <c r="A66" s="35">
        <f t="shared" si="7"/>
        <v>17</v>
      </c>
      <c r="B66" s="62" t="s">
        <v>274</v>
      </c>
      <c r="C66" s="110" t="s">
        <v>275</v>
      </c>
      <c r="D66" s="36">
        <v>49939.199999999997</v>
      </c>
      <c r="E66" s="6" t="s">
        <v>341</v>
      </c>
      <c r="F66" s="6" t="s">
        <v>342</v>
      </c>
      <c r="G66" s="6" t="s">
        <v>343</v>
      </c>
      <c r="H66" s="79" t="s">
        <v>85</v>
      </c>
      <c r="I66" s="118">
        <v>35898</v>
      </c>
      <c r="J66" s="81">
        <v>9351310731</v>
      </c>
      <c r="K66" s="81" t="s">
        <v>344</v>
      </c>
      <c r="L66" s="28" t="s">
        <v>345</v>
      </c>
      <c r="M66" s="11"/>
      <c r="N66" s="32"/>
      <c r="O66" s="32"/>
      <c r="P66" s="32" t="str">
        <f t="shared" si="5"/>
        <v>JOSE, DAN MARK R.</v>
      </c>
      <c r="Q66" s="32"/>
      <c r="R66" s="106" t="s">
        <v>346</v>
      </c>
      <c r="T66" s="97">
        <v>45152</v>
      </c>
      <c r="U66" s="33">
        <f t="shared" ca="1" si="8"/>
        <v>2</v>
      </c>
    </row>
    <row r="67" spans="1:34" ht="18.600000000000001">
      <c r="A67" s="35">
        <f t="shared" si="7"/>
        <v>18</v>
      </c>
      <c r="B67" s="34" t="s">
        <v>347</v>
      </c>
      <c r="C67" s="19" t="s">
        <v>120</v>
      </c>
      <c r="D67" s="36">
        <v>46095.6</v>
      </c>
      <c r="E67" s="6" t="s">
        <v>348</v>
      </c>
      <c r="F67" s="27" t="s">
        <v>349</v>
      </c>
      <c r="G67" s="27" t="s">
        <v>350</v>
      </c>
      <c r="H67" s="19" t="s">
        <v>85</v>
      </c>
      <c r="I67" s="55">
        <v>36535</v>
      </c>
      <c r="J67" s="5"/>
      <c r="K67" s="5" t="s">
        <v>351</v>
      </c>
      <c r="L67" s="28" t="s">
        <v>320</v>
      </c>
      <c r="M67" s="11"/>
      <c r="N67" s="32"/>
      <c r="O67" s="32"/>
      <c r="P67" s="32" t="str">
        <f t="shared" si="5"/>
        <v>RAFER, YANCEE KEARVIN KYLE A.</v>
      </c>
      <c r="Q67" s="32"/>
      <c r="R67" s="96" t="s">
        <v>259</v>
      </c>
      <c r="T67" s="97">
        <v>45418</v>
      </c>
      <c r="U67" s="33">
        <f t="shared" ca="1" si="8"/>
        <v>1</v>
      </c>
    </row>
    <row r="68" spans="1:34" ht="18.600000000000001">
      <c r="A68" s="35">
        <f t="shared" si="7"/>
        <v>19</v>
      </c>
      <c r="B68" s="34" t="s">
        <v>352</v>
      </c>
      <c r="C68" s="35" t="s">
        <v>140</v>
      </c>
      <c r="D68" s="77">
        <v>36846</v>
      </c>
      <c r="E68" s="6" t="s">
        <v>163</v>
      </c>
      <c r="F68" s="27" t="s">
        <v>353</v>
      </c>
      <c r="G68" s="27" t="s">
        <v>354</v>
      </c>
      <c r="H68" s="19" t="s">
        <v>85</v>
      </c>
      <c r="I68" s="55">
        <v>36773</v>
      </c>
      <c r="J68" s="5"/>
      <c r="K68" s="5" t="s">
        <v>355</v>
      </c>
      <c r="L68" s="28" t="s">
        <v>264</v>
      </c>
      <c r="M68" s="11"/>
      <c r="N68" s="32"/>
      <c r="O68" s="32"/>
      <c r="P68" s="32" t="str">
        <f t="shared" si="5"/>
        <v>ABAD, DIETHER A.</v>
      </c>
      <c r="Q68" s="32"/>
      <c r="R68" s="106" t="s">
        <v>356</v>
      </c>
      <c r="T68" s="108">
        <v>45307</v>
      </c>
      <c r="U68" s="33">
        <f t="shared" ca="1" si="8"/>
        <v>1</v>
      </c>
    </row>
    <row r="69" spans="1:34" ht="18.600000000000001">
      <c r="A69" s="35">
        <f t="shared" si="7"/>
        <v>20</v>
      </c>
      <c r="B69" s="34" t="s">
        <v>352</v>
      </c>
      <c r="C69" s="35" t="s">
        <v>140</v>
      </c>
      <c r="D69" s="77">
        <v>36846</v>
      </c>
      <c r="E69" s="27" t="s">
        <v>357</v>
      </c>
      <c r="F69" s="27" t="s">
        <v>358</v>
      </c>
      <c r="G69" s="27" t="s">
        <v>359</v>
      </c>
      <c r="H69" s="19" t="s">
        <v>85</v>
      </c>
      <c r="I69" s="55">
        <v>35788</v>
      </c>
      <c r="J69" s="5"/>
      <c r="K69" s="5" t="s">
        <v>360</v>
      </c>
      <c r="L69" s="28" t="s">
        <v>258</v>
      </c>
      <c r="M69" s="11"/>
      <c r="P69" s="33" t="s">
        <v>361</v>
      </c>
      <c r="Q69" s="33"/>
      <c r="T69" s="97">
        <v>45600</v>
      </c>
    </row>
    <row r="70" spans="1:34" ht="18.600000000000001">
      <c r="A70" s="35">
        <f t="shared" si="7"/>
        <v>21</v>
      </c>
      <c r="B70" s="34" t="s">
        <v>362</v>
      </c>
      <c r="C70" s="35" t="s">
        <v>268</v>
      </c>
      <c r="D70" s="36">
        <v>34214</v>
      </c>
      <c r="E70" s="22" t="s">
        <v>363</v>
      </c>
      <c r="F70" s="23" t="s">
        <v>364</v>
      </c>
      <c r="G70" s="23" t="s">
        <v>365</v>
      </c>
      <c r="H70" s="28" t="s">
        <v>64</v>
      </c>
      <c r="I70" s="37">
        <v>32384</v>
      </c>
      <c r="J70" s="5">
        <v>9760231578</v>
      </c>
      <c r="K70" s="5" t="s">
        <v>26</v>
      </c>
      <c r="L70" s="112" t="s">
        <v>299</v>
      </c>
      <c r="M70" s="104"/>
      <c r="N70" s="32"/>
      <c r="O70" s="32"/>
      <c r="P70" s="32" t="str">
        <f t="shared" ref="P70:P78" si="9">CONCATENATE(E70,",", " ",F70," ", LEFT(G70,1),".",)</f>
        <v>VALDEZ, MARIA KRISTINE T.</v>
      </c>
      <c r="Q70" s="32"/>
      <c r="R70" s="106" t="s">
        <v>290</v>
      </c>
      <c r="S70" s="33" t="s">
        <v>266</v>
      </c>
      <c r="T70" s="97">
        <v>44495</v>
      </c>
      <c r="U70" s="33">
        <f t="shared" ref="U70:U86" ca="1" si="10">DATEDIF(T70,TODAY(),"Y")</f>
        <v>3</v>
      </c>
    </row>
    <row r="71" spans="1:34" ht="31.2">
      <c r="A71" s="35">
        <f t="shared" si="7"/>
        <v>22</v>
      </c>
      <c r="B71" s="34" t="s">
        <v>295</v>
      </c>
      <c r="C71" s="35" t="s">
        <v>120</v>
      </c>
      <c r="D71" s="36">
        <v>46095.6</v>
      </c>
      <c r="E71" s="22" t="s">
        <v>366</v>
      </c>
      <c r="F71" s="99" t="s">
        <v>367</v>
      </c>
      <c r="G71" s="99" t="s">
        <v>89</v>
      </c>
      <c r="H71" s="100" t="s">
        <v>64</v>
      </c>
      <c r="I71" s="55">
        <v>32687</v>
      </c>
      <c r="J71" s="116">
        <v>9458677754</v>
      </c>
      <c r="K71" s="99" t="s">
        <v>368</v>
      </c>
      <c r="L71" s="28" t="s">
        <v>313</v>
      </c>
      <c r="M71" s="104"/>
      <c r="N71" s="32"/>
      <c r="O71" s="32"/>
      <c r="P71" s="32" t="str">
        <f t="shared" si="9"/>
        <v>SAGAYDORO, SHERYL N.</v>
      </c>
      <c r="Q71" s="32"/>
      <c r="R71" s="105" t="s">
        <v>369</v>
      </c>
      <c r="T71" s="97">
        <v>45118</v>
      </c>
      <c r="U71" s="33">
        <f t="shared" ca="1" si="10"/>
        <v>2</v>
      </c>
    </row>
    <row r="72" spans="1:34" ht="18.600000000000001">
      <c r="A72" s="35">
        <f t="shared" si="7"/>
        <v>23</v>
      </c>
      <c r="B72" s="34" t="s">
        <v>362</v>
      </c>
      <c r="C72" s="35" t="s">
        <v>268</v>
      </c>
      <c r="D72" s="36">
        <v>34214</v>
      </c>
      <c r="E72" s="6" t="s">
        <v>99</v>
      </c>
      <c r="F72" s="27" t="s">
        <v>370</v>
      </c>
      <c r="G72" s="27" t="s">
        <v>371</v>
      </c>
      <c r="H72" s="19" t="s">
        <v>85</v>
      </c>
      <c r="I72" s="55">
        <v>36235</v>
      </c>
      <c r="J72" s="5" t="s">
        <v>372</v>
      </c>
      <c r="K72" s="27" t="s">
        <v>373</v>
      </c>
      <c r="L72" s="115" t="s">
        <v>299</v>
      </c>
      <c r="M72" s="11"/>
      <c r="N72" s="32"/>
      <c r="O72" s="32"/>
      <c r="P72" s="32" t="str">
        <f t="shared" si="9"/>
        <v>DEL ROSARIO, JONATHAN F.</v>
      </c>
      <c r="Q72" s="32"/>
      <c r="R72" s="106" t="s">
        <v>374</v>
      </c>
      <c r="S72" s="119" t="s">
        <v>266</v>
      </c>
      <c r="T72" s="120">
        <v>45117</v>
      </c>
      <c r="U72" s="33">
        <f t="shared" ca="1" si="10"/>
        <v>2</v>
      </c>
    </row>
    <row r="73" spans="1:34" ht="31.2">
      <c r="A73" s="35">
        <f t="shared" si="7"/>
        <v>24</v>
      </c>
      <c r="B73" s="34" t="s">
        <v>295</v>
      </c>
      <c r="C73" s="35" t="s">
        <v>120</v>
      </c>
      <c r="D73" s="36">
        <v>46095.6</v>
      </c>
      <c r="E73" s="6" t="s">
        <v>375</v>
      </c>
      <c r="F73" s="27" t="s">
        <v>376</v>
      </c>
      <c r="G73" s="27" t="s">
        <v>377</v>
      </c>
      <c r="H73" s="19" t="s">
        <v>64</v>
      </c>
      <c r="I73" s="55">
        <v>36504</v>
      </c>
      <c r="J73" s="5">
        <v>9776748240</v>
      </c>
      <c r="K73" s="27" t="s">
        <v>378</v>
      </c>
      <c r="L73" s="28" t="s">
        <v>379</v>
      </c>
      <c r="M73" s="11"/>
      <c r="N73" s="32"/>
      <c r="O73" s="32"/>
      <c r="P73" s="32" t="str">
        <f t="shared" si="9"/>
        <v>DAWIDEO, SAMANTHA P.</v>
      </c>
      <c r="Q73" s="32"/>
      <c r="R73" s="106" t="s">
        <v>380</v>
      </c>
      <c r="S73" s="119" t="s">
        <v>266</v>
      </c>
      <c r="T73" s="120">
        <v>45124</v>
      </c>
      <c r="U73" s="33">
        <f t="shared" ca="1" si="10"/>
        <v>2</v>
      </c>
    </row>
    <row r="74" spans="1:34" ht="18.600000000000001">
      <c r="A74" s="35">
        <f t="shared" si="7"/>
        <v>25</v>
      </c>
      <c r="B74" s="34" t="s">
        <v>303</v>
      </c>
      <c r="C74" s="35" t="s">
        <v>268</v>
      </c>
      <c r="D74" s="36">
        <v>34214</v>
      </c>
      <c r="E74" s="6" t="s">
        <v>336</v>
      </c>
      <c r="F74" s="27" t="s">
        <v>381</v>
      </c>
      <c r="G74" s="27" t="s">
        <v>382</v>
      </c>
      <c r="H74" s="19" t="s">
        <v>85</v>
      </c>
      <c r="I74" s="121">
        <v>35819</v>
      </c>
      <c r="J74" s="5"/>
      <c r="K74" s="5" t="s">
        <v>383</v>
      </c>
      <c r="L74" s="28" t="s">
        <v>307</v>
      </c>
      <c r="M74" s="11"/>
      <c r="N74" s="32"/>
      <c r="O74" s="32"/>
      <c r="P74" s="32" t="str">
        <f t="shared" si="9"/>
        <v>BAQUIRAN, JULIUS CEZAR C.</v>
      </c>
      <c r="Q74" s="32"/>
      <c r="R74" s="106" t="s">
        <v>384</v>
      </c>
      <c r="S74" s="119" t="s">
        <v>266</v>
      </c>
      <c r="T74" s="120">
        <v>45216</v>
      </c>
      <c r="U74" s="33">
        <f t="shared" ca="1" si="10"/>
        <v>1</v>
      </c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</row>
    <row r="75" spans="1:34" ht="18.600000000000001">
      <c r="A75" s="35">
        <f t="shared" si="7"/>
        <v>26</v>
      </c>
      <c r="B75" s="62" t="s">
        <v>385</v>
      </c>
      <c r="C75" s="35" t="s">
        <v>221</v>
      </c>
      <c r="D75" s="52">
        <v>19450.8</v>
      </c>
      <c r="E75" s="6" t="s">
        <v>386</v>
      </c>
      <c r="F75" s="6" t="s">
        <v>387</v>
      </c>
      <c r="G75" s="6" t="s">
        <v>388</v>
      </c>
      <c r="H75" s="79" t="s">
        <v>85</v>
      </c>
      <c r="I75" s="55">
        <v>35256</v>
      </c>
      <c r="J75" s="81"/>
      <c r="K75" s="81" t="s">
        <v>389</v>
      </c>
      <c r="L75" s="122" t="s">
        <v>307</v>
      </c>
      <c r="M75" s="11"/>
      <c r="N75" s="32"/>
      <c r="O75" s="32"/>
      <c r="P75" s="32" t="str">
        <f t="shared" si="9"/>
        <v>SANTOS, IVANN PAUL M.</v>
      </c>
      <c r="Q75" s="32"/>
      <c r="R75" s="123" t="s">
        <v>390</v>
      </c>
      <c r="S75" s="119"/>
      <c r="T75" s="120">
        <v>45208</v>
      </c>
      <c r="U75" s="33">
        <f t="shared" ca="1" si="10"/>
        <v>1</v>
      </c>
    </row>
    <row r="76" spans="1:34" ht="18.600000000000001">
      <c r="A76" s="35">
        <f t="shared" si="7"/>
        <v>27</v>
      </c>
      <c r="B76" s="62" t="s">
        <v>362</v>
      </c>
      <c r="C76" s="54" t="s">
        <v>268</v>
      </c>
      <c r="D76" s="124">
        <v>34214</v>
      </c>
      <c r="E76" s="6" t="s">
        <v>391</v>
      </c>
      <c r="F76" s="6" t="s">
        <v>392</v>
      </c>
      <c r="G76" s="6" t="s">
        <v>393</v>
      </c>
      <c r="H76" s="79" t="s">
        <v>64</v>
      </c>
      <c r="I76" s="55">
        <v>36885</v>
      </c>
      <c r="J76" s="81"/>
      <c r="K76" s="81" t="s">
        <v>394</v>
      </c>
      <c r="L76" s="115" t="s">
        <v>299</v>
      </c>
      <c r="M76" s="11"/>
      <c r="N76" s="32"/>
      <c r="O76" s="32"/>
      <c r="P76" s="32" t="str">
        <f t="shared" si="9"/>
        <v>BACKIAWAN, DEBORA P.</v>
      </c>
      <c r="Q76" s="32"/>
      <c r="R76" s="96" t="s">
        <v>290</v>
      </c>
      <c r="S76" s="33" t="s">
        <v>266</v>
      </c>
      <c r="T76" s="97">
        <v>45418</v>
      </c>
      <c r="U76" s="33">
        <f t="shared" ca="1" si="10"/>
        <v>1</v>
      </c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</row>
    <row r="77" spans="1:34" ht="18.600000000000001">
      <c r="A77" s="35">
        <f t="shared" si="7"/>
        <v>28</v>
      </c>
      <c r="B77" s="62" t="s">
        <v>395</v>
      </c>
      <c r="C77" s="54" t="s">
        <v>268</v>
      </c>
      <c r="D77" s="124">
        <v>34214</v>
      </c>
      <c r="E77" s="6" t="s">
        <v>396</v>
      </c>
      <c r="F77" s="6" t="s">
        <v>397</v>
      </c>
      <c r="G77" s="6" t="s">
        <v>398</v>
      </c>
      <c r="H77" s="79" t="s">
        <v>64</v>
      </c>
      <c r="I77" s="55">
        <v>34306</v>
      </c>
      <c r="J77" s="80" t="s">
        <v>399</v>
      </c>
      <c r="K77" s="81" t="s">
        <v>400</v>
      </c>
      <c r="L77" s="122" t="s">
        <v>307</v>
      </c>
      <c r="M77" s="11"/>
      <c r="N77" s="32"/>
      <c r="O77" s="32"/>
      <c r="P77" s="32" t="str">
        <f t="shared" si="9"/>
        <v>PRUDENCIADO, JENNY S.</v>
      </c>
      <c r="Q77" s="32"/>
      <c r="R77" s="96" t="s">
        <v>401</v>
      </c>
      <c r="S77" s="33" t="s">
        <v>266</v>
      </c>
      <c r="T77" s="97">
        <v>45474</v>
      </c>
      <c r="U77" s="33">
        <f t="shared" ca="1" si="10"/>
        <v>1</v>
      </c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spans="1:34" ht="18.600000000000001">
      <c r="A78" s="35">
        <f t="shared" si="7"/>
        <v>29</v>
      </c>
      <c r="B78" s="62" t="s">
        <v>402</v>
      </c>
      <c r="C78" s="54" t="s">
        <v>403</v>
      </c>
      <c r="D78" s="124">
        <v>29257.200000000001</v>
      </c>
      <c r="E78" s="6" t="s">
        <v>404</v>
      </c>
      <c r="F78" s="6" t="s">
        <v>405</v>
      </c>
      <c r="G78" s="6" t="s">
        <v>406</v>
      </c>
      <c r="H78" s="79" t="s">
        <v>85</v>
      </c>
      <c r="I78" s="55">
        <v>31292</v>
      </c>
      <c r="J78" s="81"/>
      <c r="K78" s="81" t="s">
        <v>407</v>
      </c>
      <c r="L78" s="122" t="s">
        <v>307</v>
      </c>
      <c r="M78" s="11"/>
      <c r="N78" s="32"/>
      <c r="O78" s="32"/>
      <c r="P78" s="32" t="str">
        <f t="shared" si="9"/>
        <v>ARGONZA, EDWARK MARK D.</v>
      </c>
      <c r="Q78" s="32"/>
      <c r="R78" s="96" t="s">
        <v>401</v>
      </c>
      <c r="S78" s="33" t="s">
        <v>266</v>
      </c>
      <c r="T78" s="97">
        <v>45446</v>
      </c>
      <c r="U78" s="33">
        <f t="shared" ca="1" si="10"/>
        <v>1</v>
      </c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</row>
    <row r="79" spans="1:34" ht="18.600000000000001">
      <c r="A79" s="35">
        <f t="shared" si="7"/>
        <v>30</v>
      </c>
      <c r="B79" s="34" t="s">
        <v>362</v>
      </c>
      <c r="C79" s="35" t="s">
        <v>268</v>
      </c>
      <c r="D79" s="36">
        <v>34214</v>
      </c>
      <c r="E79" s="6" t="s">
        <v>408</v>
      </c>
      <c r="F79" s="27" t="s">
        <v>409</v>
      </c>
      <c r="G79" s="27" t="s">
        <v>410</v>
      </c>
      <c r="H79" s="19" t="s">
        <v>85</v>
      </c>
      <c r="I79" s="55">
        <v>33201</v>
      </c>
      <c r="J79" s="5"/>
      <c r="K79" s="5" t="s">
        <v>411</v>
      </c>
      <c r="L79" s="28" t="s">
        <v>258</v>
      </c>
      <c r="M79" s="11"/>
      <c r="P79" s="13" t="s">
        <v>412</v>
      </c>
      <c r="Q79" s="13"/>
      <c r="R79" s="96" t="s">
        <v>401</v>
      </c>
      <c r="S79" s="13"/>
      <c r="T79" s="97">
        <v>45544</v>
      </c>
      <c r="U79" s="33">
        <f t="shared" ca="1" si="10"/>
        <v>0</v>
      </c>
      <c r="V79" s="33">
        <v>5</v>
      </c>
      <c r="W79" s="33">
        <v>4</v>
      </c>
      <c r="X79" s="33">
        <v>3</v>
      </c>
      <c r="Y79" s="33">
        <v>2</v>
      </c>
      <c r="Z79" s="33">
        <v>1</v>
      </c>
      <c r="AA79" s="33">
        <v>0</v>
      </c>
    </row>
    <row r="80" spans="1:34" ht="18.600000000000001">
      <c r="A80" s="35">
        <f t="shared" si="7"/>
        <v>31</v>
      </c>
      <c r="B80" s="34" t="s">
        <v>413</v>
      </c>
      <c r="C80" s="35" t="s">
        <v>414</v>
      </c>
      <c r="D80" s="52">
        <v>24640.799999999999</v>
      </c>
      <c r="E80" s="6" t="s">
        <v>415</v>
      </c>
      <c r="F80" s="27" t="s">
        <v>416</v>
      </c>
      <c r="G80" s="27" t="s">
        <v>417</v>
      </c>
      <c r="H80" s="19" t="s">
        <v>64</v>
      </c>
      <c r="I80" s="55">
        <v>33311</v>
      </c>
      <c r="J80" s="5"/>
      <c r="K80" s="5" t="s">
        <v>418</v>
      </c>
      <c r="L80" s="28" t="s">
        <v>307</v>
      </c>
      <c r="M80" s="11"/>
      <c r="N80" s="32"/>
      <c r="O80" s="32"/>
      <c r="P80" s="32" t="str">
        <f t="shared" ref="P80:P81" si="11">CONCATENATE(E80,",", " ",F80," ", LEFT(G80,1),".",)</f>
        <v>MONTES, MARIZA NOVA M.</v>
      </c>
      <c r="Q80" s="32"/>
      <c r="R80" s="96" t="s">
        <v>290</v>
      </c>
      <c r="S80" s="33" t="s">
        <v>266</v>
      </c>
      <c r="T80" s="97">
        <v>45418</v>
      </c>
      <c r="U80" s="33">
        <f t="shared" ca="1" si="10"/>
        <v>1</v>
      </c>
    </row>
    <row r="81" spans="1:34" ht="18.75" customHeight="1">
      <c r="A81" s="35">
        <f t="shared" si="7"/>
        <v>32</v>
      </c>
      <c r="B81" s="34" t="s">
        <v>419</v>
      </c>
      <c r="C81" s="54" t="s">
        <v>403</v>
      </c>
      <c r="D81" s="124">
        <v>29257.200000000001</v>
      </c>
      <c r="E81" s="6" t="s">
        <v>420</v>
      </c>
      <c r="F81" s="27" t="s">
        <v>421</v>
      </c>
      <c r="G81" s="27" t="s">
        <v>422</v>
      </c>
      <c r="H81" s="19" t="s">
        <v>64</v>
      </c>
      <c r="I81" s="55">
        <v>35981</v>
      </c>
      <c r="J81" s="5"/>
      <c r="K81" s="5" t="s">
        <v>423</v>
      </c>
      <c r="L81" s="28" t="s">
        <v>307</v>
      </c>
      <c r="M81" s="11"/>
      <c r="N81" s="32"/>
      <c r="O81" s="32"/>
      <c r="P81" s="32" t="str">
        <f t="shared" si="11"/>
        <v>TABUG, SHEREEN J.</v>
      </c>
      <c r="Q81" s="32"/>
      <c r="R81" s="106" t="s">
        <v>424</v>
      </c>
      <c r="S81" s="33" t="s">
        <v>266</v>
      </c>
      <c r="T81" s="97">
        <v>45509</v>
      </c>
      <c r="U81" s="33">
        <f t="shared" ca="1" si="10"/>
        <v>1</v>
      </c>
    </row>
    <row r="82" spans="1:34" ht="18.600000000000001">
      <c r="A82" s="35">
        <f t="shared" si="7"/>
        <v>33</v>
      </c>
      <c r="B82" s="34" t="s">
        <v>362</v>
      </c>
      <c r="C82" s="35" t="s">
        <v>268</v>
      </c>
      <c r="D82" s="36">
        <v>34214</v>
      </c>
      <c r="E82" s="27" t="s">
        <v>425</v>
      </c>
      <c r="F82" s="27" t="s">
        <v>426</v>
      </c>
      <c r="G82" s="27" t="s">
        <v>427</v>
      </c>
      <c r="H82" s="19" t="s">
        <v>85</v>
      </c>
      <c r="I82" s="55">
        <v>36094</v>
      </c>
      <c r="J82" s="5"/>
      <c r="K82" s="5" t="s">
        <v>428</v>
      </c>
      <c r="L82" s="28" t="s">
        <v>264</v>
      </c>
      <c r="M82" s="11"/>
      <c r="P82" s="33" t="s">
        <v>429</v>
      </c>
      <c r="Q82" s="33"/>
      <c r="R82" s="96" t="s">
        <v>401</v>
      </c>
      <c r="T82" s="97">
        <v>45566</v>
      </c>
      <c r="U82" s="33">
        <f t="shared" ca="1" si="10"/>
        <v>0</v>
      </c>
      <c r="V82" s="33">
        <v>4</v>
      </c>
      <c r="W82" s="33">
        <f ca="1">COUNTIF(U50:U102, "4")</f>
        <v>3</v>
      </c>
      <c r="X82" s="33">
        <f ca="1">COUNTIF(U50:U102, "3")</f>
        <v>2</v>
      </c>
      <c r="Y82" s="33">
        <f ca="1">COUNTIF(U50:U102, "2")</f>
        <v>10</v>
      </c>
      <c r="Z82" s="33">
        <f ca="1">COUNTIF(U50:U102, "1")</f>
        <v>14</v>
      </c>
      <c r="AA82" s="33">
        <f ca="1">COUNTIF(U50:U102, "0")</f>
        <v>12</v>
      </c>
    </row>
    <row r="83" spans="1:34" ht="18.600000000000001">
      <c r="A83" s="35">
        <f t="shared" si="7"/>
        <v>34</v>
      </c>
      <c r="B83" s="34" t="s">
        <v>430</v>
      </c>
      <c r="C83" s="35" t="s">
        <v>120</v>
      </c>
      <c r="D83" s="36">
        <v>46095.6</v>
      </c>
      <c r="E83" s="27" t="s">
        <v>431</v>
      </c>
      <c r="F83" s="27" t="s">
        <v>432</v>
      </c>
      <c r="G83" s="27" t="s">
        <v>433</v>
      </c>
      <c r="H83" s="19" t="s">
        <v>85</v>
      </c>
      <c r="I83" s="55">
        <v>36799</v>
      </c>
      <c r="J83" s="5"/>
      <c r="K83" s="5" t="s">
        <v>434</v>
      </c>
      <c r="L83" s="28" t="s">
        <v>435</v>
      </c>
      <c r="M83" s="11"/>
      <c r="P83" s="33" t="s">
        <v>436</v>
      </c>
      <c r="Q83" s="33"/>
      <c r="R83" s="96" t="s">
        <v>401</v>
      </c>
      <c r="T83" s="97">
        <v>45566</v>
      </c>
      <c r="U83" s="33">
        <f t="shared" ca="1" si="10"/>
        <v>0</v>
      </c>
    </row>
    <row r="84" spans="1:34" ht="18.600000000000001">
      <c r="A84" s="35">
        <f t="shared" si="7"/>
        <v>35</v>
      </c>
      <c r="B84" s="34" t="s">
        <v>437</v>
      </c>
      <c r="C84" s="35" t="s">
        <v>221</v>
      </c>
      <c r="D84" s="52">
        <v>19450.8</v>
      </c>
      <c r="E84" s="6" t="s">
        <v>438</v>
      </c>
      <c r="F84" s="6" t="s">
        <v>439</v>
      </c>
      <c r="G84" s="27" t="s">
        <v>440</v>
      </c>
      <c r="H84" s="19" t="s">
        <v>85</v>
      </c>
      <c r="I84" s="55">
        <v>26490</v>
      </c>
      <c r="J84" s="5"/>
      <c r="K84" s="5" t="s">
        <v>441</v>
      </c>
      <c r="L84" s="28" t="s">
        <v>284</v>
      </c>
      <c r="M84" s="11"/>
      <c r="N84" s="32"/>
      <c r="O84" s="32"/>
      <c r="P84" s="32" t="str">
        <f t="shared" ref="P84:P92" si="12">CONCATENATE(E84,",", " ",F84," ", LEFT(G84,1),".",)</f>
        <v>LIM, NARDO A.</v>
      </c>
      <c r="Q84" s="32"/>
      <c r="R84" s="106"/>
      <c r="T84" s="97">
        <v>45566</v>
      </c>
      <c r="U84" s="33">
        <f t="shared" ca="1" si="10"/>
        <v>0</v>
      </c>
    </row>
    <row r="85" spans="1:34" ht="16.5" customHeight="1">
      <c r="A85" s="35">
        <f t="shared" si="7"/>
        <v>36</v>
      </c>
      <c r="B85" s="34" t="s">
        <v>442</v>
      </c>
      <c r="C85" s="54" t="s">
        <v>403</v>
      </c>
      <c r="D85" s="124">
        <v>29257.200000000001</v>
      </c>
      <c r="E85" s="125" t="s">
        <v>63</v>
      </c>
      <c r="F85" s="125" t="s">
        <v>443</v>
      </c>
      <c r="G85" s="125" t="s">
        <v>444</v>
      </c>
      <c r="H85" s="19" t="s">
        <v>64</v>
      </c>
      <c r="I85" s="126">
        <v>37241</v>
      </c>
      <c r="J85" s="127">
        <v>9162926764</v>
      </c>
      <c r="K85" s="27" t="s">
        <v>445</v>
      </c>
      <c r="L85" s="28" t="s">
        <v>307</v>
      </c>
      <c r="P85" s="32" t="str">
        <f t="shared" si="12"/>
        <v>TUMALIUAN, LEONOR J.</v>
      </c>
      <c r="R85" s="33" t="s">
        <v>446</v>
      </c>
      <c r="T85" s="97">
        <v>45628</v>
      </c>
      <c r="U85" s="33">
        <f t="shared" ca="1" si="10"/>
        <v>0</v>
      </c>
    </row>
    <row r="86" spans="1:34" ht="18.600000000000001">
      <c r="A86" s="35">
        <f t="shared" si="7"/>
        <v>37</v>
      </c>
      <c r="B86" s="34" t="s">
        <v>362</v>
      </c>
      <c r="C86" s="35" t="s">
        <v>268</v>
      </c>
      <c r="D86" s="36">
        <v>34214</v>
      </c>
      <c r="E86" s="125" t="s">
        <v>447</v>
      </c>
      <c r="F86" s="125" t="s">
        <v>448</v>
      </c>
      <c r="G86" s="125" t="s">
        <v>449</v>
      </c>
      <c r="H86" s="19" t="s">
        <v>85</v>
      </c>
      <c r="I86" s="126">
        <v>37083</v>
      </c>
      <c r="J86" s="128"/>
      <c r="K86" s="27" t="s">
        <v>450</v>
      </c>
      <c r="L86" s="28" t="s">
        <v>264</v>
      </c>
      <c r="P86" s="32" t="str">
        <f t="shared" si="12"/>
        <v>LAGGUI, ARJAY NINO A.</v>
      </c>
      <c r="R86" s="96" t="s">
        <v>401</v>
      </c>
      <c r="T86" s="97">
        <v>45628</v>
      </c>
      <c r="U86" s="33">
        <f t="shared" ca="1" si="10"/>
        <v>0</v>
      </c>
    </row>
    <row r="87" spans="1:34" ht="18.600000000000001">
      <c r="A87" s="35">
        <f t="shared" si="7"/>
        <v>38</v>
      </c>
      <c r="B87" s="34" t="s">
        <v>347</v>
      </c>
      <c r="C87" s="19" t="s">
        <v>120</v>
      </c>
      <c r="D87" s="36">
        <v>46095.6</v>
      </c>
      <c r="E87" s="129" t="s">
        <v>451</v>
      </c>
      <c r="F87" s="129" t="s">
        <v>452</v>
      </c>
      <c r="G87" s="129" t="s">
        <v>453</v>
      </c>
      <c r="H87" s="19" t="s">
        <v>85</v>
      </c>
      <c r="I87" s="126">
        <v>37528</v>
      </c>
      <c r="J87" s="2"/>
      <c r="K87" s="27" t="s">
        <v>454</v>
      </c>
      <c r="L87" s="28" t="s">
        <v>455</v>
      </c>
      <c r="P87" s="32" t="str">
        <f t="shared" si="12"/>
        <v>ALILAM, LEO JAY L.</v>
      </c>
      <c r="R87" s="96" t="s">
        <v>401</v>
      </c>
      <c r="T87" s="97">
        <v>45691</v>
      </c>
      <c r="U87" s="33">
        <v>0</v>
      </c>
    </row>
    <row r="88" spans="1:34" ht="18.600000000000001">
      <c r="A88" s="35">
        <f t="shared" si="7"/>
        <v>39</v>
      </c>
      <c r="B88" s="34" t="s">
        <v>295</v>
      </c>
      <c r="C88" s="35" t="s">
        <v>120</v>
      </c>
      <c r="D88" s="36">
        <v>46095.6</v>
      </c>
      <c r="E88" s="129" t="s">
        <v>456</v>
      </c>
      <c r="F88" s="129" t="s">
        <v>457</v>
      </c>
      <c r="G88" s="129" t="s">
        <v>458</v>
      </c>
      <c r="H88" s="19" t="s">
        <v>85</v>
      </c>
      <c r="I88" s="126">
        <v>37206</v>
      </c>
      <c r="J88" s="2"/>
      <c r="K88" s="27" t="s">
        <v>459</v>
      </c>
      <c r="L88" s="19" t="s">
        <v>455</v>
      </c>
      <c r="P88" s="32" t="str">
        <f t="shared" si="12"/>
        <v>CAPILI, CHRISTOPHER ELEESON L.</v>
      </c>
      <c r="R88" s="105" t="s">
        <v>460</v>
      </c>
      <c r="T88" s="97">
        <v>45692</v>
      </c>
      <c r="U88" s="33">
        <v>0</v>
      </c>
    </row>
    <row r="89" spans="1:34" ht="18.600000000000001">
      <c r="A89" s="35">
        <f t="shared" si="7"/>
        <v>40</v>
      </c>
      <c r="B89" s="62" t="s">
        <v>461</v>
      </c>
      <c r="C89" s="54" t="s">
        <v>140</v>
      </c>
      <c r="D89" s="77">
        <v>36846</v>
      </c>
      <c r="E89" s="129" t="s">
        <v>462</v>
      </c>
      <c r="F89" s="129" t="s">
        <v>463</v>
      </c>
      <c r="G89" s="129" t="s">
        <v>464</v>
      </c>
      <c r="H89" s="19" t="s">
        <v>85</v>
      </c>
      <c r="I89" s="126">
        <v>36465</v>
      </c>
      <c r="J89" s="2"/>
      <c r="K89" s="27" t="s">
        <v>465</v>
      </c>
      <c r="L89" s="28" t="s">
        <v>320</v>
      </c>
      <c r="P89" s="32" t="str">
        <f t="shared" si="12"/>
        <v>MENDOZA, CZYIONE DAYL A.</v>
      </c>
      <c r="R89" s="105" t="s">
        <v>460</v>
      </c>
      <c r="T89" s="97">
        <v>45693</v>
      </c>
      <c r="U89" s="33">
        <v>0</v>
      </c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</row>
    <row r="90" spans="1:34" ht="19.5" customHeight="1">
      <c r="A90" s="35">
        <f t="shared" si="7"/>
        <v>41</v>
      </c>
      <c r="B90" s="34" t="s">
        <v>466</v>
      </c>
      <c r="C90" s="35" t="s">
        <v>414</v>
      </c>
      <c r="D90" s="52">
        <v>24640.799999999999</v>
      </c>
      <c r="E90" s="6" t="s">
        <v>203</v>
      </c>
      <c r="F90" s="6" t="s">
        <v>467</v>
      </c>
      <c r="G90" s="6" t="s">
        <v>468</v>
      </c>
      <c r="H90" s="79" t="s">
        <v>64</v>
      </c>
      <c r="I90" s="130">
        <v>34103</v>
      </c>
      <c r="J90" s="6"/>
      <c r="K90" s="6" t="s">
        <v>469</v>
      </c>
      <c r="L90" s="79" t="s">
        <v>455</v>
      </c>
      <c r="M90" s="53"/>
      <c r="N90" s="53"/>
      <c r="O90" s="53"/>
      <c r="P90" s="32" t="str">
        <f t="shared" si="12"/>
        <v>MAGGAY, MAYLANIE O.</v>
      </c>
      <c r="Q90" s="53"/>
      <c r="R90" s="33" t="s">
        <v>470</v>
      </c>
      <c r="S90" s="53"/>
      <c r="T90" s="131">
        <v>45659</v>
      </c>
      <c r="U90" s="33">
        <v>0</v>
      </c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</row>
    <row r="91" spans="1:34" ht="18.600000000000001">
      <c r="A91" s="35">
        <f t="shared" si="7"/>
        <v>42</v>
      </c>
      <c r="B91" s="62" t="s">
        <v>347</v>
      </c>
      <c r="C91" s="79" t="s">
        <v>120</v>
      </c>
      <c r="D91" s="124">
        <v>46095.6</v>
      </c>
      <c r="E91" s="6" t="s">
        <v>471</v>
      </c>
      <c r="F91" s="6" t="s">
        <v>472</v>
      </c>
      <c r="G91" s="6" t="s">
        <v>473</v>
      </c>
      <c r="H91" s="79" t="s">
        <v>85</v>
      </c>
      <c r="I91" s="130">
        <v>37074</v>
      </c>
      <c r="J91" s="6"/>
      <c r="K91" s="6" t="s">
        <v>474</v>
      </c>
      <c r="L91" s="79" t="s">
        <v>455</v>
      </c>
      <c r="P91" s="32" t="str">
        <f t="shared" si="12"/>
        <v>SUYU, KYLE RUZZEL C.</v>
      </c>
      <c r="R91" s="96" t="s">
        <v>401</v>
      </c>
      <c r="T91" s="97">
        <v>45705</v>
      </c>
      <c r="U91" s="33">
        <v>0</v>
      </c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</row>
    <row r="92" spans="1:34" ht="18.600000000000001">
      <c r="A92" s="35">
        <f t="shared" si="7"/>
        <v>43</v>
      </c>
      <c r="B92" s="6" t="s">
        <v>475</v>
      </c>
      <c r="C92" s="54" t="s">
        <v>268</v>
      </c>
      <c r="D92" s="124">
        <v>34214</v>
      </c>
      <c r="E92" s="6" t="s">
        <v>476</v>
      </c>
      <c r="F92" s="6" t="s">
        <v>477</v>
      </c>
      <c r="G92" s="6" t="s">
        <v>478</v>
      </c>
      <c r="H92" s="79" t="s">
        <v>85</v>
      </c>
      <c r="I92" s="130">
        <v>35364</v>
      </c>
      <c r="J92" s="6"/>
      <c r="K92" s="6" t="s">
        <v>479</v>
      </c>
      <c r="L92" s="28" t="s">
        <v>320</v>
      </c>
      <c r="P92" s="32" t="str">
        <f t="shared" si="12"/>
        <v>NUVAL, VLADIMIR VIKTOR G.</v>
      </c>
      <c r="R92" s="96" t="s">
        <v>401</v>
      </c>
      <c r="T92" s="97">
        <v>45705</v>
      </c>
      <c r="U92" s="33">
        <v>0</v>
      </c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</row>
    <row r="93" spans="1:34" ht="18.600000000000001">
      <c r="A93" s="35">
        <f t="shared" si="7"/>
        <v>44</v>
      </c>
      <c r="B93" s="34" t="s">
        <v>480</v>
      </c>
      <c r="C93" s="132">
        <v>45383</v>
      </c>
      <c r="D93" s="52">
        <v>19450.8</v>
      </c>
      <c r="E93" s="34" t="s">
        <v>481</v>
      </c>
      <c r="F93" s="34" t="s">
        <v>482</v>
      </c>
      <c r="G93" s="34" t="s">
        <v>483</v>
      </c>
      <c r="H93" s="79" t="s">
        <v>85</v>
      </c>
      <c r="I93" s="2"/>
      <c r="J93" s="2"/>
      <c r="K93" s="27" t="s">
        <v>484</v>
      </c>
      <c r="L93" s="122" t="s">
        <v>307</v>
      </c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</row>
    <row r="94" spans="1:34" ht="18.600000000000001">
      <c r="A94" s="35">
        <f t="shared" si="7"/>
        <v>45</v>
      </c>
      <c r="B94" s="62" t="s">
        <v>362</v>
      </c>
      <c r="C94" s="54" t="s">
        <v>268</v>
      </c>
      <c r="D94" s="124">
        <v>34214</v>
      </c>
      <c r="E94" s="27" t="s">
        <v>485</v>
      </c>
      <c r="F94" s="27" t="s">
        <v>486</v>
      </c>
      <c r="G94" s="27" t="s">
        <v>487</v>
      </c>
      <c r="H94" s="79" t="s">
        <v>64</v>
      </c>
      <c r="I94" s="130">
        <v>37206</v>
      </c>
      <c r="J94" s="27"/>
      <c r="K94" s="27"/>
      <c r="L94" s="19" t="s">
        <v>379</v>
      </c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</row>
    <row r="95" spans="1:34" ht="18.600000000000001">
      <c r="A95" s="35">
        <f t="shared" si="7"/>
        <v>46</v>
      </c>
      <c r="B95" s="62" t="s">
        <v>362</v>
      </c>
      <c r="C95" s="54" t="s">
        <v>268</v>
      </c>
      <c r="D95" s="124">
        <v>34214</v>
      </c>
      <c r="E95" s="27" t="s">
        <v>488</v>
      </c>
      <c r="F95" s="27" t="s">
        <v>489</v>
      </c>
      <c r="G95" s="27" t="s">
        <v>197</v>
      </c>
      <c r="H95" s="79" t="s">
        <v>85</v>
      </c>
      <c r="I95" s="130">
        <v>34685</v>
      </c>
      <c r="J95" s="27"/>
      <c r="K95" s="27"/>
      <c r="L95" s="19" t="s">
        <v>490</v>
      </c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</row>
    <row r="96" spans="1:34" ht="18.600000000000001">
      <c r="A96" s="35">
        <f t="shared" si="7"/>
        <v>47</v>
      </c>
      <c r="B96" s="62" t="s">
        <v>362</v>
      </c>
      <c r="C96" s="54" t="s">
        <v>268</v>
      </c>
      <c r="D96" s="124">
        <v>34214</v>
      </c>
      <c r="E96" s="62" t="s">
        <v>491</v>
      </c>
      <c r="F96" s="62" t="s">
        <v>492</v>
      </c>
      <c r="G96" s="62" t="s">
        <v>493</v>
      </c>
      <c r="H96" s="79" t="s">
        <v>64</v>
      </c>
      <c r="I96" s="133">
        <v>36646</v>
      </c>
      <c r="J96" s="27"/>
      <c r="K96" s="27"/>
      <c r="L96" s="19" t="s">
        <v>299</v>
      </c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</row>
    <row r="97" spans="1:34" ht="18.600000000000001">
      <c r="A97" s="35">
        <f t="shared" si="7"/>
        <v>48</v>
      </c>
      <c r="B97" s="34" t="s">
        <v>466</v>
      </c>
      <c r="C97" s="35" t="s">
        <v>414</v>
      </c>
      <c r="D97" s="52">
        <v>24640.799999999999</v>
      </c>
      <c r="E97" s="62" t="s">
        <v>494</v>
      </c>
      <c r="F97" s="62" t="s">
        <v>495</v>
      </c>
      <c r="G97" s="62" t="s">
        <v>496</v>
      </c>
      <c r="H97" s="79" t="s">
        <v>85</v>
      </c>
      <c r="I97" s="130">
        <v>34217</v>
      </c>
      <c r="J97" s="27"/>
      <c r="K97" s="27"/>
      <c r="L97" s="19" t="s">
        <v>455</v>
      </c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</row>
    <row r="98" spans="1:34" ht="18.600000000000001">
      <c r="A98" s="35">
        <f t="shared" si="7"/>
        <v>49</v>
      </c>
      <c r="B98" s="34" t="s">
        <v>466</v>
      </c>
      <c r="C98" s="35" t="s">
        <v>414</v>
      </c>
      <c r="D98" s="52">
        <v>24640.799999999999</v>
      </c>
      <c r="E98" s="62" t="s">
        <v>204</v>
      </c>
      <c r="F98" s="62" t="s">
        <v>497</v>
      </c>
      <c r="G98" s="62" t="s">
        <v>498</v>
      </c>
      <c r="H98" s="79" t="s">
        <v>85</v>
      </c>
      <c r="I98" s="130" t="s">
        <v>499</v>
      </c>
      <c r="J98" s="27"/>
      <c r="K98" s="27"/>
      <c r="L98" s="19" t="s">
        <v>455</v>
      </c>
    </row>
    <row r="99" spans="1:34" ht="18.600000000000001">
      <c r="A99" s="35">
        <f t="shared" si="7"/>
        <v>50</v>
      </c>
      <c r="B99" s="62" t="s">
        <v>347</v>
      </c>
      <c r="C99" s="79" t="s">
        <v>120</v>
      </c>
      <c r="D99" s="124">
        <v>46095.6</v>
      </c>
      <c r="E99" s="62" t="s">
        <v>500</v>
      </c>
      <c r="F99" s="62" t="s">
        <v>501</v>
      </c>
      <c r="G99" s="62" t="s">
        <v>502</v>
      </c>
      <c r="H99" s="79" t="s">
        <v>85</v>
      </c>
      <c r="I99" s="130">
        <v>28810</v>
      </c>
      <c r="J99" s="27"/>
      <c r="K99" s="27"/>
      <c r="L99" s="19" t="s">
        <v>320</v>
      </c>
    </row>
    <row r="100" spans="1:34" ht="18.600000000000001">
      <c r="A100" s="35">
        <f t="shared" si="7"/>
        <v>51</v>
      </c>
      <c r="B100" s="34" t="s">
        <v>362</v>
      </c>
      <c r="C100" s="35" t="s">
        <v>268</v>
      </c>
      <c r="D100" s="36">
        <v>34214</v>
      </c>
      <c r="E100" s="62" t="s">
        <v>503</v>
      </c>
      <c r="F100" s="62" t="s">
        <v>504</v>
      </c>
      <c r="G100" s="62" t="s">
        <v>505</v>
      </c>
      <c r="H100" s="79" t="s">
        <v>85</v>
      </c>
      <c r="I100" s="130">
        <v>37031</v>
      </c>
      <c r="J100" s="27"/>
      <c r="K100" s="27"/>
      <c r="L100" s="19" t="s">
        <v>264</v>
      </c>
    </row>
    <row r="101" spans="1:34" ht="18.600000000000001">
      <c r="A101" s="35">
        <f t="shared" si="7"/>
        <v>52</v>
      </c>
      <c r="B101" s="34" t="s">
        <v>362</v>
      </c>
      <c r="C101" s="35" t="s">
        <v>268</v>
      </c>
      <c r="D101" s="36">
        <v>34214</v>
      </c>
      <c r="E101" s="62" t="s">
        <v>506</v>
      </c>
      <c r="F101" s="62" t="s">
        <v>507</v>
      </c>
      <c r="G101" s="62" t="s">
        <v>508</v>
      </c>
      <c r="H101" s="79" t="s">
        <v>64</v>
      </c>
      <c r="I101" s="130">
        <v>35985</v>
      </c>
      <c r="J101" s="27"/>
      <c r="K101" s="27"/>
      <c r="L101" s="19" t="s">
        <v>490</v>
      </c>
    </row>
    <row r="102" spans="1:34" ht="18.600000000000001">
      <c r="A102" s="35">
        <f t="shared" si="7"/>
        <v>53</v>
      </c>
      <c r="B102" s="34" t="s">
        <v>430</v>
      </c>
      <c r="C102" s="35" t="s">
        <v>120</v>
      </c>
      <c r="D102" s="36">
        <v>46095.6</v>
      </c>
      <c r="E102" s="62" t="s">
        <v>509</v>
      </c>
      <c r="F102" s="62" t="s">
        <v>510</v>
      </c>
      <c r="G102" s="62" t="s">
        <v>270</v>
      </c>
      <c r="H102" s="79" t="s">
        <v>64</v>
      </c>
      <c r="I102" s="130">
        <v>34246</v>
      </c>
      <c r="J102" s="27"/>
      <c r="K102" s="27"/>
      <c r="L102" s="19" t="s">
        <v>511</v>
      </c>
    </row>
    <row r="103" spans="1:34" ht="14.4">
      <c r="I103" s="88"/>
    </row>
    <row r="104" spans="1:34" ht="14.4">
      <c r="I104" s="88"/>
    </row>
    <row r="105" spans="1:34" ht="14.4">
      <c r="I105" s="88"/>
    </row>
    <row r="106" spans="1:34" ht="18.600000000000001" hidden="1">
      <c r="B106" s="134" t="s">
        <v>512</v>
      </c>
      <c r="C106" s="135"/>
      <c r="D106" s="136"/>
      <c r="E106" s="137"/>
      <c r="F106" s="13"/>
      <c r="G106" s="13"/>
      <c r="H106" s="138"/>
      <c r="I106" s="10"/>
      <c r="J106" s="1"/>
      <c r="K106" s="1"/>
      <c r="L106" s="11"/>
      <c r="M106" s="11"/>
      <c r="R106" s="13"/>
    </row>
    <row r="107" spans="1:34" ht="18.600000000000001" hidden="1">
      <c r="B107" s="134" t="s">
        <v>513</v>
      </c>
      <c r="C107" s="135" t="s">
        <v>98</v>
      </c>
      <c r="D107" s="136">
        <v>51357</v>
      </c>
      <c r="E107" s="137" t="s">
        <v>514</v>
      </c>
      <c r="F107" s="13" t="s">
        <v>515</v>
      </c>
      <c r="G107" s="13" t="s">
        <v>516</v>
      </c>
      <c r="H107" s="138" t="s">
        <v>85</v>
      </c>
      <c r="I107" s="10"/>
      <c r="J107" s="1"/>
      <c r="K107" s="1" t="s">
        <v>36</v>
      </c>
      <c r="L107" s="11" t="s">
        <v>66</v>
      </c>
      <c r="M107" s="11"/>
      <c r="R107" s="13"/>
    </row>
    <row r="108" spans="1:34" ht="14.4">
      <c r="I108" s="88"/>
    </row>
    <row r="109" spans="1:34" ht="14.4">
      <c r="I109" s="88"/>
    </row>
    <row r="110" spans="1:34" ht="14.4">
      <c r="I110" s="88"/>
    </row>
    <row r="111" spans="1:34" ht="14.4">
      <c r="I111" s="88"/>
    </row>
    <row r="112" spans="1:34" ht="18.600000000000001">
      <c r="A112" s="89"/>
      <c r="B112" s="90"/>
      <c r="C112" s="91"/>
      <c r="D112" s="9"/>
      <c r="H112" s="89"/>
      <c r="I112" s="10"/>
      <c r="J112" s="1"/>
      <c r="K112" s="1"/>
      <c r="L112" s="11"/>
      <c r="M112" s="11"/>
    </row>
    <row r="113" spans="1:13" ht="18.600000000000001">
      <c r="A113" s="89"/>
      <c r="B113" s="90"/>
      <c r="C113" s="91"/>
      <c r="D113" s="9"/>
      <c r="H113" s="89"/>
      <c r="I113" s="10"/>
      <c r="J113" s="1"/>
      <c r="K113" s="1"/>
      <c r="L113" s="11"/>
      <c r="M113" s="11"/>
    </row>
    <row r="114" spans="1:13" ht="18.600000000000001">
      <c r="A114" s="89"/>
      <c r="B114" s="90"/>
      <c r="C114" s="91"/>
      <c r="D114" s="9"/>
      <c r="H114" s="89"/>
      <c r="I114" s="10"/>
      <c r="J114" s="1"/>
      <c r="K114" s="1"/>
      <c r="L114" s="11"/>
      <c r="M114" s="11"/>
    </row>
    <row r="115" spans="1:13" ht="18.600000000000001">
      <c r="A115" s="89"/>
      <c r="B115" s="90"/>
      <c r="C115" s="91"/>
      <c r="D115" s="9"/>
      <c r="H115" s="89"/>
      <c r="I115" s="10"/>
      <c r="J115" s="1"/>
      <c r="K115" s="1"/>
      <c r="L115" s="11"/>
      <c r="M115" s="11"/>
    </row>
    <row r="116" spans="1:13" ht="18.600000000000001">
      <c r="A116" s="89"/>
      <c r="B116" s="90"/>
      <c r="C116" s="91"/>
      <c r="D116" s="9"/>
      <c r="H116" s="89"/>
      <c r="I116" s="10"/>
      <c r="J116" s="1"/>
      <c r="K116" s="1"/>
      <c r="L116" s="11"/>
      <c r="M116" s="11"/>
    </row>
    <row r="117" spans="1:13" ht="18.600000000000001">
      <c r="A117" s="89"/>
      <c r="B117" s="90"/>
      <c r="C117" s="91"/>
      <c r="D117" s="9"/>
      <c r="H117" s="89"/>
      <c r="I117" s="10"/>
      <c r="J117" s="1"/>
      <c r="K117" s="1"/>
      <c r="L117" s="11"/>
      <c r="M117" s="11"/>
    </row>
    <row r="118" spans="1:13" ht="18.600000000000001">
      <c r="A118" s="89"/>
      <c r="B118" s="90"/>
      <c r="C118" s="91"/>
      <c r="D118" s="9"/>
      <c r="H118" s="89"/>
      <c r="I118" s="10"/>
      <c r="J118" s="1"/>
      <c r="K118" s="1"/>
      <c r="L118" s="11"/>
      <c r="M118" s="11"/>
    </row>
    <row r="119" spans="1:13" ht="18.600000000000001">
      <c r="A119" s="89"/>
      <c r="B119" s="90"/>
      <c r="C119" s="91"/>
      <c r="D119" s="9"/>
      <c r="H119" s="89"/>
      <c r="I119" s="10"/>
      <c r="J119" s="1"/>
      <c r="K119" s="1"/>
      <c r="L119" s="11"/>
      <c r="M119" s="11"/>
    </row>
    <row r="120" spans="1:13" ht="18.600000000000001">
      <c r="A120" s="89"/>
      <c r="B120" s="90"/>
      <c r="C120" s="91"/>
      <c r="D120" s="9"/>
      <c r="H120" s="89"/>
      <c r="I120" s="10"/>
      <c r="J120" s="1"/>
      <c r="K120" s="1"/>
      <c r="L120" s="11"/>
      <c r="M120" s="11"/>
    </row>
    <row r="121" spans="1:13" ht="18.600000000000001">
      <c r="A121" s="89"/>
      <c r="B121" s="90"/>
      <c r="C121" s="91"/>
      <c r="D121" s="9"/>
      <c r="H121" s="89"/>
      <c r="I121" s="10"/>
      <c r="J121" s="1"/>
      <c r="K121" s="1"/>
      <c r="L121" s="11"/>
      <c r="M121" s="11"/>
    </row>
    <row r="122" spans="1:13" ht="18.600000000000001">
      <c r="A122" s="89"/>
      <c r="B122" s="90"/>
      <c r="C122" s="91"/>
      <c r="D122" s="9"/>
      <c r="H122" s="89"/>
      <c r="I122" s="10"/>
      <c r="J122" s="1"/>
      <c r="K122" s="1"/>
      <c r="L122" s="11"/>
      <c r="M122" s="11"/>
    </row>
    <row r="123" spans="1:13" ht="18.600000000000001">
      <c r="A123" s="89"/>
      <c r="B123" s="90"/>
      <c r="C123" s="91"/>
      <c r="D123" s="9"/>
      <c r="H123" s="89"/>
      <c r="I123" s="10"/>
      <c r="J123" s="1"/>
      <c r="K123" s="1"/>
      <c r="L123" s="11"/>
      <c r="M123" s="11"/>
    </row>
    <row r="124" spans="1:13" ht="18.600000000000001">
      <c r="A124" s="89"/>
      <c r="B124" s="90"/>
      <c r="C124" s="91"/>
      <c r="D124" s="9"/>
      <c r="H124" s="89"/>
      <c r="I124" s="10"/>
      <c r="J124" s="1"/>
      <c r="K124" s="1"/>
      <c r="L124" s="11"/>
      <c r="M124" s="11"/>
    </row>
    <row r="125" spans="1:13" ht="18.600000000000001">
      <c r="A125" s="89"/>
      <c r="B125" s="90"/>
      <c r="C125" s="91"/>
      <c r="D125" s="9"/>
      <c r="H125" s="89"/>
      <c r="I125" s="10"/>
      <c r="J125" s="1"/>
      <c r="K125" s="1"/>
      <c r="L125" s="11"/>
      <c r="M125" s="11"/>
    </row>
    <row r="126" spans="1:13" ht="18.600000000000001">
      <c r="A126" s="89"/>
      <c r="B126" s="90"/>
      <c r="C126" s="91"/>
      <c r="D126" s="9"/>
      <c r="H126" s="89"/>
      <c r="I126" s="10"/>
      <c r="J126" s="1"/>
      <c r="K126" s="1"/>
      <c r="L126" s="11"/>
      <c r="M126" s="11"/>
    </row>
    <row r="127" spans="1:13" ht="18.600000000000001">
      <c r="A127" s="89"/>
      <c r="B127" s="90"/>
      <c r="C127" s="91"/>
      <c r="D127" s="9"/>
      <c r="H127" s="89"/>
      <c r="I127" s="10"/>
      <c r="J127" s="1"/>
      <c r="K127" s="1"/>
      <c r="L127" s="11"/>
      <c r="M127" s="11"/>
    </row>
    <row r="128" spans="1:13" ht="18.600000000000001">
      <c r="A128" s="89"/>
      <c r="B128" s="90"/>
      <c r="C128" s="91"/>
      <c r="D128" s="9"/>
      <c r="H128" s="89"/>
      <c r="I128" s="10"/>
      <c r="J128" s="1"/>
      <c r="K128" s="1"/>
      <c r="L128" s="11"/>
      <c r="M128" s="11"/>
    </row>
    <row r="129" spans="1:13" ht="18.600000000000001">
      <c r="A129" s="89"/>
      <c r="B129" s="90"/>
      <c r="C129" s="91"/>
      <c r="D129" s="9"/>
      <c r="H129" s="89"/>
      <c r="I129" s="10"/>
      <c r="J129" s="1"/>
      <c r="K129" s="1"/>
      <c r="L129" s="11"/>
      <c r="M129" s="11"/>
    </row>
    <row r="130" spans="1:13" ht="18.600000000000001">
      <c r="A130" s="89"/>
      <c r="B130" s="90"/>
      <c r="C130" s="91"/>
      <c r="D130" s="9"/>
      <c r="H130" s="89"/>
      <c r="I130" s="10"/>
      <c r="J130" s="1"/>
      <c r="K130" s="1"/>
      <c r="L130" s="11"/>
      <c r="M130" s="11"/>
    </row>
    <row r="131" spans="1:13" ht="18.600000000000001">
      <c r="A131" s="89"/>
      <c r="B131" s="90"/>
      <c r="C131" s="91"/>
      <c r="D131" s="9"/>
      <c r="H131" s="89"/>
      <c r="I131" s="10"/>
      <c r="J131" s="1"/>
      <c r="K131" s="1"/>
      <c r="L131" s="11"/>
      <c r="M131" s="11"/>
    </row>
    <row r="132" spans="1:13" ht="18.600000000000001">
      <c r="A132" s="89"/>
      <c r="B132" s="90"/>
      <c r="C132" s="91"/>
      <c r="D132" s="9"/>
      <c r="H132" s="89"/>
      <c r="I132" s="10"/>
      <c r="J132" s="1"/>
      <c r="K132" s="1"/>
      <c r="L132" s="11"/>
      <c r="M132" s="11"/>
    </row>
    <row r="133" spans="1:13" ht="18.600000000000001">
      <c r="A133" s="89"/>
      <c r="B133" s="90"/>
      <c r="C133" s="91"/>
      <c r="D133" s="9"/>
      <c r="H133" s="89"/>
      <c r="I133" s="10"/>
      <c r="J133" s="1"/>
      <c r="K133" s="1"/>
      <c r="L133" s="11"/>
      <c r="M133" s="11"/>
    </row>
    <row r="134" spans="1:13" ht="18.600000000000001">
      <c r="A134" s="89"/>
      <c r="B134" s="90"/>
      <c r="C134" s="91"/>
      <c r="D134" s="9"/>
      <c r="H134" s="89"/>
      <c r="I134" s="10"/>
      <c r="J134" s="1"/>
      <c r="K134" s="1"/>
      <c r="L134" s="11"/>
      <c r="M134" s="11"/>
    </row>
    <row r="135" spans="1:13" ht="18.600000000000001">
      <c r="A135" s="89"/>
      <c r="B135" s="90"/>
      <c r="C135" s="91"/>
      <c r="D135" s="9"/>
      <c r="H135" s="89"/>
      <c r="I135" s="10"/>
      <c r="J135" s="1"/>
      <c r="K135" s="1"/>
      <c r="L135" s="11"/>
      <c r="M135" s="11"/>
    </row>
    <row r="136" spans="1:13" ht="18.600000000000001">
      <c r="A136" s="89"/>
      <c r="B136" s="90"/>
      <c r="C136" s="91"/>
      <c r="D136" s="9"/>
      <c r="H136" s="89"/>
      <c r="I136" s="10"/>
      <c r="J136" s="1"/>
      <c r="K136" s="1"/>
      <c r="L136" s="11"/>
      <c r="M136" s="11"/>
    </row>
    <row r="137" spans="1:13" ht="18.600000000000001">
      <c r="A137" s="89"/>
      <c r="B137" s="90"/>
      <c r="C137" s="91"/>
      <c r="D137" s="9"/>
      <c r="H137" s="89"/>
      <c r="I137" s="10"/>
      <c r="J137" s="1"/>
      <c r="K137" s="1"/>
      <c r="L137" s="11"/>
      <c r="M137" s="11"/>
    </row>
    <row r="138" spans="1:13" ht="18.600000000000001">
      <c r="A138" s="89"/>
      <c r="B138" s="90"/>
      <c r="C138" s="91"/>
      <c r="D138" s="9"/>
      <c r="H138" s="89"/>
      <c r="I138" s="10"/>
      <c r="J138" s="1"/>
      <c r="K138" s="1"/>
      <c r="L138" s="11"/>
      <c r="M138" s="11"/>
    </row>
    <row r="139" spans="1:13" ht="18.600000000000001">
      <c r="A139" s="89"/>
      <c r="B139" s="90"/>
      <c r="C139" s="91"/>
      <c r="D139" s="9"/>
      <c r="H139" s="89"/>
      <c r="I139" s="10"/>
      <c r="J139" s="1"/>
      <c r="K139" s="1"/>
      <c r="L139" s="11"/>
      <c r="M139" s="11"/>
    </row>
    <row r="140" spans="1:13" ht="18.600000000000001">
      <c r="A140" s="89"/>
      <c r="B140" s="90"/>
      <c r="C140" s="91"/>
      <c r="D140" s="9"/>
      <c r="H140" s="89"/>
      <c r="I140" s="10"/>
      <c r="J140" s="1"/>
      <c r="K140" s="1"/>
      <c r="L140" s="11"/>
      <c r="M140" s="11"/>
    </row>
    <row r="141" spans="1:13" ht="18.600000000000001">
      <c r="A141" s="89"/>
      <c r="B141" s="90"/>
      <c r="C141" s="91"/>
      <c r="D141" s="9"/>
      <c r="H141" s="89"/>
      <c r="I141" s="10"/>
      <c r="J141" s="1"/>
      <c r="K141" s="1"/>
      <c r="L141" s="11"/>
      <c r="M141" s="11"/>
    </row>
    <row r="142" spans="1:13" ht="18.600000000000001">
      <c r="A142" s="89"/>
      <c r="B142" s="90"/>
      <c r="C142" s="91"/>
      <c r="D142" s="9"/>
      <c r="H142" s="89"/>
      <c r="I142" s="10"/>
      <c r="J142" s="1"/>
      <c r="K142" s="1"/>
      <c r="L142" s="11"/>
      <c r="M142" s="11"/>
    </row>
    <row r="143" spans="1:13" ht="18.600000000000001">
      <c r="A143" s="89"/>
      <c r="B143" s="90"/>
      <c r="C143" s="91"/>
      <c r="D143" s="9"/>
      <c r="H143" s="89"/>
      <c r="I143" s="10"/>
      <c r="J143" s="1"/>
      <c r="K143" s="1"/>
      <c r="L143" s="11"/>
      <c r="M143" s="11"/>
    </row>
    <row r="144" spans="1:13" ht="18.600000000000001">
      <c r="A144" s="89"/>
      <c r="B144" s="90"/>
      <c r="C144" s="91"/>
      <c r="D144" s="9"/>
      <c r="H144" s="89"/>
      <c r="I144" s="10"/>
      <c r="J144" s="1"/>
      <c r="K144" s="1"/>
      <c r="L144" s="11"/>
      <c r="M144" s="11"/>
    </row>
    <row r="145" spans="1:13" ht="18.600000000000001">
      <c r="A145" s="89"/>
      <c r="B145" s="90"/>
      <c r="C145" s="91"/>
      <c r="D145" s="9"/>
      <c r="H145" s="89"/>
      <c r="I145" s="10"/>
      <c r="J145" s="1"/>
      <c r="K145" s="1"/>
      <c r="L145" s="11"/>
      <c r="M145" s="11"/>
    </row>
    <row r="146" spans="1:13" ht="18.600000000000001">
      <c r="A146" s="89"/>
      <c r="B146" s="90"/>
      <c r="C146" s="91"/>
      <c r="D146" s="9"/>
      <c r="H146" s="89"/>
      <c r="I146" s="10"/>
      <c r="J146" s="1"/>
      <c r="K146" s="1"/>
      <c r="L146" s="11"/>
      <c r="M146" s="11"/>
    </row>
    <row r="147" spans="1:13" ht="18.600000000000001">
      <c r="A147" s="89"/>
      <c r="B147" s="90"/>
      <c r="C147" s="91"/>
      <c r="D147" s="9"/>
      <c r="H147" s="89"/>
      <c r="I147" s="10"/>
      <c r="J147" s="1"/>
      <c r="K147" s="1"/>
      <c r="L147" s="11"/>
      <c r="M147" s="11"/>
    </row>
    <row r="148" spans="1:13" ht="18.600000000000001">
      <c r="A148" s="89"/>
      <c r="B148" s="90"/>
      <c r="C148" s="91"/>
      <c r="D148" s="9"/>
      <c r="H148" s="89"/>
      <c r="I148" s="10"/>
      <c r="J148" s="1"/>
      <c r="K148" s="1"/>
      <c r="L148" s="11"/>
      <c r="M148" s="11"/>
    </row>
    <row r="149" spans="1:13" ht="18.600000000000001">
      <c r="A149" s="89"/>
      <c r="B149" s="90"/>
      <c r="C149" s="91"/>
      <c r="D149" s="9"/>
      <c r="H149" s="89"/>
      <c r="I149" s="10"/>
      <c r="J149" s="1"/>
      <c r="K149" s="1"/>
      <c r="L149" s="11"/>
      <c r="M149" s="11"/>
    </row>
    <row r="150" spans="1:13" ht="18.600000000000001">
      <c r="A150" s="89"/>
      <c r="B150" s="90"/>
      <c r="C150" s="91"/>
      <c r="D150" s="9"/>
      <c r="H150" s="89"/>
      <c r="I150" s="10"/>
      <c r="J150" s="1"/>
      <c r="K150" s="1"/>
      <c r="L150" s="11"/>
      <c r="M150" s="11"/>
    </row>
    <row r="151" spans="1:13" ht="18.600000000000001">
      <c r="A151" s="89"/>
      <c r="B151" s="90"/>
      <c r="C151" s="91"/>
      <c r="D151" s="9"/>
      <c r="H151" s="89"/>
      <c r="I151" s="10"/>
      <c r="J151" s="1"/>
      <c r="K151" s="1"/>
      <c r="L151" s="11"/>
      <c r="M151" s="11"/>
    </row>
    <row r="152" spans="1:13" ht="18.600000000000001">
      <c r="A152" s="89"/>
      <c r="B152" s="90"/>
      <c r="C152" s="91"/>
      <c r="D152" s="9"/>
      <c r="H152" s="89"/>
      <c r="I152" s="10"/>
      <c r="J152" s="1"/>
      <c r="K152" s="1"/>
      <c r="L152" s="11"/>
      <c r="M152" s="11"/>
    </row>
    <row r="153" spans="1:13" ht="18.600000000000001">
      <c r="A153" s="89"/>
      <c r="B153" s="90"/>
      <c r="C153" s="91"/>
      <c r="D153" s="9"/>
      <c r="H153" s="89"/>
      <c r="I153" s="10"/>
      <c r="J153" s="1"/>
      <c r="K153" s="1"/>
      <c r="L153" s="11"/>
      <c r="M153" s="11"/>
    </row>
    <row r="154" spans="1:13" ht="18.600000000000001">
      <c r="A154" s="89"/>
      <c r="B154" s="90"/>
      <c r="C154" s="91"/>
      <c r="D154" s="9"/>
      <c r="H154" s="89"/>
      <c r="I154" s="10"/>
      <c r="J154" s="1"/>
      <c r="K154" s="1"/>
      <c r="L154" s="11"/>
      <c r="M154" s="11"/>
    </row>
    <row r="155" spans="1:13" ht="18.600000000000001">
      <c r="A155" s="89"/>
      <c r="B155" s="90"/>
      <c r="C155" s="91"/>
      <c r="D155" s="9"/>
      <c r="H155" s="89"/>
      <c r="I155" s="10"/>
      <c r="J155" s="1"/>
      <c r="K155" s="1"/>
      <c r="L155" s="11"/>
      <c r="M155" s="11"/>
    </row>
    <row r="156" spans="1:13" ht="18.600000000000001">
      <c r="A156" s="89"/>
      <c r="B156" s="90"/>
      <c r="C156" s="91"/>
      <c r="D156" s="9"/>
      <c r="H156" s="89"/>
      <c r="I156" s="10"/>
      <c r="J156" s="1"/>
      <c r="K156" s="1"/>
      <c r="L156" s="11"/>
      <c r="M156" s="11"/>
    </row>
    <row r="157" spans="1:13" ht="18.600000000000001">
      <c r="A157" s="89"/>
      <c r="B157" s="90"/>
      <c r="C157" s="91"/>
      <c r="D157" s="9"/>
      <c r="H157" s="89"/>
      <c r="I157" s="10"/>
      <c r="J157" s="1"/>
      <c r="K157" s="1"/>
      <c r="L157" s="11"/>
      <c r="M157" s="11"/>
    </row>
    <row r="158" spans="1:13" ht="18.600000000000001">
      <c r="A158" s="89"/>
      <c r="B158" s="90"/>
      <c r="C158" s="91"/>
      <c r="D158" s="9"/>
      <c r="H158" s="89"/>
      <c r="I158" s="10"/>
      <c r="J158" s="1"/>
      <c r="K158" s="1"/>
      <c r="L158" s="11"/>
      <c r="M158" s="11"/>
    </row>
    <row r="159" spans="1:13" ht="18.600000000000001">
      <c r="A159" s="89"/>
      <c r="B159" s="90"/>
      <c r="C159" s="91"/>
      <c r="D159" s="9"/>
      <c r="H159" s="89"/>
      <c r="I159" s="10"/>
      <c r="J159" s="1"/>
      <c r="K159" s="1"/>
      <c r="L159" s="11"/>
      <c r="M159" s="11"/>
    </row>
    <row r="160" spans="1:13" ht="18.600000000000001">
      <c r="A160" s="89"/>
      <c r="B160" s="90"/>
      <c r="C160" s="91"/>
      <c r="D160" s="9"/>
      <c r="H160" s="89"/>
      <c r="I160" s="10"/>
      <c r="J160" s="1"/>
      <c r="K160" s="1"/>
      <c r="L160" s="11"/>
      <c r="M160" s="11"/>
    </row>
    <row r="161" spans="1:13" ht="18.600000000000001">
      <c r="A161" s="89"/>
      <c r="B161" s="90"/>
      <c r="C161" s="91"/>
      <c r="D161" s="9"/>
      <c r="H161" s="89"/>
      <c r="I161" s="10"/>
      <c r="J161" s="1"/>
      <c r="K161" s="1"/>
      <c r="L161" s="11"/>
      <c r="M161" s="11"/>
    </row>
    <row r="162" spans="1:13" ht="18.600000000000001">
      <c r="A162" s="89"/>
      <c r="B162" s="90"/>
      <c r="C162" s="91"/>
      <c r="D162" s="9"/>
      <c r="H162" s="89"/>
      <c r="I162" s="10"/>
      <c r="J162" s="1"/>
      <c r="K162" s="1"/>
      <c r="L162" s="11"/>
      <c r="M162" s="11"/>
    </row>
    <row r="163" spans="1:13" ht="18.600000000000001">
      <c r="A163" s="89"/>
      <c r="B163" s="90"/>
      <c r="C163" s="91"/>
      <c r="D163" s="9"/>
      <c r="H163" s="89"/>
      <c r="I163" s="10"/>
      <c r="J163" s="1"/>
      <c r="K163" s="1"/>
      <c r="L163" s="11"/>
      <c r="M163" s="11"/>
    </row>
    <row r="164" spans="1:13" ht="18.600000000000001">
      <c r="A164" s="89"/>
      <c r="B164" s="90"/>
      <c r="C164" s="91"/>
      <c r="D164" s="9"/>
      <c r="H164" s="89"/>
      <c r="I164" s="10"/>
      <c r="J164" s="1"/>
      <c r="K164" s="1"/>
      <c r="L164" s="11"/>
      <c r="M164" s="11"/>
    </row>
    <row r="165" spans="1:13" ht="18.600000000000001">
      <c r="A165" s="89"/>
      <c r="B165" s="90"/>
      <c r="C165" s="91"/>
      <c r="D165" s="9"/>
      <c r="H165" s="89"/>
      <c r="I165" s="10"/>
      <c r="J165" s="1"/>
      <c r="K165" s="1"/>
      <c r="L165" s="11"/>
      <c r="M165" s="11"/>
    </row>
    <row r="166" spans="1:13" ht="18.600000000000001">
      <c r="A166" s="89"/>
      <c r="B166" s="90"/>
      <c r="C166" s="91"/>
      <c r="D166" s="9"/>
      <c r="H166" s="89"/>
      <c r="I166" s="10"/>
      <c r="J166" s="1"/>
      <c r="K166" s="1"/>
      <c r="L166" s="11"/>
      <c r="M166" s="11"/>
    </row>
    <row r="167" spans="1:13" ht="18.600000000000001">
      <c r="A167" s="89"/>
      <c r="B167" s="90"/>
      <c r="C167" s="91"/>
      <c r="D167" s="9"/>
      <c r="H167" s="89"/>
      <c r="I167" s="10"/>
      <c r="J167" s="1"/>
      <c r="K167" s="1"/>
      <c r="L167" s="11"/>
      <c r="M167" s="11"/>
    </row>
    <row r="168" spans="1:13" ht="18.600000000000001">
      <c r="A168" s="89"/>
      <c r="B168" s="90"/>
      <c r="C168" s="91"/>
      <c r="D168" s="9"/>
      <c r="H168" s="89"/>
      <c r="I168" s="10"/>
      <c r="J168" s="1"/>
      <c r="K168" s="1"/>
      <c r="L168" s="11"/>
      <c r="M168" s="11"/>
    </row>
    <row r="169" spans="1:13" ht="18.600000000000001">
      <c r="A169" s="89"/>
      <c r="B169" s="90"/>
      <c r="C169" s="91"/>
      <c r="D169" s="9"/>
      <c r="H169" s="89"/>
      <c r="I169" s="10"/>
      <c r="J169" s="1"/>
      <c r="K169" s="1"/>
      <c r="L169" s="11"/>
      <c r="M169" s="11"/>
    </row>
    <row r="170" spans="1:13" ht="18.600000000000001">
      <c r="A170" s="89"/>
      <c r="B170" s="90"/>
      <c r="C170" s="91"/>
      <c r="D170" s="9"/>
      <c r="H170" s="89"/>
      <c r="I170" s="10"/>
      <c r="J170" s="1"/>
      <c r="K170" s="1"/>
      <c r="L170" s="11"/>
      <c r="M170" s="11"/>
    </row>
    <row r="171" spans="1:13" ht="18.600000000000001">
      <c r="A171" s="89"/>
      <c r="B171" s="90"/>
      <c r="C171" s="91"/>
      <c r="D171" s="9"/>
      <c r="H171" s="89"/>
      <c r="I171" s="10"/>
      <c r="J171" s="1"/>
      <c r="K171" s="1"/>
      <c r="L171" s="11"/>
      <c r="M171" s="11"/>
    </row>
    <row r="172" spans="1:13" ht="18.600000000000001">
      <c r="A172" s="89"/>
      <c r="B172" s="90"/>
      <c r="C172" s="91"/>
      <c r="D172" s="9"/>
      <c r="H172" s="89"/>
      <c r="I172" s="10"/>
      <c r="J172" s="1"/>
      <c r="K172" s="1"/>
      <c r="L172" s="11"/>
      <c r="M172" s="11"/>
    </row>
    <row r="173" spans="1:13" ht="18.600000000000001">
      <c r="A173" s="89"/>
      <c r="B173" s="90"/>
      <c r="C173" s="91"/>
      <c r="D173" s="9"/>
      <c r="H173" s="89"/>
      <c r="I173" s="10"/>
      <c r="J173" s="1"/>
      <c r="K173" s="1"/>
      <c r="L173" s="11"/>
      <c r="M173" s="11"/>
    </row>
    <row r="174" spans="1:13" ht="18.600000000000001">
      <c r="A174" s="89"/>
      <c r="B174" s="90"/>
      <c r="C174" s="91"/>
      <c r="D174" s="9"/>
      <c r="H174" s="89"/>
      <c r="I174" s="10"/>
      <c r="J174" s="1"/>
      <c r="K174" s="1"/>
      <c r="L174" s="11"/>
      <c r="M174" s="11"/>
    </row>
    <row r="175" spans="1:13" ht="18.600000000000001">
      <c r="A175" s="89"/>
      <c r="B175" s="90"/>
      <c r="C175" s="91"/>
      <c r="D175" s="9"/>
      <c r="H175" s="89"/>
      <c r="I175" s="10"/>
      <c r="J175" s="1"/>
      <c r="K175" s="1"/>
      <c r="L175" s="11"/>
      <c r="M175" s="11"/>
    </row>
    <row r="176" spans="1:13" ht="18.600000000000001">
      <c r="A176" s="89"/>
      <c r="B176" s="90"/>
      <c r="C176" s="91"/>
      <c r="D176" s="9"/>
      <c r="H176" s="89"/>
      <c r="I176" s="10"/>
      <c r="J176" s="1"/>
      <c r="K176" s="1"/>
      <c r="L176" s="11"/>
      <c r="M176" s="11"/>
    </row>
    <row r="177" spans="1:13" ht="18.600000000000001">
      <c r="A177" s="89"/>
      <c r="B177" s="90"/>
      <c r="C177" s="91"/>
      <c r="D177" s="9"/>
      <c r="H177" s="89"/>
      <c r="I177" s="10"/>
      <c r="J177" s="1"/>
      <c r="K177" s="1"/>
      <c r="L177" s="11"/>
      <c r="M177" s="11"/>
    </row>
    <row r="178" spans="1:13" ht="18.600000000000001">
      <c r="A178" s="89"/>
      <c r="B178" s="90"/>
      <c r="C178" s="91"/>
      <c r="D178" s="9"/>
      <c r="H178" s="89"/>
      <c r="I178" s="10"/>
      <c r="J178" s="1"/>
      <c r="K178" s="1"/>
      <c r="L178" s="11"/>
      <c r="M178" s="11"/>
    </row>
    <row r="179" spans="1:13" ht="18.600000000000001">
      <c r="A179" s="89"/>
      <c r="B179" s="90"/>
      <c r="C179" s="91"/>
      <c r="D179" s="9"/>
      <c r="H179" s="89"/>
      <c r="I179" s="10"/>
      <c r="J179" s="1"/>
      <c r="K179" s="1"/>
      <c r="L179" s="11"/>
      <c r="M179" s="11"/>
    </row>
    <row r="180" spans="1:13" ht="18.600000000000001">
      <c r="A180" s="89"/>
      <c r="B180" s="90"/>
      <c r="C180" s="91"/>
      <c r="D180" s="9"/>
      <c r="H180" s="89"/>
      <c r="I180" s="10"/>
      <c r="J180" s="1"/>
      <c r="K180" s="1"/>
      <c r="L180" s="11"/>
      <c r="M180" s="11"/>
    </row>
    <row r="181" spans="1:13" ht="18.600000000000001">
      <c r="A181" s="89"/>
      <c r="B181" s="90"/>
      <c r="C181" s="91"/>
      <c r="D181" s="9"/>
      <c r="H181" s="89"/>
      <c r="I181" s="10"/>
      <c r="J181" s="1"/>
      <c r="K181" s="1"/>
      <c r="L181" s="11"/>
      <c r="M181" s="11"/>
    </row>
    <row r="182" spans="1:13" ht="18.600000000000001">
      <c r="A182" s="89"/>
      <c r="B182" s="90"/>
      <c r="C182" s="91"/>
      <c r="D182" s="9"/>
      <c r="H182" s="89"/>
      <c r="I182" s="10"/>
      <c r="J182" s="1"/>
      <c r="K182" s="1"/>
      <c r="L182" s="11"/>
      <c r="M182" s="11"/>
    </row>
    <row r="183" spans="1:13" ht="18.600000000000001">
      <c r="A183" s="89"/>
      <c r="B183" s="90"/>
      <c r="C183" s="91"/>
      <c r="D183" s="9"/>
      <c r="H183" s="89"/>
      <c r="I183" s="10"/>
      <c r="J183" s="1"/>
      <c r="K183" s="1"/>
      <c r="L183" s="11"/>
      <c r="M183" s="11"/>
    </row>
    <row r="184" spans="1:13" ht="18.600000000000001">
      <c r="A184" s="89"/>
      <c r="B184" s="90"/>
      <c r="C184" s="91"/>
      <c r="D184" s="9"/>
      <c r="H184" s="89"/>
      <c r="I184" s="10"/>
      <c r="J184" s="1"/>
      <c r="K184" s="1"/>
      <c r="L184" s="11"/>
      <c r="M184" s="11"/>
    </row>
    <row r="185" spans="1:13" ht="18.600000000000001">
      <c r="A185" s="89"/>
      <c r="B185" s="90"/>
      <c r="C185" s="91"/>
      <c r="D185" s="9"/>
      <c r="H185" s="89"/>
      <c r="I185" s="10"/>
      <c r="J185" s="1"/>
      <c r="K185" s="1"/>
      <c r="L185" s="11"/>
      <c r="M185" s="11"/>
    </row>
    <row r="186" spans="1:13" ht="18.600000000000001">
      <c r="A186" s="89"/>
      <c r="B186" s="90"/>
      <c r="C186" s="91"/>
      <c r="D186" s="9"/>
      <c r="H186" s="89"/>
      <c r="I186" s="10"/>
      <c r="J186" s="1"/>
      <c r="K186" s="1"/>
      <c r="L186" s="11"/>
      <c r="M186" s="11"/>
    </row>
    <row r="187" spans="1:13" ht="18.600000000000001">
      <c r="A187" s="89"/>
      <c r="B187" s="90"/>
      <c r="C187" s="91"/>
      <c r="D187" s="9"/>
      <c r="H187" s="89"/>
      <c r="I187" s="10"/>
      <c r="J187" s="1"/>
      <c r="K187" s="1"/>
      <c r="L187" s="11"/>
      <c r="M187" s="11"/>
    </row>
    <row r="188" spans="1:13" ht="18.600000000000001">
      <c r="A188" s="89"/>
      <c r="B188" s="90"/>
      <c r="C188" s="91"/>
      <c r="D188" s="9"/>
      <c r="H188" s="89"/>
      <c r="I188" s="10"/>
      <c r="J188" s="1"/>
      <c r="K188" s="1"/>
      <c r="L188" s="11"/>
      <c r="M188" s="11"/>
    </row>
    <row r="189" spans="1:13" ht="18.600000000000001">
      <c r="A189" s="89"/>
      <c r="B189" s="90"/>
      <c r="C189" s="91"/>
      <c r="D189" s="9"/>
      <c r="H189" s="89"/>
      <c r="I189" s="10"/>
      <c r="J189" s="1"/>
      <c r="K189" s="1"/>
      <c r="L189" s="11"/>
      <c r="M189" s="11"/>
    </row>
    <row r="190" spans="1:13" ht="18.600000000000001">
      <c r="A190" s="89"/>
      <c r="B190" s="90"/>
      <c r="C190" s="91"/>
      <c r="D190" s="9"/>
      <c r="H190" s="89"/>
      <c r="I190" s="10"/>
      <c r="J190" s="1"/>
      <c r="K190" s="1"/>
      <c r="L190" s="11"/>
      <c r="M190" s="11"/>
    </row>
    <row r="191" spans="1:13" ht="18.600000000000001">
      <c r="A191" s="89"/>
      <c r="B191" s="90"/>
      <c r="C191" s="91"/>
      <c r="D191" s="9"/>
      <c r="H191" s="89"/>
      <c r="I191" s="10"/>
      <c r="J191" s="1"/>
      <c r="K191" s="1"/>
      <c r="L191" s="11"/>
      <c r="M191" s="11"/>
    </row>
    <row r="192" spans="1:13" ht="18.600000000000001">
      <c r="A192" s="89"/>
      <c r="B192" s="90"/>
      <c r="C192" s="91"/>
      <c r="D192" s="9"/>
      <c r="H192" s="89"/>
      <c r="I192" s="10"/>
      <c r="J192" s="1"/>
      <c r="K192" s="1"/>
      <c r="L192" s="11"/>
      <c r="M192" s="11"/>
    </row>
    <row r="193" spans="1:13" ht="18.600000000000001">
      <c r="A193" s="89"/>
      <c r="B193" s="90"/>
      <c r="C193" s="91"/>
      <c r="D193" s="9"/>
      <c r="H193" s="89"/>
      <c r="I193" s="10"/>
      <c r="J193" s="1"/>
      <c r="K193" s="1"/>
      <c r="L193" s="11"/>
      <c r="M193" s="11"/>
    </row>
    <row r="194" spans="1:13" ht="18.600000000000001">
      <c r="A194" s="89"/>
      <c r="B194" s="90"/>
      <c r="C194" s="91"/>
      <c r="D194" s="9"/>
      <c r="H194" s="89"/>
      <c r="I194" s="10"/>
      <c r="J194" s="1"/>
      <c r="K194" s="1"/>
      <c r="L194" s="11"/>
      <c r="M194" s="11"/>
    </row>
    <row r="195" spans="1:13" ht="18.600000000000001">
      <c r="A195" s="89"/>
      <c r="B195" s="90"/>
      <c r="C195" s="91"/>
      <c r="D195" s="9"/>
      <c r="H195" s="89"/>
      <c r="I195" s="10"/>
      <c r="J195" s="1"/>
      <c r="K195" s="1"/>
      <c r="L195" s="11"/>
      <c r="M195" s="11"/>
    </row>
    <row r="196" spans="1:13" ht="18.600000000000001">
      <c r="A196" s="89"/>
      <c r="B196" s="90"/>
      <c r="C196" s="91"/>
      <c r="D196" s="9"/>
      <c r="H196" s="89"/>
      <c r="I196" s="10"/>
      <c r="J196" s="1"/>
      <c r="K196" s="1"/>
      <c r="L196" s="11"/>
      <c r="M196" s="11"/>
    </row>
    <row r="197" spans="1:13" ht="18.600000000000001">
      <c r="A197" s="89"/>
      <c r="B197" s="90"/>
      <c r="C197" s="91"/>
      <c r="D197" s="9"/>
      <c r="H197" s="89"/>
      <c r="I197" s="10"/>
      <c r="J197" s="1"/>
      <c r="K197" s="1"/>
      <c r="L197" s="11"/>
      <c r="M197" s="11"/>
    </row>
    <row r="198" spans="1:13" ht="18.600000000000001">
      <c r="A198" s="89"/>
      <c r="B198" s="90"/>
      <c r="C198" s="91"/>
      <c r="D198" s="9"/>
      <c r="H198" s="89"/>
      <c r="I198" s="10"/>
      <c r="J198" s="1"/>
      <c r="K198" s="1"/>
      <c r="L198" s="11"/>
      <c r="M198" s="11"/>
    </row>
    <row r="199" spans="1:13" ht="18.600000000000001">
      <c r="A199" s="89"/>
      <c r="B199" s="90"/>
      <c r="C199" s="91"/>
      <c r="D199" s="9"/>
      <c r="H199" s="89"/>
      <c r="I199" s="10"/>
      <c r="J199" s="1"/>
      <c r="K199" s="1"/>
      <c r="L199" s="11"/>
      <c r="M199" s="11"/>
    </row>
    <row r="200" spans="1:13" ht="18.600000000000001">
      <c r="A200" s="89"/>
      <c r="B200" s="90"/>
      <c r="C200" s="91"/>
      <c r="D200" s="9"/>
      <c r="H200" s="89"/>
      <c r="I200" s="10"/>
      <c r="J200" s="1"/>
      <c r="K200" s="1"/>
      <c r="L200" s="11"/>
      <c r="M200" s="11"/>
    </row>
    <row r="201" spans="1:13" ht="18.600000000000001">
      <c r="A201" s="89"/>
      <c r="B201" s="90"/>
      <c r="C201" s="91"/>
      <c r="D201" s="9"/>
      <c r="H201" s="89"/>
      <c r="I201" s="10"/>
      <c r="J201" s="1"/>
      <c r="K201" s="1"/>
      <c r="L201" s="11"/>
      <c r="M201" s="11"/>
    </row>
    <row r="202" spans="1:13" ht="18.600000000000001">
      <c r="A202" s="89"/>
      <c r="B202" s="90"/>
      <c r="C202" s="91"/>
      <c r="D202" s="9"/>
      <c r="H202" s="89"/>
      <c r="I202" s="10"/>
      <c r="J202" s="1"/>
      <c r="K202" s="1"/>
      <c r="L202" s="11"/>
      <c r="M202" s="11"/>
    </row>
    <row r="203" spans="1:13" ht="18.600000000000001">
      <c r="A203" s="89"/>
      <c r="B203" s="90"/>
      <c r="C203" s="91"/>
      <c r="D203" s="9"/>
      <c r="H203" s="89"/>
      <c r="I203" s="10"/>
      <c r="J203" s="1"/>
      <c r="K203" s="1"/>
      <c r="L203" s="11"/>
      <c r="M203" s="11"/>
    </row>
    <row r="204" spans="1:13" ht="18.600000000000001">
      <c r="A204" s="89"/>
      <c r="B204" s="90"/>
      <c r="C204" s="91"/>
      <c r="D204" s="9"/>
      <c r="H204" s="89"/>
      <c r="I204" s="10"/>
      <c r="J204" s="1"/>
      <c r="K204" s="1"/>
      <c r="L204" s="11"/>
      <c r="M204" s="11"/>
    </row>
    <row r="205" spans="1:13" ht="18.600000000000001">
      <c r="A205" s="89"/>
      <c r="B205" s="90"/>
      <c r="C205" s="91"/>
      <c r="D205" s="9"/>
      <c r="H205" s="89"/>
      <c r="I205" s="10"/>
      <c r="J205" s="1"/>
      <c r="K205" s="1"/>
      <c r="L205" s="11"/>
      <c r="M205" s="11"/>
    </row>
    <row r="206" spans="1:13" ht="18.600000000000001">
      <c r="A206" s="89"/>
      <c r="B206" s="90"/>
      <c r="C206" s="91"/>
      <c r="D206" s="9"/>
      <c r="H206" s="89"/>
      <c r="I206" s="10"/>
      <c r="J206" s="1"/>
      <c r="K206" s="1"/>
      <c r="L206" s="11"/>
      <c r="M206" s="11"/>
    </row>
    <row r="207" spans="1:13" ht="18.600000000000001">
      <c r="A207" s="89"/>
      <c r="B207" s="90"/>
      <c r="C207" s="91"/>
      <c r="D207" s="9"/>
      <c r="H207" s="89"/>
      <c r="I207" s="10"/>
      <c r="J207" s="1"/>
      <c r="K207" s="1"/>
      <c r="L207" s="11"/>
      <c r="M207" s="11"/>
    </row>
    <row r="208" spans="1:13" ht="18.600000000000001">
      <c r="A208" s="89"/>
      <c r="B208" s="90"/>
      <c r="C208" s="91"/>
      <c r="D208" s="9"/>
      <c r="H208" s="89"/>
      <c r="I208" s="10"/>
      <c r="J208" s="1"/>
      <c r="K208" s="1"/>
      <c r="L208" s="11"/>
      <c r="M208" s="11"/>
    </row>
    <row r="209" spans="1:13" ht="18.600000000000001">
      <c r="A209" s="89"/>
      <c r="B209" s="90"/>
      <c r="C209" s="91"/>
      <c r="D209" s="9"/>
      <c r="H209" s="89"/>
      <c r="I209" s="10"/>
      <c r="J209" s="1"/>
      <c r="K209" s="1"/>
      <c r="L209" s="11"/>
      <c r="M209" s="11"/>
    </row>
    <row r="210" spans="1:13" ht="18.600000000000001">
      <c r="A210" s="89"/>
      <c r="B210" s="90"/>
      <c r="C210" s="91"/>
      <c r="D210" s="9"/>
      <c r="H210" s="89"/>
      <c r="I210" s="10"/>
      <c r="J210" s="1"/>
      <c r="K210" s="1"/>
      <c r="L210" s="11"/>
      <c r="M210" s="11"/>
    </row>
    <row r="211" spans="1:13" ht="18.600000000000001">
      <c r="A211" s="89"/>
      <c r="B211" s="90"/>
      <c r="C211" s="91"/>
      <c r="D211" s="9"/>
      <c r="H211" s="89"/>
      <c r="I211" s="10"/>
      <c r="J211" s="1"/>
      <c r="K211" s="1"/>
      <c r="L211" s="11"/>
      <c r="M211" s="11"/>
    </row>
    <row r="212" spans="1:13" ht="18.600000000000001">
      <c r="A212" s="89"/>
      <c r="B212" s="90"/>
      <c r="C212" s="91"/>
      <c r="D212" s="9"/>
      <c r="H212" s="89"/>
      <c r="I212" s="10"/>
      <c r="J212" s="1"/>
      <c r="K212" s="1"/>
      <c r="L212" s="11"/>
      <c r="M212" s="11"/>
    </row>
    <row r="213" spans="1:13" ht="18.600000000000001">
      <c r="A213" s="89"/>
      <c r="B213" s="90"/>
      <c r="C213" s="91"/>
      <c r="D213" s="9"/>
      <c r="H213" s="89"/>
      <c r="I213" s="10"/>
      <c r="J213" s="1"/>
      <c r="K213" s="1"/>
      <c r="L213" s="11"/>
      <c r="M213" s="11"/>
    </row>
    <row r="214" spans="1:13" ht="18.600000000000001">
      <c r="A214" s="89"/>
      <c r="B214" s="90"/>
      <c r="C214" s="91"/>
      <c r="D214" s="9"/>
      <c r="H214" s="89"/>
      <c r="I214" s="10"/>
      <c r="J214" s="1"/>
      <c r="K214" s="1"/>
      <c r="L214" s="11"/>
      <c r="M214" s="11"/>
    </row>
    <row r="215" spans="1:13" ht="18.600000000000001">
      <c r="A215" s="89"/>
      <c r="B215" s="90"/>
      <c r="C215" s="91"/>
      <c r="D215" s="9"/>
      <c r="H215" s="89"/>
      <c r="I215" s="10"/>
      <c r="J215" s="1"/>
      <c r="K215" s="1"/>
      <c r="L215" s="11"/>
      <c r="M215" s="11"/>
    </row>
    <row r="216" spans="1:13" ht="18.600000000000001">
      <c r="A216" s="89"/>
      <c r="B216" s="90"/>
      <c r="C216" s="91"/>
      <c r="D216" s="9"/>
      <c r="H216" s="89"/>
      <c r="I216" s="10"/>
      <c r="J216" s="1"/>
      <c r="K216" s="1"/>
      <c r="L216" s="11"/>
      <c r="M216" s="11"/>
    </row>
    <row r="217" spans="1:13" ht="18.600000000000001">
      <c r="A217" s="89"/>
      <c r="B217" s="90"/>
      <c r="C217" s="91"/>
      <c r="D217" s="9"/>
      <c r="H217" s="89"/>
      <c r="I217" s="10"/>
      <c r="J217" s="1"/>
      <c r="K217" s="1"/>
      <c r="L217" s="11"/>
      <c r="M217" s="11"/>
    </row>
    <row r="218" spans="1:13" ht="18.600000000000001">
      <c r="A218" s="89"/>
      <c r="B218" s="90"/>
      <c r="C218" s="91"/>
      <c r="D218" s="9"/>
      <c r="H218" s="89"/>
      <c r="I218" s="10"/>
      <c r="J218" s="1"/>
      <c r="K218" s="1"/>
      <c r="L218" s="11"/>
      <c r="M218" s="11"/>
    </row>
    <row r="219" spans="1:13" ht="18.600000000000001">
      <c r="A219" s="89"/>
      <c r="B219" s="90"/>
      <c r="C219" s="91"/>
      <c r="D219" s="9"/>
      <c r="H219" s="89"/>
      <c r="I219" s="10"/>
      <c r="J219" s="1"/>
      <c r="K219" s="1"/>
      <c r="L219" s="11"/>
      <c r="M219" s="11"/>
    </row>
    <row r="220" spans="1:13" ht="18.600000000000001">
      <c r="A220" s="89"/>
      <c r="B220" s="90"/>
      <c r="C220" s="91"/>
      <c r="D220" s="9"/>
      <c r="H220" s="89"/>
      <c r="I220" s="10"/>
      <c r="J220" s="1"/>
      <c r="K220" s="1"/>
      <c r="L220" s="11"/>
      <c r="M220" s="11"/>
    </row>
    <row r="221" spans="1:13" ht="18.600000000000001">
      <c r="A221" s="89"/>
      <c r="B221" s="90"/>
      <c r="C221" s="91"/>
      <c r="D221" s="9"/>
      <c r="H221" s="89"/>
      <c r="I221" s="10"/>
      <c r="J221" s="1"/>
      <c r="K221" s="1"/>
      <c r="L221" s="11"/>
      <c r="M221" s="11"/>
    </row>
    <row r="222" spans="1:13" ht="18.600000000000001">
      <c r="A222" s="89"/>
      <c r="B222" s="90"/>
      <c r="C222" s="91"/>
      <c r="D222" s="9"/>
      <c r="H222" s="89"/>
      <c r="I222" s="10"/>
      <c r="J222" s="1"/>
      <c r="K222" s="1"/>
      <c r="L222" s="11"/>
      <c r="M222" s="11"/>
    </row>
    <row r="223" spans="1:13" ht="18.600000000000001">
      <c r="A223" s="89"/>
      <c r="B223" s="90"/>
      <c r="C223" s="91"/>
      <c r="D223" s="9"/>
      <c r="H223" s="89"/>
      <c r="I223" s="10"/>
      <c r="J223" s="1"/>
      <c r="K223" s="1"/>
      <c r="L223" s="11"/>
      <c r="M223" s="11"/>
    </row>
    <row r="224" spans="1:13" ht="18.600000000000001">
      <c r="A224" s="89"/>
      <c r="B224" s="90"/>
      <c r="C224" s="91"/>
      <c r="D224" s="9"/>
      <c r="H224" s="89"/>
      <c r="I224" s="10"/>
      <c r="J224" s="1"/>
      <c r="K224" s="1"/>
      <c r="L224" s="11"/>
      <c r="M224" s="11"/>
    </row>
    <row r="225" spans="1:13" ht="18.600000000000001">
      <c r="A225" s="89"/>
      <c r="B225" s="90"/>
      <c r="C225" s="91"/>
      <c r="D225" s="9"/>
      <c r="H225" s="89"/>
      <c r="I225" s="10"/>
      <c r="J225" s="1"/>
      <c r="K225" s="1"/>
      <c r="L225" s="11"/>
      <c r="M225" s="11"/>
    </row>
    <row r="226" spans="1:13" ht="18.600000000000001">
      <c r="A226" s="89"/>
      <c r="B226" s="90"/>
      <c r="C226" s="91"/>
      <c r="D226" s="9"/>
      <c r="H226" s="89"/>
      <c r="I226" s="10"/>
      <c r="J226" s="1"/>
      <c r="K226" s="1"/>
      <c r="L226" s="11"/>
      <c r="M226" s="11"/>
    </row>
    <row r="227" spans="1:13" ht="18.600000000000001">
      <c r="A227" s="89"/>
      <c r="B227" s="90"/>
      <c r="C227" s="91"/>
      <c r="D227" s="9"/>
      <c r="H227" s="89"/>
      <c r="I227" s="10"/>
      <c r="J227" s="1"/>
      <c r="K227" s="1"/>
      <c r="L227" s="11"/>
      <c r="M227" s="11"/>
    </row>
    <row r="228" spans="1:13" ht="18.600000000000001">
      <c r="A228" s="89"/>
      <c r="B228" s="90"/>
      <c r="C228" s="91"/>
      <c r="D228" s="9"/>
      <c r="H228" s="89"/>
      <c r="I228" s="10"/>
      <c r="J228" s="1"/>
      <c r="K228" s="1"/>
      <c r="L228" s="11"/>
      <c r="M228" s="11"/>
    </row>
    <row r="229" spans="1:13" ht="18.600000000000001">
      <c r="A229" s="89"/>
      <c r="B229" s="90"/>
      <c r="C229" s="91"/>
      <c r="D229" s="9"/>
      <c r="H229" s="89"/>
      <c r="I229" s="10"/>
      <c r="J229" s="1"/>
      <c r="K229" s="1"/>
      <c r="L229" s="11"/>
      <c r="M229" s="11"/>
    </row>
    <row r="230" spans="1:13" ht="18.600000000000001">
      <c r="A230" s="89"/>
      <c r="B230" s="90"/>
      <c r="C230" s="91"/>
      <c r="D230" s="9"/>
      <c r="H230" s="89"/>
      <c r="I230" s="10"/>
      <c r="J230" s="1"/>
      <c r="K230" s="1"/>
      <c r="L230" s="11"/>
      <c r="M230" s="11"/>
    </row>
    <row r="231" spans="1:13" ht="18.600000000000001">
      <c r="A231" s="89"/>
      <c r="B231" s="90"/>
      <c r="C231" s="91"/>
      <c r="D231" s="9"/>
      <c r="H231" s="89"/>
      <c r="I231" s="10"/>
      <c r="J231" s="1"/>
      <c r="K231" s="1"/>
      <c r="L231" s="11"/>
      <c r="M231" s="11"/>
    </row>
    <row r="232" spans="1:13" ht="18.600000000000001">
      <c r="A232" s="89"/>
      <c r="B232" s="90"/>
      <c r="C232" s="91"/>
      <c r="D232" s="9"/>
      <c r="H232" s="89"/>
      <c r="I232" s="10"/>
      <c r="J232" s="1"/>
      <c r="K232" s="1"/>
      <c r="L232" s="11"/>
      <c r="M232" s="11"/>
    </row>
    <row r="233" spans="1:13" ht="18.600000000000001">
      <c r="A233" s="89"/>
      <c r="B233" s="90"/>
      <c r="C233" s="91"/>
      <c r="D233" s="9"/>
      <c r="H233" s="89"/>
      <c r="I233" s="10"/>
      <c r="J233" s="1"/>
      <c r="K233" s="1"/>
      <c r="L233" s="11"/>
      <c r="M233" s="11"/>
    </row>
    <row r="234" spans="1:13" ht="18.600000000000001">
      <c r="A234" s="89"/>
      <c r="B234" s="90"/>
      <c r="C234" s="91"/>
      <c r="D234" s="9"/>
      <c r="H234" s="89"/>
      <c r="I234" s="10"/>
      <c r="J234" s="1"/>
      <c r="K234" s="1"/>
      <c r="L234" s="11"/>
      <c r="M234" s="11"/>
    </row>
    <row r="235" spans="1:13" ht="18.600000000000001">
      <c r="A235" s="89"/>
      <c r="B235" s="90"/>
      <c r="C235" s="91"/>
      <c r="D235" s="9"/>
      <c r="H235" s="89"/>
      <c r="I235" s="10"/>
      <c r="J235" s="1"/>
      <c r="K235" s="1"/>
      <c r="L235" s="11"/>
      <c r="M235" s="11"/>
    </row>
    <row r="236" spans="1:13" ht="18.600000000000001">
      <c r="A236" s="89"/>
      <c r="B236" s="90"/>
      <c r="C236" s="91"/>
      <c r="D236" s="9"/>
      <c r="H236" s="89"/>
      <c r="I236" s="10"/>
      <c r="J236" s="1"/>
      <c r="K236" s="1"/>
      <c r="L236" s="11"/>
      <c r="M236" s="11"/>
    </row>
    <row r="237" spans="1:13" ht="18.600000000000001">
      <c r="A237" s="89"/>
      <c r="B237" s="90"/>
      <c r="C237" s="91"/>
      <c r="D237" s="9"/>
      <c r="H237" s="89"/>
      <c r="I237" s="10"/>
      <c r="J237" s="1"/>
      <c r="K237" s="1"/>
      <c r="L237" s="11"/>
      <c r="M237" s="11"/>
    </row>
    <row r="238" spans="1:13" ht="18.600000000000001">
      <c r="A238" s="89"/>
      <c r="B238" s="90"/>
      <c r="C238" s="91"/>
      <c r="D238" s="9"/>
      <c r="H238" s="89"/>
      <c r="I238" s="10"/>
      <c r="J238" s="1"/>
      <c r="K238" s="1"/>
      <c r="L238" s="11"/>
      <c r="M238" s="11"/>
    </row>
    <row r="239" spans="1:13" ht="18.600000000000001">
      <c r="A239" s="89"/>
      <c r="B239" s="90"/>
      <c r="C239" s="91"/>
      <c r="D239" s="9"/>
      <c r="H239" s="89"/>
      <c r="I239" s="10"/>
      <c r="J239" s="1"/>
      <c r="K239" s="1"/>
      <c r="L239" s="11"/>
      <c r="M239" s="11"/>
    </row>
    <row r="240" spans="1:13" ht="18.600000000000001">
      <c r="A240" s="89"/>
      <c r="B240" s="90"/>
      <c r="C240" s="91"/>
      <c r="D240" s="9"/>
      <c r="H240" s="89"/>
      <c r="I240" s="10"/>
      <c r="J240" s="1"/>
      <c r="K240" s="1"/>
      <c r="L240" s="11"/>
      <c r="M240" s="11"/>
    </row>
    <row r="241" spans="1:13" ht="18.600000000000001">
      <c r="A241" s="89"/>
      <c r="B241" s="90"/>
      <c r="C241" s="91"/>
      <c r="D241" s="9"/>
      <c r="H241" s="89"/>
      <c r="I241" s="10"/>
      <c r="J241" s="1"/>
      <c r="K241" s="1"/>
      <c r="L241" s="11"/>
      <c r="M241" s="11"/>
    </row>
    <row r="242" spans="1:13" ht="18.600000000000001">
      <c r="A242" s="89"/>
      <c r="B242" s="90"/>
      <c r="C242" s="91"/>
      <c r="D242" s="9"/>
      <c r="H242" s="89"/>
      <c r="I242" s="10"/>
      <c r="J242" s="1"/>
      <c r="K242" s="1"/>
      <c r="L242" s="11"/>
      <c r="M242" s="11"/>
    </row>
    <row r="243" spans="1:13" ht="18.600000000000001">
      <c r="A243" s="89"/>
      <c r="B243" s="90"/>
      <c r="C243" s="91"/>
      <c r="D243" s="9"/>
      <c r="H243" s="89"/>
      <c r="I243" s="10"/>
      <c r="J243" s="1"/>
      <c r="K243" s="1"/>
      <c r="L243" s="11"/>
      <c r="M243" s="11"/>
    </row>
    <row r="244" spans="1:13" ht="18.600000000000001">
      <c r="A244" s="89"/>
      <c r="B244" s="90"/>
      <c r="C244" s="91"/>
      <c r="D244" s="9"/>
      <c r="H244" s="89"/>
      <c r="I244" s="10"/>
      <c r="J244" s="1"/>
      <c r="K244" s="1"/>
      <c r="L244" s="11"/>
      <c r="M244" s="11"/>
    </row>
    <row r="245" spans="1:13" ht="18.600000000000001">
      <c r="A245" s="89"/>
      <c r="B245" s="90"/>
      <c r="C245" s="91"/>
      <c r="D245" s="9"/>
      <c r="H245" s="89"/>
      <c r="I245" s="10"/>
      <c r="J245" s="1"/>
      <c r="K245" s="1"/>
      <c r="L245" s="11"/>
      <c r="M245" s="11"/>
    </row>
    <row r="246" spans="1:13" ht="18.600000000000001">
      <c r="A246" s="89"/>
      <c r="B246" s="90"/>
      <c r="C246" s="91"/>
      <c r="D246" s="9"/>
      <c r="H246" s="89"/>
      <c r="I246" s="10"/>
      <c r="J246" s="1"/>
      <c r="K246" s="1"/>
      <c r="L246" s="11"/>
      <c r="M246" s="11"/>
    </row>
    <row r="247" spans="1:13" ht="18.600000000000001">
      <c r="A247" s="89"/>
      <c r="B247" s="90"/>
      <c r="C247" s="91"/>
      <c r="D247" s="9"/>
      <c r="H247" s="89"/>
      <c r="I247" s="10"/>
      <c r="J247" s="1"/>
      <c r="K247" s="1"/>
      <c r="L247" s="11"/>
      <c r="M247" s="11"/>
    </row>
    <row r="248" spans="1:13" ht="18.600000000000001">
      <c r="A248" s="89"/>
      <c r="B248" s="90"/>
      <c r="C248" s="91"/>
      <c r="D248" s="9"/>
      <c r="H248" s="89"/>
      <c r="I248" s="10"/>
      <c r="J248" s="1"/>
      <c r="K248" s="1"/>
      <c r="L248" s="11"/>
      <c r="M248" s="11"/>
    </row>
    <row r="249" spans="1:13" ht="18.600000000000001">
      <c r="A249" s="89"/>
      <c r="B249" s="90"/>
      <c r="C249" s="91"/>
      <c r="D249" s="9"/>
      <c r="H249" s="89"/>
      <c r="I249" s="10"/>
      <c r="J249" s="1"/>
      <c r="K249" s="1"/>
      <c r="L249" s="11"/>
      <c r="M249" s="11"/>
    </row>
    <row r="250" spans="1:13" ht="18.600000000000001">
      <c r="A250" s="89"/>
      <c r="B250" s="90"/>
      <c r="C250" s="91"/>
      <c r="D250" s="9"/>
      <c r="H250" s="89"/>
      <c r="I250" s="10"/>
      <c r="J250" s="1"/>
      <c r="K250" s="1"/>
      <c r="L250" s="11"/>
      <c r="M250" s="11"/>
    </row>
    <row r="251" spans="1:13" ht="18.600000000000001">
      <c r="A251" s="89"/>
      <c r="B251" s="90"/>
      <c r="C251" s="91"/>
      <c r="D251" s="9"/>
      <c r="H251" s="89"/>
      <c r="I251" s="10"/>
      <c r="J251" s="1"/>
      <c r="K251" s="1"/>
      <c r="L251" s="11"/>
      <c r="M251" s="11"/>
    </row>
    <row r="252" spans="1:13" ht="18.600000000000001">
      <c r="A252" s="89"/>
      <c r="B252" s="90"/>
      <c r="C252" s="91"/>
      <c r="D252" s="9"/>
      <c r="H252" s="89"/>
      <c r="I252" s="10"/>
      <c r="J252" s="1"/>
      <c r="K252" s="1"/>
      <c r="L252" s="11"/>
      <c r="M252" s="11"/>
    </row>
    <row r="253" spans="1:13" ht="18.600000000000001">
      <c r="A253" s="89"/>
      <c r="B253" s="90"/>
      <c r="C253" s="91"/>
      <c r="D253" s="9"/>
      <c r="H253" s="89"/>
      <c r="I253" s="10"/>
      <c r="J253" s="1"/>
      <c r="K253" s="1"/>
      <c r="L253" s="11"/>
      <c r="M253" s="11"/>
    </row>
    <row r="254" spans="1:13" ht="18.600000000000001">
      <c r="A254" s="89"/>
      <c r="B254" s="90"/>
      <c r="C254" s="91"/>
      <c r="D254" s="9"/>
      <c r="H254" s="89"/>
      <c r="I254" s="10"/>
      <c r="J254" s="1"/>
      <c r="K254" s="1"/>
      <c r="L254" s="11"/>
      <c r="M254" s="11"/>
    </row>
    <row r="255" spans="1:13" ht="18.600000000000001">
      <c r="A255" s="89"/>
      <c r="B255" s="90"/>
      <c r="C255" s="91"/>
      <c r="D255" s="9"/>
      <c r="H255" s="89"/>
      <c r="I255" s="10"/>
      <c r="J255" s="1"/>
      <c r="K255" s="1"/>
      <c r="L255" s="11"/>
      <c r="M255" s="11"/>
    </row>
    <row r="256" spans="1:13" ht="18.600000000000001">
      <c r="A256" s="89"/>
      <c r="B256" s="90"/>
      <c r="C256" s="91"/>
      <c r="D256" s="9"/>
      <c r="H256" s="89"/>
      <c r="I256" s="10"/>
      <c r="J256" s="1"/>
      <c r="K256" s="1"/>
      <c r="L256" s="11"/>
      <c r="M256" s="11"/>
    </row>
    <row r="257" spans="1:13" ht="18.600000000000001">
      <c r="A257" s="89"/>
      <c r="B257" s="90"/>
      <c r="C257" s="91"/>
      <c r="D257" s="9"/>
      <c r="H257" s="89"/>
      <c r="I257" s="10"/>
      <c r="J257" s="1"/>
      <c r="K257" s="1"/>
      <c r="L257" s="11"/>
      <c r="M257" s="11"/>
    </row>
    <row r="258" spans="1:13" ht="18.600000000000001">
      <c r="A258" s="89"/>
      <c r="B258" s="90"/>
      <c r="C258" s="91"/>
      <c r="D258" s="9"/>
      <c r="H258" s="89"/>
      <c r="I258" s="10"/>
      <c r="J258" s="1"/>
      <c r="K258" s="1"/>
      <c r="L258" s="11"/>
      <c r="M258" s="11"/>
    </row>
    <row r="259" spans="1:13" ht="18.600000000000001">
      <c r="A259" s="89"/>
      <c r="B259" s="90"/>
      <c r="C259" s="91"/>
      <c r="D259" s="9"/>
      <c r="H259" s="89"/>
      <c r="I259" s="10"/>
      <c r="J259" s="1"/>
      <c r="K259" s="1"/>
      <c r="L259" s="11"/>
      <c r="M259" s="11"/>
    </row>
    <row r="260" spans="1:13" ht="18.600000000000001">
      <c r="A260" s="89"/>
      <c r="B260" s="90"/>
      <c r="C260" s="91"/>
      <c r="D260" s="9"/>
      <c r="H260" s="89"/>
      <c r="I260" s="10"/>
      <c r="J260" s="1"/>
      <c r="K260" s="1"/>
      <c r="L260" s="11"/>
      <c r="M260" s="11"/>
    </row>
    <row r="261" spans="1:13" ht="18.600000000000001">
      <c r="A261" s="89"/>
      <c r="B261" s="90"/>
      <c r="C261" s="91"/>
      <c r="D261" s="9"/>
      <c r="H261" s="89"/>
      <c r="I261" s="10"/>
      <c r="J261" s="1"/>
      <c r="K261" s="1"/>
      <c r="L261" s="11"/>
      <c r="M261" s="11"/>
    </row>
    <row r="262" spans="1:13" ht="18.600000000000001">
      <c r="A262" s="89"/>
      <c r="B262" s="90"/>
      <c r="C262" s="91"/>
      <c r="D262" s="9"/>
      <c r="H262" s="89"/>
      <c r="I262" s="10"/>
      <c r="J262" s="1"/>
      <c r="K262" s="1"/>
      <c r="L262" s="11"/>
      <c r="M262" s="11"/>
    </row>
    <row r="263" spans="1:13" ht="18.600000000000001">
      <c r="A263" s="89"/>
      <c r="B263" s="90"/>
      <c r="C263" s="91"/>
      <c r="D263" s="9"/>
      <c r="H263" s="89"/>
      <c r="I263" s="10"/>
      <c r="J263" s="1"/>
      <c r="K263" s="1"/>
      <c r="L263" s="11"/>
      <c r="M263" s="11"/>
    </row>
    <row r="264" spans="1:13" ht="18.600000000000001">
      <c r="A264" s="89"/>
      <c r="B264" s="90"/>
      <c r="C264" s="91"/>
      <c r="D264" s="9"/>
      <c r="H264" s="89"/>
      <c r="I264" s="10"/>
      <c r="J264" s="1"/>
      <c r="K264" s="1"/>
      <c r="L264" s="11"/>
      <c r="M264" s="11"/>
    </row>
    <row r="265" spans="1:13" ht="18.600000000000001">
      <c r="A265" s="89"/>
      <c r="B265" s="90"/>
      <c r="C265" s="91"/>
      <c r="D265" s="9"/>
      <c r="H265" s="89"/>
      <c r="I265" s="10"/>
      <c r="J265" s="1"/>
      <c r="K265" s="1"/>
      <c r="L265" s="11"/>
      <c r="M265" s="11"/>
    </row>
    <row r="266" spans="1:13" ht="18.600000000000001">
      <c r="A266" s="89"/>
      <c r="B266" s="90"/>
      <c r="C266" s="91"/>
      <c r="D266" s="9"/>
      <c r="H266" s="89"/>
      <c r="I266" s="10"/>
      <c r="J266" s="1"/>
      <c r="K266" s="1"/>
      <c r="L266" s="11"/>
      <c r="M266" s="11"/>
    </row>
    <row r="267" spans="1:13" ht="18.600000000000001">
      <c r="A267" s="89"/>
      <c r="B267" s="90"/>
      <c r="C267" s="91"/>
      <c r="D267" s="9"/>
      <c r="H267" s="89"/>
      <c r="I267" s="10"/>
      <c r="J267" s="1"/>
      <c r="K267" s="1"/>
      <c r="L267" s="11"/>
      <c r="M267" s="11"/>
    </row>
    <row r="268" spans="1:13" ht="18.600000000000001">
      <c r="A268" s="89"/>
      <c r="B268" s="90"/>
      <c r="C268" s="91"/>
      <c r="D268" s="9"/>
      <c r="H268" s="89"/>
      <c r="I268" s="10"/>
      <c r="J268" s="1"/>
      <c r="K268" s="1"/>
      <c r="L268" s="11"/>
      <c r="M268" s="11"/>
    </row>
    <row r="269" spans="1:13" ht="18.600000000000001">
      <c r="A269" s="89"/>
      <c r="B269" s="90"/>
      <c r="C269" s="91"/>
      <c r="D269" s="9"/>
      <c r="H269" s="89"/>
      <c r="I269" s="10"/>
      <c r="J269" s="1"/>
      <c r="K269" s="1"/>
      <c r="L269" s="11"/>
      <c r="M269" s="11"/>
    </row>
    <row r="270" spans="1:13" ht="18.600000000000001">
      <c r="A270" s="89"/>
      <c r="B270" s="90"/>
      <c r="C270" s="91"/>
      <c r="D270" s="9"/>
      <c r="H270" s="89"/>
      <c r="I270" s="10"/>
      <c r="J270" s="1"/>
      <c r="K270" s="1"/>
      <c r="L270" s="11"/>
      <c r="M270" s="11"/>
    </row>
    <row r="271" spans="1:13" ht="18.600000000000001">
      <c r="A271" s="89"/>
      <c r="B271" s="90"/>
      <c r="C271" s="91"/>
      <c r="D271" s="9"/>
      <c r="H271" s="89"/>
      <c r="I271" s="10"/>
      <c r="J271" s="1"/>
      <c r="K271" s="1"/>
      <c r="L271" s="11"/>
      <c r="M271" s="11"/>
    </row>
    <row r="272" spans="1:13" ht="18.600000000000001">
      <c r="A272" s="89"/>
      <c r="B272" s="90"/>
      <c r="C272" s="91"/>
      <c r="D272" s="9"/>
      <c r="H272" s="89"/>
      <c r="I272" s="10"/>
      <c r="J272" s="1"/>
      <c r="K272" s="1"/>
      <c r="L272" s="11"/>
      <c r="M272" s="11"/>
    </row>
    <row r="273" spans="1:13" ht="18.600000000000001">
      <c r="A273" s="89"/>
      <c r="B273" s="90"/>
      <c r="C273" s="91"/>
      <c r="D273" s="9"/>
      <c r="H273" s="89"/>
      <c r="I273" s="10"/>
      <c r="J273" s="1"/>
      <c r="K273" s="1"/>
      <c r="L273" s="11"/>
      <c r="M273" s="11"/>
    </row>
    <row r="274" spans="1:13" ht="18.600000000000001">
      <c r="A274" s="89"/>
      <c r="B274" s="90"/>
      <c r="C274" s="91"/>
      <c r="D274" s="9"/>
      <c r="H274" s="89"/>
      <c r="I274" s="10"/>
      <c r="J274" s="1"/>
      <c r="K274" s="1"/>
      <c r="L274" s="11"/>
      <c r="M274" s="11"/>
    </row>
    <row r="275" spans="1:13" ht="18.600000000000001">
      <c r="A275" s="89"/>
      <c r="B275" s="90"/>
      <c r="C275" s="91"/>
      <c r="D275" s="9"/>
      <c r="H275" s="89"/>
      <c r="I275" s="10"/>
      <c r="J275" s="1"/>
      <c r="K275" s="1"/>
      <c r="L275" s="11"/>
      <c r="M275" s="11"/>
    </row>
    <row r="276" spans="1:13" ht="18.600000000000001">
      <c r="A276" s="89"/>
      <c r="B276" s="90"/>
      <c r="C276" s="91"/>
      <c r="D276" s="9"/>
      <c r="H276" s="89"/>
      <c r="I276" s="10"/>
      <c r="J276" s="1"/>
      <c r="K276" s="1"/>
      <c r="L276" s="11"/>
      <c r="M276" s="11"/>
    </row>
    <row r="277" spans="1:13" ht="18.600000000000001">
      <c r="A277" s="89"/>
      <c r="B277" s="90"/>
      <c r="C277" s="91"/>
      <c r="D277" s="9"/>
      <c r="H277" s="89"/>
      <c r="I277" s="10"/>
      <c r="J277" s="1"/>
      <c r="K277" s="1"/>
      <c r="L277" s="11"/>
      <c r="M277" s="11"/>
    </row>
    <row r="278" spans="1:13" ht="18.600000000000001">
      <c r="A278" s="89"/>
      <c r="B278" s="90"/>
      <c r="C278" s="91"/>
      <c r="D278" s="9"/>
      <c r="H278" s="89"/>
      <c r="I278" s="10"/>
      <c r="J278" s="1"/>
      <c r="K278" s="1"/>
      <c r="L278" s="11"/>
      <c r="M278" s="11"/>
    </row>
    <row r="279" spans="1:13" ht="18.600000000000001">
      <c r="A279" s="89"/>
      <c r="B279" s="90"/>
      <c r="C279" s="91"/>
      <c r="D279" s="9"/>
      <c r="H279" s="89"/>
      <c r="I279" s="10"/>
      <c r="J279" s="1"/>
      <c r="K279" s="1"/>
      <c r="L279" s="11"/>
      <c r="M279" s="11"/>
    </row>
    <row r="280" spans="1:13" ht="18.600000000000001">
      <c r="A280" s="89"/>
      <c r="B280" s="90"/>
      <c r="C280" s="91"/>
      <c r="D280" s="9"/>
      <c r="H280" s="89"/>
      <c r="I280" s="10"/>
      <c r="J280" s="1"/>
      <c r="K280" s="1"/>
      <c r="L280" s="11"/>
      <c r="M280" s="11"/>
    </row>
    <row r="281" spans="1:13" ht="18.600000000000001">
      <c r="A281" s="89"/>
      <c r="B281" s="90"/>
      <c r="C281" s="91"/>
      <c r="D281" s="9"/>
      <c r="H281" s="89"/>
      <c r="I281" s="10"/>
      <c r="J281" s="1"/>
      <c r="K281" s="1"/>
      <c r="L281" s="11"/>
      <c r="M281" s="11"/>
    </row>
    <row r="282" spans="1:13" ht="18.600000000000001">
      <c r="A282" s="89"/>
      <c r="B282" s="90"/>
      <c r="C282" s="91"/>
      <c r="D282" s="9"/>
      <c r="H282" s="89"/>
      <c r="I282" s="10"/>
      <c r="J282" s="1"/>
      <c r="K282" s="1"/>
      <c r="L282" s="11"/>
      <c r="M282" s="11"/>
    </row>
    <row r="283" spans="1:13" ht="18.600000000000001">
      <c r="A283" s="89"/>
      <c r="B283" s="90"/>
      <c r="C283" s="91"/>
      <c r="D283" s="9"/>
      <c r="H283" s="89"/>
      <c r="I283" s="10"/>
      <c r="J283" s="1"/>
      <c r="K283" s="1"/>
      <c r="L283" s="11"/>
      <c r="M283" s="11"/>
    </row>
    <row r="284" spans="1:13" ht="18.600000000000001">
      <c r="A284" s="89"/>
      <c r="B284" s="90"/>
      <c r="C284" s="91"/>
      <c r="D284" s="9"/>
      <c r="H284" s="89"/>
      <c r="I284" s="10"/>
      <c r="J284" s="1"/>
      <c r="K284" s="1"/>
      <c r="L284" s="11"/>
      <c r="M284" s="11"/>
    </row>
    <row r="285" spans="1:13" ht="18.600000000000001">
      <c r="A285" s="89"/>
      <c r="B285" s="90"/>
      <c r="C285" s="91"/>
      <c r="D285" s="9"/>
      <c r="H285" s="89"/>
      <c r="I285" s="10"/>
      <c r="J285" s="1"/>
      <c r="K285" s="1"/>
      <c r="L285" s="11"/>
      <c r="M285" s="11"/>
    </row>
    <row r="286" spans="1:13" ht="18.600000000000001">
      <c r="A286" s="89"/>
      <c r="B286" s="90"/>
      <c r="C286" s="91"/>
      <c r="D286" s="9"/>
      <c r="H286" s="89"/>
      <c r="I286" s="10"/>
      <c r="J286" s="1"/>
      <c r="K286" s="1"/>
      <c r="L286" s="11"/>
      <c r="M286" s="11"/>
    </row>
    <row r="287" spans="1:13" ht="18.600000000000001">
      <c r="A287" s="89"/>
      <c r="B287" s="90"/>
      <c r="C287" s="91"/>
      <c r="D287" s="9"/>
      <c r="H287" s="89"/>
      <c r="I287" s="10"/>
      <c r="J287" s="1"/>
      <c r="K287" s="1"/>
      <c r="L287" s="11"/>
      <c r="M287" s="11"/>
    </row>
    <row r="288" spans="1:13" ht="18.600000000000001">
      <c r="A288" s="89"/>
      <c r="B288" s="90"/>
      <c r="C288" s="91"/>
      <c r="D288" s="9"/>
      <c r="H288" s="89"/>
      <c r="I288" s="10"/>
      <c r="J288" s="1"/>
      <c r="K288" s="1"/>
      <c r="L288" s="11"/>
      <c r="M288" s="11"/>
    </row>
    <row r="289" spans="1:13" ht="18.600000000000001">
      <c r="A289" s="89"/>
      <c r="B289" s="90"/>
      <c r="C289" s="91"/>
      <c r="D289" s="9"/>
      <c r="H289" s="89"/>
      <c r="I289" s="10"/>
      <c r="J289" s="1"/>
      <c r="K289" s="1"/>
      <c r="L289" s="11"/>
      <c r="M289" s="11"/>
    </row>
    <row r="290" spans="1:13" ht="18.600000000000001">
      <c r="A290" s="89"/>
      <c r="B290" s="90"/>
      <c r="C290" s="91"/>
      <c r="D290" s="9"/>
      <c r="H290" s="89"/>
      <c r="I290" s="10"/>
      <c r="J290" s="1"/>
      <c r="K290" s="1"/>
      <c r="L290" s="11"/>
      <c r="M290" s="11"/>
    </row>
    <row r="291" spans="1:13" ht="18.600000000000001">
      <c r="A291" s="89"/>
      <c r="B291" s="90"/>
      <c r="C291" s="91"/>
      <c r="D291" s="9"/>
      <c r="H291" s="89"/>
      <c r="I291" s="10"/>
      <c r="J291" s="1"/>
      <c r="K291" s="1"/>
      <c r="L291" s="11"/>
      <c r="M291" s="11"/>
    </row>
    <row r="292" spans="1:13" ht="18.600000000000001">
      <c r="A292" s="89"/>
      <c r="B292" s="90"/>
      <c r="C292" s="91"/>
      <c r="D292" s="9"/>
      <c r="H292" s="89"/>
      <c r="I292" s="10"/>
      <c r="J292" s="1"/>
      <c r="K292" s="1"/>
      <c r="L292" s="11"/>
      <c r="M292" s="11"/>
    </row>
    <row r="293" spans="1:13" ht="18.600000000000001">
      <c r="A293" s="89"/>
      <c r="B293" s="90"/>
      <c r="C293" s="91"/>
      <c r="D293" s="9"/>
      <c r="H293" s="89"/>
      <c r="I293" s="10"/>
      <c r="J293" s="1"/>
      <c r="K293" s="1"/>
      <c r="L293" s="11"/>
      <c r="M293" s="11"/>
    </row>
    <row r="294" spans="1:13" ht="18.600000000000001">
      <c r="A294" s="89"/>
      <c r="B294" s="90"/>
      <c r="C294" s="91"/>
      <c r="D294" s="9"/>
      <c r="H294" s="89"/>
      <c r="I294" s="10"/>
      <c r="J294" s="1"/>
      <c r="K294" s="1"/>
      <c r="L294" s="11"/>
      <c r="M294" s="11"/>
    </row>
    <row r="295" spans="1:13" ht="18.600000000000001">
      <c r="A295" s="89"/>
      <c r="B295" s="90"/>
      <c r="C295" s="91"/>
      <c r="D295" s="9"/>
      <c r="H295" s="89"/>
      <c r="I295" s="10"/>
      <c r="J295" s="1"/>
      <c r="K295" s="1"/>
      <c r="L295" s="11"/>
      <c r="M295" s="11"/>
    </row>
    <row r="296" spans="1:13" ht="18.600000000000001">
      <c r="A296" s="89"/>
      <c r="B296" s="90"/>
      <c r="C296" s="91"/>
      <c r="D296" s="9"/>
      <c r="H296" s="89"/>
      <c r="I296" s="10"/>
      <c r="J296" s="1"/>
      <c r="K296" s="1"/>
      <c r="L296" s="11"/>
      <c r="M296" s="11"/>
    </row>
    <row r="297" spans="1:13" ht="18.600000000000001">
      <c r="A297" s="89"/>
      <c r="B297" s="90"/>
      <c r="C297" s="91"/>
      <c r="D297" s="9"/>
      <c r="H297" s="89"/>
      <c r="I297" s="10"/>
      <c r="J297" s="1"/>
      <c r="K297" s="1"/>
      <c r="L297" s="11"/>
      <c r="M297" s="11"/>
    </row>
    <row r="298" spans="1:13" ht="18.600000000000001">
      <c r="A298" s="89"/>
      <c r="B298" s="90"/>
      <c r="C298" s="91"/>
      <c r="D298" s="9"/>
      <c r="H298" s="89"/>
      <c r="I298" s="10"/>
      <c r="J298" s="1"/>
      <c r="K298" s="1"/>
      <c r="L298" s="11"/>
      <c r="M298" s="11"/>
    </row>
    <row r="299" spans="1:13" ht="18.600000000000001">
      <c r="A299" s="89"/>
      <c r="B299" s="90"/>
      <c r="C299" s="91"/>
      <c r="D299" s="9"/>
      <c r="H299" s="89"/>
      <c r="I299" s="10"/>
      <c r="J299" s="1"/>
      <c r="K299" s="1"/>
      <c r="L299" s="11"/>
      <c r="M299" s="11"/>
    </row>
    <row r="300" spans="1:13" ht="18.600000000000001">
      <c r="A300" s="89"/>
      <c r="B300" s="90"/>
      <c r="C300" s="91"/>
      <c r="D300" s="9"/>
      <c r="H300" s="89"/>
      <c r="I300" s="10"/>
      <c r="J300" s="1"/>
      <c r="K300" s="1"/>
      <c r="L300" s="11"/>
      <c r="M300" s="11"/>
    </row>
    <row r="301" spans="1:13" ht="18.600000000000001">
      <c r="A301" s="89"/>
      <c r="B301" s="90"/>
      <c r="C301" s="91"/>
      <c r="D301" s="9"/>
      <c r="H301" s="89"/>
      <c r="I301" s="10"/>
      <c r="J301" s="1"/>
      <c r="K301" s="1"/>
      <c r="L301" s="11"/>
      <c r="M301" s="11"/>
    </row>
    <row r="302" spans="1:13" ht="18.600000000000001">
      <c r="A302" s="89"/>
      <c r="B302" s="90"/>
      <c r="C302" s="91"/>
      <c r="D302" s="9"/>
      <c r="H302" s="89"/>
      <c r="I302" s="10"/>
      <c r="J302" s="1"/>
      <c r="K302" s="1"/>
      <c r="L302" s="11"/>
      <c r="M302" s="11"/>
    </row>
    <row r="303" spans="1:13" ht="18.600000000000001">
      <c r="A303" s="89"/>
      <c r="B303" s="90"/>
      <c r="C303" s="91"/>
      <c r="D303" s="9"/>
      <c r="H303" s="89"/>
      <c r="I303" s="10"/>
      <c r="J303" s="1"/>
      <c r="K303" s="1"/>
      <c r="L303" s="11"/>
      <c r="M303" s="11"/>
    </row>
    <row r="304" spans="1:13" ht="18.600000000000001">
      <c r="A304" s="89"/>
      <c r="B304" s="90"/>
      <c r="C304" s="91"/>
      <c r="D304" s="9"/>
      <c r="H304" s="89"/>
      <c r="I304" s="10"/>
      <c r="J304" s="1"/>
      <c r="K304" s="1"/>
      <c r="L304" s="11"/>
      <c r="M304" s="11"/>
    </row>
    <row r="305" spans="1:13" ht="18.600000000000001">
      <c r="A305" s="89"/>
      <c r="B305" s="90"/>
      <c r="C305" s="91"/>
      <c r="D305" s="9"/>
      <c r="H305" s="89"/>
      <c r="I305" s="10"/>
      <c r="J305" s="1"/>
      <c r="K305" s="1"/>
      <c r="L305" s="11"/>
      <c r="M305" s="11"/>
    </row>
    <row r="306" spans="1:13" ht="18.600000000000001">
      <c r="A306" s="89"/>
      <c r="B306" s="90"/>
      <c r="C306" s="91"/>
      <c r="D306" s="9"/>
      <c r="H306" s="89"/>
      <c r="I306" s="10"/>
      <c r="J306" s="1"/>
      <c r="K306" s="1"/>
      <c r="L306" s="11"/>
      <c r="M306" s="11"/>
    </row>
    <row r="307" spans="1:13" ht="18.600000000000001">
      <c r="A307" s="89"/>
      <c r="B307" s="90"/>
      <c r="C307" s="91"/>
      <c r="D307" s="9"/>
      <c r="H307" s="89"/>
      <c r="I307" s="10"/>
      <c r="J307" s="1"/>
      <c r="K307" s="1"/>
      <c r="L307" s="11"/>
      <c r="M307" s="11"/>
    </row>
    <row r="308" spans="1:13" ht="18.600000000000001">
      <c r="A308" s="89"/>
      <c r="B308" s="90"/>
      <c r="C308" s="91"/>
      <c r="D308" s="9"/>
      <c r="H308" s="89"/>
      <c r="I308" s="10"/>
      <c r="J308" s="1"/>
      <c r="K308" s="1"/>
      <c r="L308" s="11"/>
      <c r="M308" s="11"/>
    </row>
    <row r="309" spans="1:13" ht="18.600000000000001">
      <c r="A309" s="89"/>
      <c r="B309" s="90"/>
      <c r="C309" s="91"/>
      <c r="D309" s="9"/>
      <c r="H309" s="89"/>
      <c r="I309" s="10"/>
      <c r="J309" s="1"/>
      <c r="K309" s="1"/>
      <c r="L309" s="11"/>
      <c r="M309" s="11"/>
    </row>
    <row r="310" spans="1:13" ht="18.600000000000001">
      <c r="A310" s="89"/>
      <c r="B310" s="90"/>
      <c r="C310" s="91"/>
      <c r="D310" s="9"/>
      <c r="H310" s="89"/>
      <c r="I310" s="10"/>
      <c r="J310" s="1"/>
      <c r="K310" s="1"/>
      <c r="L310" s="11"/>
      <c r="M310" s="11"/>
    </row>
    <row r="311" spans="1:13" ht="18.600000000000001">
      <c r="A311" s="89"/>
      <c r="B311" s="90"/>
      <c r="C311" s="91"/>
      <c r="D311" s="9"/>
      <c r="H311" s="89"/>
      <c r="I311" s="10"/>
      <c r="J311" s="1"/>
      <c r="K311" s="1"/>
      <c r="L311" s="11"/>
      <c r="M311" s="11"/>
    </row>
    <row r="312" spans="1:13" ht="18.600000000000001">
      <c r="A312" s="89"/>
      <c r="B312" s="90"/>
      <c r="C312" s="91"/>
      <c r="D312" s="9"/>
      <c r="H312" s="89"/>
      <c r="I312" s="10"/>
      <c r="J312" s="1"/>
      <c r="K312" s="1"/>
      <c r="L312" s="11"/>
      <c r="M312" s="11"/>
    </row>
    <row r="313" spans="1:13" ht="18.600000000000001">
      <c r="A313" s="89"/>
      <c r="B313" s="90"/>
      <c r="C313" s="91"/>
      <c r="D313" s="9"/>
      <c r="H313" s="89"/>
      <c r="I313" s="10"/>
      <c r="J313" s="1"/>
      <c r="K313" s="1"/>
      <c r="L313" s="11"/>
      <c r="M313" s="11"/>
    </row>
    <row r="314" spans="1:13" ht="18.600000000000001">
      <c r="A314" s="89"/>
      <c r="B314" s="90"/>
      <c r="C314" s="91"/>
      <c r="D314" s="9"/>
      <c r="H314" s="89"/>
      <c r="I314" s="10"/>
      <c r="J314" s="1"/>
      <c r="K314" s="1"/>
      <c r="L314" s="11"/>
      <c r="M314" s="11"/>
    </row>
    <row r="315" spans="1:13" ht="18.600000000000001">
      <c r="A315" s="89"/>
      <c r="B315" s="90"/>
      <c r="C315" s="91"/>
      <c r="D315" s="9"/>
      <c r="H315" s="89"/>
      <c r="I315" s="10"/>
      <c r="J315" s="1"/>
      <c r="K315" s="1"/>
      <c r="L315" s="11"/>
      <c r="M315" s="11"/>
    </row>
    <row r="316" spans="1:13" ht="18.600000000000001">
      <c r="A316" s="89"/>
      <c r="B316" s="90"/>
      <c r="C316" s="91"/>
      <c r="D316" s="9"/>
      <c r="H316" s="89"/>
      <c r="I316" s="10"/>
      <c r="J316" s="1"/>
      <c r="K316" s="1"/>
      <c r="L316" s="11"/>
      <c r="M316" s="11"/>
    </row>
    <row r="317" spans="1:13" ht="18.600000000000001">
      <c r="A317" s="89"/>
      <c r="B317" s="90"/>
      <c r="C317" s="91"/>
      <c r="D317" s="9"/>
      <c r="H317" s="89"/>
      <c r="I317" s="10"/>
      <c r="J317" s="1"/>
      <c r="K317" s="1"/>
      <c r="L317" s="11"/>
      <c r="M317" s="11"/>
    </row>
    <row r="318" spans="1:13" ht="18.600000000000001">
      <c r="A318" s="89"/>
      <c r="B318" s="90"/>
      <c r="C318" s="91"/>
      <c r="D318" s="9"/>
      <c r="H318" s="89"/>
      <c r="I318" s="10"/>
      <c r="J318" s="1"/>
      <c r="K318" s="1"/>
      <c r="L318" s="11"/>
      <c r="M318" s="11"/>
    </row>
    <row r="319" spans="1:13" ht="18.600000000000001">
      <c r="A319" s="89"/>
      <c r="B319" s="90"/>
      <c r="C319" s="91"/>
      <c r="D319" s="9"/>
      <c r="H319" s="89"/>
      <c r="I319" s="10"/>
      <c r="J319" s="1"/>
      <c r="K319" s="1"/>
      <c r="L319" s="11"/>
      <c r="M319" s="11"/>
    </row>
    <row r="320" spans="1:13" ht="18.600000000000001">
      <c r="A320" s="89"/>
      <c r="B320" s="90"/>
      <c r="C320" s="91"/>
      <c r="D320" s="9"/>
      <c r="H320" s="89"/>
      <c r="I320" s="10"/>
      <c r="J320" s="1"/>
      <c r="K320" s="1"/>
      <c r="L320" s="11"/>
      <c r="M320" s="11"/>
    </row>
    <row r="321" spans="1:13" ht="18.600000000000001">
      <c r="A321" s="89"/>
      <c r="B321" s="90"/>
      <c r="C321" s="91"/>
      <c r="D321" s="9"/>
      <c r="H321" s="89"/>
      <c r="I321" s="10"/>
      <c r="J321" s="1"/>
      <c r="K321" s="1"/>
      <c r="L321" s="11"/>
      <c r="M321" s="11"/>
    </row>
    <row r="322" spans="1:13" ht="18.600000000000001">
      <c r="A322" s="89"/>
      <c r="B322" s="90"/>
      <c r="C322" s="91"/>
      <c r="D322" s="9"/>
      <c r="H322" s="89"/>
      <c r="I322" s="10"/>
      <c r="J322" s="1"/>
      <c r="K322" s="1"/>
      <c r="L322" s="11"/>
      <c r="M322" s="11"/>
    </row>
    <row r="323" spans="1:13" ht="18.600000000000001">
      <c r="A323" s="89"/>
      <c r="B323" s="90"/>
      <c r="C323" s="91"/>
      <c r="D323" s="9"/>
      <c r="H323" s="89"/>
      <c r="I323" s="10"/>
      <c r="J323" s="1"/>
      <c r="K323" s="1"/>
      <c r="L323" s="11"/>
      <c r="M323" s="11"/>
    </row>
    <row r="324" spans="1:13" ht="18.600000000000001">
      <c r="A324" s="89"/>
      <c r="B324" s="90"/>
      <c r="C324" s="91"/>
      <c r="D324" s="9"/>
      <c r="H324" s="89"/>
      <c r="I324" s="10"/>
      <c r="J324" s="1"/>
      <c r="K324" s="1"/>
      <c r="L324" s="11"/>
      <c r="M324" s="11"/>
    </row>
    <row r="325" spans="1:13" ht="18.600000000000001">
      <c r="A325" s="89"/>
      <c r="B325" s="90"/>
      <c r="C325" s="91"/>
      <c r="D325" s="9"/>
      <c r="H325" s="89"/>
      <c r="I325" s="10"/>
      <c r="J325" s="1"/>
      <c r="K325" s="1"/>
      <c r="L325" s="11"/>
      <c r="M325" s="11"/>
    </row>
    <row r="326" spans="1:13" ht="18.600000000000001">
      <c r="A326" s="89"/>
      <c r="B326" s="90"/>
      <c r="C326" s="91"/>
      <c r="D326" s="9"/>
      <c r="H326" s="89"/>
      <c r="I326" s="10"/>
      <c r="J326" s="1"/>
      <c r="K326" s="1"/>
      <c r="L326" s="11"/>
      <c r="M326" s="11"/>
    </row>
    <row r="327" spans="1:13" ht="18.600000000000001">
      <c r="A327" s="89"/>
      <c r="B327" s="90"/>
      <c r="C327" s="91"/>
      <c r="D327" s="9"/>
      <c r="H327" s="89"/>
      <c r="I327" s="10"/>
      <c r="J327" s="1"/>
      <c r="K327" s="1"/>
      <c r="L327" s="11"/>
      <c r="M327" s="11"/>
    </row>
    <row r="328" spans="1:13" ht="18.600000000000001">
      <c r="A328" s="89"/>
      <c r="B328" s="90"/>
      <c r="C328" s="91"/>
      <c r="D328" s="9"/>
      <c r="H328" s="89"/>
      <c r="I328" s="10"/>
      <c r="J328" s="1"/>
      <c r="K328" s="1"/>
      <c r="L328" s="11"/>
      <c r="M328" s="11"/>
    </row>
    <row r="329" spans="1:13" ht="18.600000000000001">
      <c r="A329" s="89"/>
      <c r="B329" s="90"/>
      <c r="C329" s="91"/>
      <c r="D329" s="9"/>
      <c r="H329" s="89"/>
      <c r="I329" s="10"/>
      <c r="J329" s="1"/>
      <c r="K329" s="1"/>
      <c r="L329" s="11"/>
      <c r="M329" s="11"/>
    </row>
    <row r="330" spans="1:13" ht="18.600000000000001">
      <c r="A330" s="89"/>
      <c r="B330" s="90"/>
      <c r="C330" s="91"/>
      <c r="D330" s="9"/>
      <c r="H330" s="89"/>
      <c r="I330" s="10"/>
      <c r="J330" s="1"/>
      <c r="K330" s="1"/>
      <c r="L330" s="11"/>
      <c r="M330" s="11"/>
    </row>
    <row r="331" spans="1:13" ht="18.600000000000001">
      <c r="A331" s="89"/>
      <c r="B331" s="90"/>
      <c r="C331" s="91"/>
      <c r="D331" s="9"/>
      <c r="H331" s="89"/>
      <c r="I331" s="10"/>
      <c r="J331" s="1"/>
      <c r="K331" s="1"/>
      <c r="L331" s="11"/>
      <c r="M331" s="11"/>
    </row>
    <row r="332" spans="1:13" ht="18.600000000000001">
      <c r="A332" s="89"/>
      <c r="B332" s="90"/>
      <c r="C332" s="91"/>
      <c r="D332" s="9"/>
      <c r="H332" s="89"/>
      <c r="I332" s="10"/>
      <c r="J332" s="1"/>
      <c r="K332" s="1"/>
      <c r="L332" s="11"/>
      <c r="M332" s="11"/>
    </row>
    <row r="333" spans="1:13" ht="18.600000000000001">
      <c r="A333" s="89"/>
      <c r="B333" s="90"/>
      <c r="C333" s="91"/>
      <c r="D333" s="9"/>
      <c r="H333" s="89"/>
      <c r="I333" s="10"/>
      <c r="J333" s="1"/>
      <c r="K333" s="1"/>
      <c r="L333" s="11"/>
      <c r="M333" s="11"/>
    </row>
    <row r="334" spans="1:13" ht="18.600000000000001">
      <c r="A334" s="89"/>
      <c r="B334" s="90"/>
      <c r="C334" s="91"/>
      <c r="D334" s="9"/>
      <c r="H334" s="89"/>
      <c r="I334" s="10"/>
      <c r="J334" s="1"/>
      <c r="K334" s="1"/>
      <c r="L334" s="11"/>
      <c r="M334" s="11"/>
    </row>
    <row r="335" spans="1:13" ht="18.600000000000001">
      <c r="A335" s="89"/>
      <c r="B335" s="90"/>
      <c r="C335" s="91"/>
      <c r="D335" s="9"/>
      <c r="H335" s="89"/>
      <c r="I335" s="10"/>
      <c r="J335" s="1"/>
      <c r="K335" s="1"/>
      <c r="L335" s="11"/>
      <c r="M335" s="11"/>
    </row>
    <row r="336" spans="1:13" ht="18.600000000000001">
      <c r="A336" s="89"/>
      <c r="B336" s="90"/>
      <c r="C336" s="91"/>
      <c r="D336" s="9"/>
      <c r="H336" s="89"/>
      <c r="I336" s="10"/>
      <c r="J336" s="1"/>
      <c r="K336" s="1"/>
      <c r="L336" s="11"/>
      <c r="M336" s="11"/>
    </row>
    <row r="337" spans="1:13" ht="18.600000000000001">
      <c r="A337" s="89"/>
      <c r="B337" s="90"/>
      <c r="C337" s="91"/>
      <c r="D337" s="9"/>
      <c r="H337" s="89"/>
      <c r="I337" s="10"/>
      <c r="J337" s="1"/>
      <c r="K337" s="1"/>
      <c r="L337" s="11"/>
      <c r="M337" s="11"/>
    </row>
    <row r="338" spans="1:13" ht="18.600000000000001">
      <c r="A338" s="89"/>
      <c r="B338" s="90"/>
      <c r="C338" s="91"/>
      <c r="D338" s="9"/>
      <c r="H338" s="89"/>
      <c r="I338" s="10"/>
      <c r="J338" s="1"/>
      <c r="K338" s="1"/>
      <c r="L338" s="11"/>
      <c r="M338" s="11"/>
    </row>
    <row r="339" spans="1:13" ht="18.600000000000001">
      <c r="A339" s="89"/>
      <c r="B339" s="90"/>
      <c r="C339" s="91"/>
      <c r="D339" s="9"/>
      <c r="H339" s="89"/>
      <c r="I339" s="10"/>
      <c r="J339" s="1"/>
      <c r="K339" s="1"/>
      <c r="L339" s="11"/>
      <c r="M339" s="11"/>
    </row>
    <row r="340" spans="1:13" ht="18.600000000000001">
      <c r="A340" s="89"/>
      <c r="B340" s="90"/>
      <c r="C340" s="91"/>
      <c r="D340" s="9"/>
      <c r="H340" s="89"/>
      <c r="I340" s="10"/>
      <c r="J340" s="1"/>
      <c r="K340" s="1"/>
      <c r="L340" s="11"/>
      <c r="M340" s="11"/>
    </row>
    <row r="341" spans="1:13" ht="18.600000000000001">
      <c r="A341" s="89"/>
      <c r="B341" s="90"/>
      <c r="C341" s="91"/>
      <c r="D341" s="9"/>
      <c r="H341" s="89"/>
      <c r="I341" s="10"/>
      <c r="J341" s="1"/>
      <c r="K341" s="1"/>
      <c r="L341" s="11"/>
      <c r="M341" s="11"/>
    </row>
    <row r="342" spans="1:13" ht="18.600000000000001">
      <c r="A342" s="89"/>
      <c r="B342" s="90"/>
      <c r="C342" s="91"/>
      <c r="D342" s="9"/>
      <c r="H342" s="89"/>
      <c r="I342" s="10"/>
      <c r="J342" s="1"/>
      <c r="K342" s="1"/>
      <c r="L342" s="11"/>
      <c r="M342" s="11"/>
    </row>
    <row r="343" spans="1:13" ht="18.600000000000001">
      <c r="A343" s="89"/>
      <c r="B343" s="90"/>
      <c r="C343" s="91"/>
      <c r="D343" s="9"/>
      <c r="H343" s="89"/>
      <c r="I343" s="10"/>
      <c r="J343" s="1"/>
      <c r="K343" s="1"/>
      <c r="L343" s="11"/>
      <c r="M343" s="11"/>
    </row>
    <row r="344" spans="1:13" ht="18.600000000000001">
      <c r="A344" s="89"/>
      <c r="B344" s="90"/>
      <c r="C344" s="91"/>
      <c r="D344" s="9"/>
      <c r="H344" s="89"/>
      <c r="I344" s="10"/>
      <c r="J344" s="1"/>
      <c r="K344" s="1"/>
      <c r="L344" s="11"/>
      <c r="M344" s="11"/>
    </row>
    <row r="345" spans="1:13" ht="18.600000000000001">
      <c r="A345" s="89"/>
      <c r="B345" s="90"/>
      <c r="C345" s="91"/>
      <c r="D345" s="9"/>
      <c r="H345" s="89"/>
      <c r="I345" s="10"/>
      <c r="J345" s="1"/>
      <c r="K345" s="1"/>
      <c r="L345" s="11"/>
      <c r="M345" s="11"/>
    </row>
    <row r="346" spans="1:13" ht="18.600000000000001">
      <c r="A346" s="89"/>
      <c r="B346" s="90"/>
      <c r="C346" s="91"/>
      <c r="D346" s="9"/>
      <c r="H346" s="89"/>
      <c r="I346" s="10"/>
      <c r="J346" s="1"/>
      <c r="K346" s="1"/>
      <c r="L346" s="11"/>
      <c r="M346" s="11"/>
    </row>
    <row r="347" spans="1:13" ht="18.600000000000001">
      <c r="A347" s="89"/>
      <c r="B347" s="90"/>
      <c r="C347" s="91"/>
      <c r="D347" s="9"/>
      <c r="H347" s="89"/>
      <c r="I347" s="10"/>
      <c r="J347" s="1"/>
      <c r="K347" s="1"/>
      <c r="L347" s="11"/>
      <c r="M347" s="11"/>
    </row>
    <row r="348" spans="1:13" ht="18.600000000000001">
      <c r="A348" s="89"/>
      <c r="B348" s="90"/>
      <c r="C348" s="91"/>
      <c r="D348" s="9"/>
      <c r="H348" s="89"/>
      <c r="I348" s="10"/>
      <c r="J348" s="1"/>
      <c r="K348" s="1"/>
      <c r="L348" s="11"/>
      <c r="M348" s="11"/>
    </row>
    <row r="349" spans="1:13" ht="18.600000000000001">
      <c r="A349" s="89"/>
      <c r="B349" s="90"/>
      <c r="C349" s="91"/>
      <c r="D349" s="9"/>
      <c r="H349" s="89"/>
      <c r="I349" s="10"/>
      <c r="J349" s="1"/>
      <c r="K349" s="1"/>
      <c r="L349" s="11"/>
      <c r="M349" s="11"/>
    </row>
    <row r="350" spans="1:13" ht="18.600000000000001">
      <c r="A350" s="89"/>
      <c r="B350" s="90"/>
      <c r="C350" s="91"/>
      <c r="D350" s="9"/>
      <c r="H350" s="89"/>
      <c r="I350" s="10"/>
      <c r="J350" s="1"/>
      <c r="K350" s="1"/>
      <c r="L350" s="11"/>
      <c r="M350" s="11"/>
    </row>
    <row r="351" spans="1:13" ht="18.600000000000001">
      <c r="A351" s="89"/>
      <c r="B351" s="90"/>
      <c r="C351" s="91"/>
      <c r="D351" s="9"/>
      <c r="H351" s="89"/>
      <c r="I351" s="10"/>
      <c r="J351" s="1"/>
      <c r="K351" s="1"/>
      <c r="L351" s="11"/>
      <c r="M351" s="11"/>
    </row>
    <row r="352" spans="1:13" ht="18.600000000000001">
      <c r="A352" s="89"/>
      <c r="B352" s="90"/>
      <c r="C352" s="91"/>
      <c r="D352" s="9"/>
      <c r="H352" s="89"/>
      <c r="I352" s="10"/>
      <c r="J352" s="1"/>
      <c r="K352" s="1"/>
      <c r="L352" s="11"/>
      <c r="M352" s="11"/>
    </row>
    <row r="353" spans="1:13" ht="18.600000000000001">
      <c r="A353" s="89"/>
      <c r="B353" s="90"/>
      <c r="C353" s="91"/>
      <c r="D353" s="9"/>
      <c r="H353" s="89"/>
      <c r="I353" s="10"/>
      <c r="J353" s="1"/>
      <c r="K353" s="1"/>
      <c r="L353" s="11"/>
      <c r="M353" s="11"/>
    </row>
    <row r="354" spans="1:13" ht="18.600000000000001">
      <c r="A354" s="89"/>
      <c r="B354" s="90"/>
      <c r="C354" s="91"/>
      <c r="D354" s="9"/>
      <c r="H354" s="89"/>
      <c r="I354" s="10"/>
      <c r="J354" s="1"/>
      <c r="K354" s="1"/>
      <c r="L354" s="11"/>
      <c r="M354" s="11"/>
    </row>
    <row r="355" spans="1:13" ht="18.600000000000001">
      <c r="A355" s="89"/>
      <c r="B355" s="90"/>
      <c r="C355" s="91"/>
      <c r="D355" s="9"/>
      <c r="H355" s="89"/>
      <c r="I355" s="10"/>
      <c r="J355" s="1"/>
      <c r="K355" s="1"/>
      <c r="L355" s="11"/>
      <c r="M355" s="11"/>
    </row>
    <row r="356" spans="1:13" ht="18.600000000000001">
      <c r="A356" s="89"/>
      <c r="B356" s="90"/>
      <c r="C356" s="91"/>
      <c r="D356" s="9"/>
      <c r="H356" s="89"/>
      <c r="I356" s="10"/>
      <c r="J356" s="1"/>
      <c r="K356" s="1"/>
      <c r="L356" s="11"/>
      <c r="M356" s="11"/>
    </row>
    <row r="357" spans="1:13" ht="18.600000000000001">
      <c r="A357" s="89"/>
      <c r="B357" s="90"/>
      <c r="C357" s="91"/>
      <c r="D357" s="9"/>
      <c r="H357" s="89"/>
      <c r="I357" s="10"/>
      <c r="J357" s="1"/>
      <c r="K357" s="1"/>
      <c r="L357" s="11"/>
      <c r="M357" s="11"/>
    </row>
    <row r="358" spans="1:13" ht="18.600000000000001">
      <c r="A358" s="89"/>
      <c r="B358" s="90"/>
      <c r="C358" s="91"/>
      <c r="D358" s="9"/>
      <c r="H358" s="89"/>
      <c r="I358" s="10"/>
      <c r="J358" s="1"/>
      <c r="K358" s="1"/>
      <c r="L358" s="11"/>
      <c r="M358" s="11"/>
    </row>
    <row r="359" spans="1:13" ht="18.600000000000001">
      <c r="A359" s="89"/>
      <c r="B359" s="90"/>
      <c r="C359" s="91"/>
      <c r="D359" s="9"/>
      <c r="H359" s="89"/>
      <c r="I359" s="10"/>
      <c r="J359" s="1"/>
      <c r="K359" s="1"/>
      <c r="L359" s="11"/>
      <c r="M359" s="11"/>
    </row>
    <row r="360" spans="1:13" ht="18.600000000000001">
      <c r="A360" s="89"/>
      <c r="B360" s="90"/>
      <c r="C360" s="91"/>
      <c r="D360" s="9"/>
      <c r="H360" s="89"/>
      <c r="I360" s="10"/>
      <c r="J360" s="1"/>
      <c r="K360" s="1"/>
      <c r="L360" s="11"/>
      <c r="M360" s="11"/>
    </row>
    <row r="361" spans="1:13" ht="18.600000000000001">
      <c r="A361" s="89"/>
      <c r="B361" s="90"/>
      <c r="C361" s="91"/>
      <c r="D361" s="9"/>
      <c r="H361" s="89"/>
      <c r="I361" s="10"/>
      <c r="J361" s="1"/>
      <c r="K361" s="1"/>
      <c r="L361" s="11"/>
      <c r="M361" s="11"/>
    </row>
    <row r="362" spans="1:13" ht="18.600000000000001">
      <c r="A362" s="89"/>
      <c r="B362" s="90"/>
      <c r="C362" s="91"/>
      <c r="D362" s="9"/>
      <c r="H362" s="89"/>
      <c r="I362" s="10"/>
      <c r="J362" s="1"/>
      <c r="K362" s="1"/>
      <c r="L362" s="11"/>
      <c r="M362" s="11"/>
    </row>
    <row r="363" spans="1:13" ht="18.600000000000001">
      <c r="A363" s="89"/>
      <c r="B363" s="90"/>
      <c r="C363" s="91"/>
      <c r="D363" s="9"/>
      <c r="H363" s="89"/>
      <c r="I363" s="10"/>
      <c r="J363" s="1"/>
      <c r="K363" s="1"/>
      <c r="L363" s="11"/>
      <c r="M363" s="11"/>
    </row>
    <row r="364" spans="1:13" ht="18.600000000000001">
      <c r="A364" s="89"/>
      <c r="B364" s="90"/>
      <c r="C364" s="91"/>
      <c r="D364" s="9"/>
      <c r="H364" s="89"/>
      <c r="I364" s="10"/>
      <c r="J364" s="1"/>
      <c r="K364" s="1"/>
      <c r="L364" s="11"/>
      <c r="M364" s="11"/>
    </row>
    <row r="365" spans="1:13" ht="18.600000000000001">
      <c r="A365" s="89"/>
      <c r="B365" s="90"/>
      <c r="C365" s="91"/>
      <c r="D365" s="9"/>
      <c r="H365" s="89"/>
      <c r="I365" s="10"/>
      <c r="J365" s="1"/>
      <c r="K365" s="1"/>
      <c r="L365" s="11"/>
      <c r="M365" s="11"/>
    </row>
    <row r="366" spans="1:13" ht="18.600000000000001">
      <c r="A366" s="89"/>
      <c r="B366" s="90"/>
      <c r="C366" s="91"/>
      <c r="D366" s="9"/>
      <c r="H366" s="89"/>
      <c r="I366" s="10"/>
      <c r="J366" s="1"/>
      <c r="K366" s="1"/>
      <c r="L366" s="11"/>
      <c r="M366" s="11"/>
    </row>
    <row r="367" spans="1:13" ht="18.600000000000001">
      <c r="A367" s="89"/>
      <c r="B367" s="90"/>
      <c r="C367" s="91"/>
      <c r="D367" s="9"/>
      <c r="H367" s="89"/>
      <c r="I367" s="10"/>
      <c r="J367" s="1"/>
      <c r="K367" s="1"/>
      <c r="L367" s="11"/>
      <c r="M367" s="11"/>
    </row>
    <row r="368" spans="1:13" ht="18.600000000000001">
      <c r="A368" s="89"/>
      <c r="B368" s="90"/>
      <c r="C368" s="91"/>
      <c r="D368" s="9"/>
      <c r="H368" s="89"/>
      <c r="I368" s="10"/>
      <c r="J368" s="1"/>
      <c r="K368" s="1"/>
      <c r="L368" s="11"/>
      <c r="M368" s="11"/>
    </row>
    <row r="369" spans="1:13" ht="18.600000000000001">
      <c r="A369" s="89"/>
      <c r="B369" s="90"/>
      <c r="C369" s="91"/>
      <c r="D369" s="9"/>
      <c r="H369" s="89"/>
      <c r="I369" s="10"/>
      <c r="J369" s="1"/>
      <c r="K369" s="1"/>
      <c r="L369" s="11"/>
      <c r="M369" s="11"/>
    </row>
    <row r="370" spans="1:13" ht="18.600000000000001">
      <c r="A370" s="89"/>
      <c r="B370" s="90"/>
      <c r="C370" s="91"/>
      <c r="D370" s="9"/>
      <c r="H370" s="89"/>
      <c r="I370" s="10"/>
      <c r="J370" s="1"/>
      <c r="K370" s="1"/>
      <c r="L370" s="11"/>
      <c r="M370" s="11"/>
    </row>
    <row r="371" spans="1:13" ht="18.600000000000001">
      <c r="A371" s="89"/>
      <c r="B371" s="90"/>
      <c r="C371" s="91"/>
      <c r="D371" s="9"/>
      <c r="H371" s="89"/>
      <c r="I371" s="10"/>
      <c r="J371" s="1"/>
      <c r="K371" s="1"/>
      <c r="L371" s="11"/>
      <c r="M371" s="11"/>
    </row>
    <row r="372" spans="1:13" ht="18.600000000000001">
      <c r="A372" s="89"/>
      <c r="B372" s="90"/>
      <c r="C372" s="91"/>
      <c r="D372" s="9"/>
      <c r="H372" s="89"/>
      <c r="I372" s="10"/>
      <c r="J372" s="1"/>
      <c r="K372" s="1"/>
      <c r="L372" s="11"/>
      <c r="M372" s="11"/>
    </row>
    <row r="373" spans="1:13" ht="18.600000000000001">
      <c r="A373" s="89"/>
      <c r="B373" s="90"/>
      <c r="C373" s="91"/>
      <c r="D373" s="9"/>
      <c r="H373" s="89"/>
      <c r="I373" s="10"/>
      <c r="J373" s="1"/>
      <c r="K373" s="1"/>
      <c r="L373" s="11"/>
      <c r="M373" s="11"/>
    </row>
    <row r="374" spans="1:13" ht="18.600000000000001">
      <c r="A374" s="89"/>
      <c r="B374" s="90"/>
      <c r="C374" s="91"/>
      <c r="D374" s="9"/>
      <c r="H374" s="89"/>
      <c r="I374" s="10"/>
      <c r="J374" s="1"/>
      <c r="K374" s="1"/>
      <c r="L374" s="11"/>
      <c r="M374" s="11"/>
    </row>
    <row r="375" spans="1:13" ht="18.600000000000001">
      <c r="A375" s="89"/>
      <c r="B375" s="90"/>
      <c r="C375" s="91"/>
      <c r="D375" s="9"/>
      <c r="H375" s="89"/>
      <c r="I375" s="10"/>
      <c r="J375" s="1"/>
      <c r="K375" s="1"/>
      <c r="L375" s="11"/>
      <c r="M375" s="11"/>
    </row>
    <row r="376" spans="1:13" ht="18.600000000000001">
      <c r="A376" s="89"/>
      <c r="B376" s="90"/>
      <c r="C376" s="91"/>
      <c r="D376" s="9"/>
      <c r="H376" s="89"/>
      <c r="I376" s="10"/>
      <c r="J376" s="1"/>
      <c r="K376" s="1"/>
      <c r="L376" s="11"/>
      <c r="M376" s="11"/>
    </row>
    <row r="377" spans="1:13" ht="18.600000000000001">
      <c r="A377" s="89"/>
      <c r="B377" s="90"/>
      <c r="C377" s="91"/>
      <c r="D377" s="9"/>
      <c r="H377" s="89"/>
      <c r="I377" s="10"/>
      <c r="J377" s="1"/>
      <c r="K377" s="1"/>
      <c r="L377" s="11"/>
      <c r="M377" s="11"/>
    </row>
    <row r="378" spans="1:13" ht="18.600000000000001">
      <c r="A378" s="89"/>
      <c r="B378" s="90"/>
      <c r="C378" s="91"/>
      <c r="D378" s="9"/>
      <c r="H378" s="89"/>
      <c r="I378" s="10"/>
      <c r="J378" s="1"/>
      <c r="K378" s="1"/>
      <c r="L378" s="11"/>
      <c r="M378" s="11"/>
    </row>
    <row r="379" spans="1:13" ht="18.600000000000001">
      <c r="A379" s="89"/>
      <c r="B379" s="90"/>
      <c r="C379" s="91"/>
      <c r="D379" s="9"/>
      <c r="H379" s="89"/>
      <c r="I379" s="10"/>
      <c r="J379" s="1"/>
      <c r="K379" s="1"/>
      <c r="L379" s="11"/>
      <c r="M379" s="11"/>
    </row>
    <row r="380" spans="1:13" ht="18.600000000000001">
      <c r="A380" s="89"/>
      <c r="B380" s="90"/>
      <c r="C380" s="91"/>
      <c r="D380" s="9"/>
      <c r="H380" s="89"/>
      <c r="I380" s="10"/>
      <c r="J380" s="1"/>
      <c r="K380" s="1"/>
      <c r="L380" s="11"/>
      <c r="M380" s="11"/>
    </row>
    <row r="381" spans="1:13" ht="18.600000000000001">
      <c r="A381" s="89"/>
      <c r="B381" s="90"/>
      <c r="C381" s="91"/>
      <c r="D381" s="9"/>
      <c r="H381" s="89"/>
      <c r="I381" s="10"/>
      <c r="J381" s="1"/>
      <c r="K381" s="1"/>
      <c r="L381" s="11"/>
      <c r="M381" s="11"/>
    </row>
    <row r="382" spans="1:13" ht="18.600000000000001">
      <c r="A382" s="89"/>
      <c r="B382" s="90"/>
      <c r="C382" s="91"/>
      <c r="D382" s="9"/>
      <c r="H382" s="89"/>
      <c r="I382" s="10"/>
      <c r="J382" s="1"/>
      <c r="K382" s="1"/>
      <c r="L382" s="11"/>
      <c r="M382" s="11"/>
    </row>
    <row r="383" spans="1:13" ht="18.600000000000001">
      <c r="A383" s="89"/>
      <c r="B383" s="90"/>
      <c r="C383" s="91"/>
      <c r="D383" s="9"/>
      <c r="H383" s="89"/>
      <c r="I383" s="10"/>
      <c r="J383" s="1"/>
      <c r="K383" s="1"/>
      <c r="L383" s="11"/>
      <c r="M383" s="11"/>
    </row>
    <row r="384" spans="1:13" ht="18.600000000000001">
      <c r="A384" s="89"/>
      <c r="B384" s="90"/>
      <c r="C384" s="91"/>
      <c r="D384" s="9"/>
      <c r="H384" s="89"/>
      <c r="I384" s="10"/>
      <c r="J384" s="1"/>
      <c r="K384" s="1"/>
      <c r="L384" s="11"/>
      <c r="M384" s="11"/>
    </row>
    <row r="385" spans="1:13" ht="18.600000000000001">
      <c r="A385" s="89"/>
      <c r="B385" s="90"/>
      <c r="C385" s="91"/>
      <c r="D385" s="9"/>
      <c r="H385" s="89"/>
      <c r="I385" s="10"/>
      <c r="J385" s="1"/>
      <c r="K385" s="1"/>
      <c r="L385" s="11"/>
      <c r="M385" s="11"/>
    </row>
    <row r="386" spans="1:13" ht="18.600000000000001">
      <c r="A386" s="89"/>
      <c r="B386" s="90"/>
      <c r="C386" s="91"/>
      <c r="D386" s="9"/>
      <c r="H386" s="89"/>
      <c r="I386" s="10"/>
      <c r="J386" s="1"/>
      <c r="K386" s="1"/>
      <c r="L386" s="11"/>
      <c r="M386" s="11"/>
    </row>
    <row r="387" spans="1:13" ht="18.600000000000001">
      <c r="A387" s="89"/>
      <c r="B387" s="90"/>
      <c r="C387" s="91"/>
      <c r="D387" s="9"/>
      <c r="H387" s="89"/>
      <c r="I387" s="10"/>
      <c r="J387" s="1"/>
      <c r="K387" s="1"/>
      <c r="L387" s="11"/>
      <c r="M387" s="11"/>
    </row>
    <row r="388" spans="1:13" ht="18.600000000000001">
      <c r="A388" s="89"/>
      <c r="B388" s="90"/>
      <c r="C388" s="91"/>
      <c r="D388" s="9"/>
      <c r="H388" s="89"/>
      <c r="I388" s="10"/>
      <c r="J388" s="1"/>
      <c r="K388" s="1"/>
      <c r="L388" s="11"/>
      <c r="M388" s="11"/>
    </row>
    <row r="389" spans="1:13" ht="18.600000000000001">
      <c r="A389" s="89"/>
      <c r="B389" s="90"/>
      <c r="C389" s="91"/>
      <c r="D389" s="9"/>
      <c r="H389" s="89"/>
      <c r="I389" s="10"/>
      <c r="J389" s="1"/>
      <c r="K389" s="1"/>
      <c r="L389" s="11"/>
      <c r="M389" s="11"/>
    </row>
    <row r="390" spans="1:13" ht="18.600000000000001">
      <c r="A390" s="89"/>
      <c r="B390" s="90"/>
      <c r="C390" s="91"/>
      <c r="D390" s="9"/>
      <c r="H390" s="89"/>
      <c r="I390" s="10"/>
      <c r="J390" s="1"/>
      <c r="K390" s="1"/>
      <c r="L390" s="11"/>
      <c r="M390" s="11"/>
    </row>
    <row r="391" spans="1:13" ht="18.600000000000001">
      <c r="A391" s="89"/>
      <c r="B391" s="90"/>
      <c r="C391" s="91"/>
      <c r="D391" s="9"/>
      <c r="H391" s="89"/>
      <c r="I391" s="10"/>
      <c r="J391" s="1"/>
      <c r="K391" s="1"/>
      <c r="L391" s="11"/>
      <c r="M391" s="11"/>
    </row>
    <row r="392" spans="1:13" ht="18.600000000000001">
      <c r="A392" s="89"/>
      <c r="B392" s="90"/>
      <c r="C392" s="91"/>
      <c r="D392" s="9"/>
      <c r="H392" s="89"/>
      <c r="I392" s="10"/>
      <c r="J392" s="1"/>
      <c r="K392" s="1"/>
      <c r="L392" s="11"/>
      <c r="M392" s="11"/>
    </row>
    <row r="393" spans="1:13" ht="18.600000000000001">
      <c r="A393" s="89"/>
      <c r="B393" s="90"/>
      <c r="C393" s="91"/>
      <c r="D393" s="9"/>
      <c r="H393" s="89"/>
      <c r="I393" s="10"/>
      <c r="J393" s="1"/>
      <c r="K393" s="1"/>
      <c r="L393" s="11"/>
      <c r="M393" s="11"/>
    </row>
    <row r="394" spans="1:13" ht="18.600000000000001">
      <c r="A394" s="89"/>
      <c r="B394" s="90"/>
      <c r="C394" s="91"/>
      <c r="D394" s="9"/>
      <c r="H394" s="89"/>
      <c r="I394" s="10"/>
      <c r="J394" s="1"/>
      <c r="K394" s="1"/>
      <c r="L394" s="11"/>
      <c r="M394" s="11"/>
    </row>
    <row r="395" spans="1:13" ht="18.600000000000001">
      <c r="A395" s="89"/>
      <c r="B395" s="90"/>
      <c r="C395" s="91"/>
      <c r="D395" s="9"/>
      <c r="H395" s="89"/>
      <c r="I395" s="10"/>
      <c r="J395" s="1"/>
      <c r="K395" s="1"/>
      <c r="L395" s="11"/>
      <c r="M395" s="11"/>
    </row>
    <row r="396" spans="1:13" ht="18.600000000000001">
      <c r="A396" s="89"/>
      <c r="B396" s="90"/>
      <c r="C396" s="91"/>
      <c r="D396" s="9"/>
      <c r="H396" s="89"/>
      <c r="I396" s="10"/>
      <c r="J396" s="1"/>
      <c r="K396" s="1"/>
      <c r="L396" s="11"/>
      <c r="M396" s="11"/>
    </row>
    <row r="397" spans="1:13" ht="18.600000000000001">
      <c r="A397" s="89"/>
      <c r="B397" s="90"/>
      <c r="C397" s="91"/>
      <c r="D397" s="9"/>
      <c r="H397" s="89"/>
      <c r="I397" s="10"/>
      <c r="J397" s="1"/>
      <c r="K397" s="1"/>
      <c r="L397" s="11"/>
      <c r="M397" s="11"/>
    </row>
    <row r="398" spans="1:13" ht="18.600000000000001">
      <c r="A398" s="89"/>
      <c r="B398" s="90"/>
      <c r="C398" s="91"/>
      <c r="D398" s="9"/>
      <c r="H398" s="89"/>
      <c r="I398" s="10"/>
      <c r="J398" s="1"/>
      <c r="K398" s="1"/>
      <c r="L398" s="11"/>
      <c r="M398" s="11"/>
    </row>
    <row r="399" spans="1:13" ht="18.600000000000001">
      <c r="A399" s="89"/>
      <c r="B399" s="90"/>
      <c r="C399" s="91"/>
      <c r="D399" s="9"/>
      <c r="H399" s="89"/>
      <c r="I399" s="10"/>
      <c r="J399" s="1"/>
      <c r="K399" s="1"/>
      <c r="L399" s="11"/>
      <c r="M399" s="11"/>
    </row>
    <row r="400" spans="1:13" ht="18.600000000000001">
      <c r="A400" s="89"/>
      <c r="B400" s="90"/>
      <c r="C400" s="91"/>
      <c r="D400" s="9"/>
      <c r="H400" s="89"/>
      <c r="I400" s="10"/>
      <c r="J400" s="1"/>
      <c r="K400" s="1"/>
      <c r="L400" s="11"/>
      <c r="M400" s="11"/>
    </row>
    <row r="401" spans="1:13" ht="18.600000000000001">
      <c r="A401" s="89"/>
      <c r="B401" s="90"/>
      <c r="C401" s="91"/>
      <c r="D401" s="9"/>
      <c r="H401" s="89"/>
      <c r="I401" s="10"/>
      <c r="J401" s="1"/>
      <c r="K401" s="1"/>
      <c r="L401" s="11"/>
      <c r="M401" s="11"/>
    </row>
    <row r="402" spans="1:13" ht="18.600000000000001">
      <c r="A402" s="89"/>
      <c r="B402" s="90"/>
      <c r="C402" s="91"/>
      <c r="D402" s="9"/>
      <c r="H402" s="89"/>
      <c r="I402" s="10"/>
      <c r="J402" s="1"/>
      <c r="K402" s="1"/>
      <c r="L402" s="11"/>
      <c r="M402" s="11"/>
    </row>
    <row r="403" spans="1:13" ht="18.600000000000001">
      <c r="A403" s="89"/>
      <c r="B403" s="90"/>
      <c r="C403" s="91"/>
      <c r="D403" s="9"/>
      <c r="H403" s="89"/>
      <c r="I403" s="10"/>
      <c r="J403" s="1"/>
      <c r="K403" s="1"/>
      <c r="L403" s="11"/>
      <c r="M403" s="11"/>
    </row>
    <row r="404" spans="1:13" ht="18.600000000000001">
      <c r="A404" s="89"/>
      <c r="B404" s="90"/>
      <c r="C404" s="91"/>
      <c r="D404" s="9"/>
      <c r="H404" s="89"/>
      <c r="I404" s="10"/>
      <c r="J404" s="1"/>
      <c r="K404" s="1"/>
      <c r="L404" s="11"/>
      <c r="M404" s="11"/>
    </row>
    <row r="405" spans="1:13" ht="18.600000000000001">
      <c r="A405" s="89"/>
      <c r="B405" s="90"/>
      <c r="C405" s="91"/>
      <c r="D405" s="9"/>
      <c r="H405" s="89"/>
      <c r="I405" s="10"/>
      <c r="J405" s="1"/>
      <c r="K405" s="1"/>
      <c r="L405" s="11"/>
      <c r="M405" s="11"/>
    </row>
    <row r="406" spans="1:13" ht="18.600000000000001">
      <c r="A406" s="89"/>
      <c r="B406" s="90"/>
      <c r="C406" s="91"/>
      <c r="D406" s="9"/>
      <c r="H406" s="89"/>
      <c r="I406" s="10"/>
      <c r="J406" s="1"/>
      <c r="K406" s="1"/>
      <c r="L406" s="11"/>
      <c r="M406" s="11"/>
    </row>
    <row r="407" spans="1:13" ht="18.600000000000001">
      <c r="A407" s="89"/>
      <c r="B407" s="90"/>
      <c r="C407" s="91"/>
      <c r="D407" s="9"/>
      <c r="H407" s="89"/>
      <c r="I407" s="10"/>
      <c r="J407" s="1"/>
      <c r="K407" s="1"/>
      <c r="L407" s="11"/>
      <c r="M407" s="11"/>
    </row>
    <row r="408" spans="1:13" ht="18.600000000000001">
      <c r="A408" s="89"/>
      <c r="B408" s="90"/>
      <c r="C408" s="91"/>
      <c r="D408" s="9"/>
      <c r="H408" s="89"/>
      <c r="I408" s="10"/>
      <c r="J408" s="1"/>
      <c r="K408" s="1"/>
      <c r="L408" s="11"/>
      <c r="M408" s="11"/>
    </row>
    <row r="409" spans="1:13" ht="18.600000000000001">
      <c r="A409" s="89"/>
      <c r="B409" s="90"/>
      <c r="C409" s="91"/>
      <c r="D409" s="9"/>
      <c r="H409" s="89"/>
      <c r="I409" s="10"/>
      <c r="J409" s="1"/>
      <c r="K409" s="1"/>
      <c r="L409" s="11"/>
      <c r="M409" s="11"/>
    </row>
    <row r="410" spans="1:13" ht="18.600000000000001">
      <c r="A410" s="89"/>
      <c r="B410" s="90"/>
      <c r="C410" s="91"/>
      <c r="D410" s="9"/>
      <c r="H410" s="89"/>
      <c r="I410" s="10"/>
      <c r="J410" s="1"/>
      <c r="K410" s="1"/>
      <c r="L410" s="11"/>
      <c r="M410" s="11"/>
    </row>
    <row r="411" spans="1:13" ht="18.600000000000001">
      <c r="A411" s="89"/>
      <c r="B411" s="90"/>
      <c r="C411" s="91"/>
      <c r="D411" s="9"/>
      <c r="H411" s="89"/>
      <c r="I411" s="10"/>
      <c r="J411" s="1"/>
      <c r="K411" s="1"/>
      <c r="L411" s="11"/>
      <c r="M411" s="11"/>
    </row>
    <row r="412" spans="1:13" ht="18.600000000000001">
      <c r="A412" s="89"/>
      <c r="B412" s="90"/>
      <c r="C412" s="91"/>
      <c r="D412" s="9"/>
      <c r="H412" s="89"/>
      <c r="I412" s="10"/>
      <c r="J412" s="1"/>
      <c r="K412" s="1"/>
      <c r="L412" s="11"/>
      <c r="M412" s="11"/>
    </row>
    <row r="413" spans="1:13" ht="18.600000000000001">
      <c r="A413" s="89"/>
      <c r="B413" s="90"/>
      <c r="C413" s="91"/>
      <c r="D413" s="9"/>
      <c r="H413" s="89"/>
      <c r="I413" s="10"/>
      <c r="J413" s="1"/>
      <c r="K413" s="1"/>
      <c r="L413" s="11"/>
      <c r="M413" s="11"/>
    </row>
    <row r="414" spans="1:13" ht="18.600000000000001">
      <c r="A414" s="89"/>
      <c r="B414" s="90"/>
      <c r="C414" s="91"/>
      <c r="D414" s="9"/>
      <c r="H414" s="89"/>
      <c r="I414" s="10"/>
      <c r="J414" s="1"/>
      <c r="K414" s="1"/>
      <c r="L414" s="11"/>
      <c r="M414" s="11"/>
    </row>
    <row r="415" spans="1:13" ht="18.600000000000001">
      <c r="A415" s="89"/>
      <c r="B415" s="90"/>
      <c r="C415" s="91"/>
      <c r="D415" s="9"/>
      <c r="H415" s="89"/>
      <c r="I415" s="10"/>
      <c r="J415" s="1"/>
      <c r="K415" s="1"/>
      <c r="L415" s="11"/>
      <c r="M415" s="11"/>
    </row>
    <row r="416" spans="1:13" ht="18.600000000000001">
      <c r="A416" s="89"/>
      <c r="B416" s="90"/>
      <c r="C416" s="91"/>
      <c r="D416" s="9"/>
      <c r="H416" s="89"/>
      <c r="I416" s="10"/>
      <c r="J416" s="1"/>
      <c r="K416" s="1"/>
      <c r="L416" s="11"/>
      <c r="M416" s="11"/>
    </row>
    <row r="417" spans="1:13" ht="18.600000000000001">
      <c r="A417" s="89"/>
      <c r="B417" s="90"/>
      <c r="C417" s="91"/>
      <c r="D417" s="9"/>
      <c r="H417" s="89"/>
      <c r="I417" s="10"/>
      <c r="J417" s="1"/>
      <c r="K417" s="1"/>
      <c r="L417" s="11"/>
      <c r="M417" s="11"/>
    </row>
    <row r="418" spans="1:13" ht="18.600000000000001">
      <c r="A418" s="89"/>
      <c r="B418" s="90"/>
      <c r="C418" s="91"/>
      <c r="D418" s="9"/>
      <c r="H418" s="89"/>
      <c r="I418" s="10"/>
      <c r="J418" s="1"/>
      <c r="K418" s="1"/>
      <c r="L418" s="11"/>
      <c r="M418" s="11"/>
    </row>
    <row r="419" spans="1:13" ht="18.600000000000001">
      <c r="A419" s="89"/>
      <c r="B419" s="90"/>
      <c r="C419" s="91"/>
      <c r="D419" s="9"/>
      <c r="H419" s="89"/>
      <c r="I419" s="10"/>
      <c r="J419" s="1"/>
      <c r="K419" s="1"/>
      <c r="L419" s="11"/>
      <c r="M419" s="11"/>
    </row>
    <row r="420" spans="1:13" ht="18.600000000000001">
      <c r="A420" s="89"/>
      <c r="B420" s="90"/>
      <c r="C420" s="91"/>
      <c r="D420" s="9"/>
      <c r="H420" s="89"/>
      <c r="I420" s="10"/>
      <c r="J420" s="1"/>
      <c r="K420" s="1"/>
      <c r="L420" s="11"/>
      <c r="M420" s="11"/>
    </row>
    <row r="421" spans="1:13" ht="18.600000000000001">
      <c r="A421" s="89"/>
      <c r="B421" s="90"/>
      <c r="C421" s="91"/>
      <c r="D421" s="9"/>
      <c r="H421" s="89"/>
      <c r="I421" s="10"/>
      <c r="J421" s="1"/>
      <c r="K421" s="1"/>
      <c r="L421" s="11"/>
      <c r="M421" s="11"/>
    </row>
    <row r="422" spans="1:13" ht="18.600000000000001">
      <c r="A422" s="89"/>
      <c r="B422" s="90"/>
      <c r="C422" s="91"/>
      <c r="D422" s="9"/>
      <c r="H422" s="89"/>
      <c r="I422" s="10"/>
      <c r="J422" s="1"/>
      <c r="K422" s="1"/>
      <c r="L422" s="11"/>
      <c r="M422" s="11"/>
    </row>
    <row r="423" spans="1:13" ht="18.600000000000001">
      <c r="A423" s="89"/>
      <c r="B423" s="90"/>
      <c r="C423" s="91"/>
      <c r="D423" s="9"/>
      <c r="H423" s="89"/>
      <c r="I423" s="10"/>
      <c r="J423" s="1"/>
      <c r="K423" s="1"/>
      <c r="L423" s="11"/>
      <c r="M423" s="11"/>
    </row>
    <row r="424" spans="1:13" ht="18.600000000000001">
      <c r="A424" s="89"/>
      <c r="B424" s="90"/>
      <c r="C424" s="91"/>
      <c r="D424" s="9"/>
      <c r="H424" s="89"/>
      <c r="I424" s="10"/>
      <c r="J424" s="1"/>
      <c r="K424" s="1"/>
      <c r="L424" s="11"/>
      <c r="M424" s="11"/>
    </row>
    <row r="425" spans="1:13" ht="18.600000000000001">
      <c r="A425" s="89"/>
      <c r="B425" s="90"/>
      <c r="C425" s="91"/>
      <c r="D425" s="9"/>
      <c r="H425" s="89"/>
      <c r="I425" s="10"/>
      <c r="J425" s="1"/>
      <c r="K425" s="1"/>
      <c r="L425" s="11"/>
      <c r="M425" s="11"/>
    </row>
    <row r="426" spans="1:13" ht="18.600000000000001">
      <c r="A426" s="89"/>
      <c r="B426" s="90"/>
      <c r="C426" s="91"/>
      <c r="D426" s="9"/>
      <c r="H426" s="89"/>
      <c r="I426" s="10"/>
      <c r="J426" s="1"/>
      <c r="K426" s="1"/>
      <c r="L426" s="11"/>
      <c r="M426" s="11"/>
    </row>
    <row r="427" spans="1:13" ht="18.600000000000001">
      <c r="A427" s="89"/>
      <c r="B427" s="90"/>
      <c r="C427" s="91"/>
      <c r="D427" s="9"/>
      <c r="H427" s="89"/>
      <c r="I427" s="10"/>
      <c r="J427" s="1"/>
      <c r="K427" s="1"/>
      <c r="L427" s="11"/>
      <c r="M427" s="11"/>
    </row>
    <row r="428" spans="1:13" ht="18.600000000000001">
      <c r="A428" s="89"/>
      <c r="B428" s="90"/>
      <c r="C428" s="91"/>
      <c r="D428" s="9"/>
      <c r="H428" s="89"/>
      <c r="I428" s="10"/>
      <c r="J428" s="1"/>
      <c r="K428" s="1"/>
      <c r="L428" s="11"/>
      <c r="M428" s="11"/>
    </row>
    <row r="429" spans="1:13" ht="18.600000000000001">
      <c r="A429" s="89"/>
      <c r="B429" s="90"/>
      <c r="C429" s="91"/>
      <c r="D429" s="9"/>
      <c r="H429" s="89"/>
      <c r="I429" s="10"/>
      <c r="J429" s="1"/>
      <c r="K429" s="1"/>
      <c r="L429" s="11"/>
      <c r="M429" s="11"/>
    </row>
    <row r="430" spans="1:13" ht="18.600000000000001">
      <c r="A430" s="89"/>
      <c r="B430" s="90"/>
      <c r="C430" s="91"/>
      <c r="D430" s="9"/>
      <c r="H430" s="89"/>
      <c r="I430" s="10"/>
      <c r="J430" s="1"/>
      <c r="K430" s="1"/>
      <c r="L430" s="11"/>
      <c r="M430" s="11"/>
    </row>
    <row r="431" spans="1:13" ht="18.600000000000001">
      <c r="A431" s="89"/>
      <c r="B431" s="90"/>
      <c r="C431" s="91"/>
      <c r="D431" s="9"/>
      <c r="H431" s="89"/>
      <c r="I431" s="10"/>
      <c r="J431" s="1"/>
      <c r="K431" s="1"/>
      <c r="L431" s="11"/>
      <c r="M431" s="11"/>
    </row>
    <row r="432" spans="1:13" ht="18.600000000000001">
      <c r="A432" s="89"/>
      <c r="B432" s="90"/>
      <c r="C432" s="91"/>
      <c r="D432" s="9"/>
      <c r="H432" s="89"/>
      <c r="I432" s="10"/>
      <c r="J432" s="1"/>
      <c r="K432" s="1"/>
      <c r="L432" s="11"/>
      <c r="M432" s="11"/>
    </row>
    <row r="433" spans="1:13" ht="18.600000000000001">
      <c r="A433" s="89"/>
      <c r="B433" s="90"/>
      <c r="C433" s="91"/>
      <c r="D433" s="9"/>
      <c r="H433" s="89"/>
      <c r="I433" s="10"/>
      <c r="J433" s="1"/>
      <c r="K433" s="1"/>
      <c r="L433" s="11"/>
      <c r="M433" s="11"/>
    </row>
    <row r="434" spans="1:13" ht="18.600000000000001">
      <c r="A434" s="89"/>
      <c r="B434" s="90"/>
      <c r="C434" s="91"/>
      <c r="D434" s="9"/>
      <c r="H434" s="89"/>
      <c r="I434" s="10"/>
      <c r="J434" s="1"/>
      <c r="K434" s="1"/>
      <c r="L434" s="11"/>
      <c r="M434" s="11"/>
    </row>
    <row r="435" spans="1:13" ht="18.600000000000001">
      <c r="A435" s="89"/>
      <c r="B435" s="90"/>
      <c r="C435" s="91"/>
      <c r="D435" s="9"/>
      <c r="H435" s="89"/>
      <c r="I435" s="10"/>
      <c r="J435" s="1"/>
      <c r="K435" s="1"/>
      <c r="L435" s="11"/>
      <c r="M435" s="11"/>
    </row>
    <row r="436" spans="1:13" ht="18.600000000000001">
      <c r="A436" s="89"/>
      <c r="B436" s="90"/>
      <c r="C436" s="91"/>
      <c r="D436" s="9"/>
      <c r="H436" s="89"/>
      <c r="I436" s="10"/>
      <c r="J436" s="1"/>
      <c r="K436" s="1"/>
      <c r="L436" s="11"/>
      <c r="M436" s="11"/>
    </row>
    <row r="437" spans="1:13" ht="18.600000000000001">
      <c r="A437" s="89"/>
      <c r="B437" s="90"/>
      <c r="C437" s="91"/>
      <c r="D437" s="9"/>
      <c r="H437" s="89"/>
      <c r="I437" s="10"/>
      <c r="J437" s="1"/>
      <c r="K437" s="1"/>
      <c r="L437" s="11"/>
      <c r="M437" s="11"/>
    </row>
    <row r="438" spans="1:13" ht="18.600000000000001">
      <c r="A438" s="89"/>
      <c r="B438" s="90"/>
      <c r="C438" s="91"/>
      <c r="D438" s="9"/>
      <c r="H438" s="89"/>
      <c r="I438" s="10"/>
      <c r="J438" s="1"/>
      <c r="K438" s="1"/>
      <c r="L438" s="11"/>
      <c r="M438" s="11"/>
    </row>
    <row r="439" spans="1:13" ht="18.600000000000001">
      <c r="A439" s="89"/>
      <c r="B439" s="90"/>
      <c r="C439" s="91"/>
      <c r="D439" s="9"/>
      <c r="H439" s="89"/>
      <c r="I439" s="10"/>
      <c r="J439" s="1"/>
      <c r="K439" s="1"/>
      <c r="L439" s="11"/>
      <c r="M439" s="11"/>
    </row>
    <row r="440" spans="1:13" ht="18.600000000000001">
      <c r="A440" s="89"/>
      <c r="B440" s="90"/>
      <c r="C440" s="91"/>
      <c r="D440" s="9"/>
      <c r="H440" s="89"/>
      <c r="I440" s="10"/>
      <c r="J440" s="1"/>
      <c r="K440" s="1"/>
      <c r="L440" s="11"/>
      <c r="M440" s="11"/>
    </row>
    <row r="441" spans="1:13" ht="18.600000000000001">
      <c r="A441" s="89"/>
      <c r="B441" s="90"/>
      <c r="C441" s="91"/>
      <c r="D441" s="9"/>
      <c r="H441" s="89"/>
      <c r="I441" s="10"/>
      <c r="J441" s="1"/>
      <c r="K441" s="1"/>
      <c r="L441" s="11"/>
      <c r="M441" s="11"/>
    </row>
    <row r="442" spans="1:13" ht="18.600000000000001">
      <c r="A442" s="89"/>
      <c r="B442" s="90"/>
      <c r="C442" s="91"/>
      <c r="D442" s="9"/>
      <c r="H442" s="89"/>
      <c r="I442" s="10"/>
      <c r="J442" s="1"/>
      <c r="K442" s="1"/>
      <c r="L442" s="11"/>
      <c r="M442" s="11"/>
    </row>
    <row r="443" spans="1:13" ht="18.600000000000001">
      <c r="A443" s="89"/>
      <c r="B443" s="90"/>
      <c r="C443" s="91"/>
      <c r="D443" s="9"/>
      <c r="H443" s="89"/>
      <c r="I443" s="10"/>
      <c r="J443" s="1"/>
      <c r="K443" s="1"/>
      <c r="L443" s="11"/>
      <c r="M443" s="11"/>
    </row>
    <row r="444" spans="1:13" ht="18.600000000000001">
      <c r="A444" s="89"/>
      <c r="B444" s="90"/>
      <c r="C444" s="91"/>
      <c r="D444" s="9"/>
      <c r="H444" s="89"/>
      <c r="I444" s="10"/>
      <c r="J444" s="1"/>
      <c r="K444" s="1"/>
      <c r="L444" s="11"/>
      <c r="M444" s="11"/>
    </row>
    <row r="445" spans="1:13" ht="18.600000000000001">
      <c r="A445" s="89"/>
      <c r="B445" s="90"/>
      <c r="C445" s="91"/>
      <c r="D445" s="9"/>
      <c r="H445" s="89"/>
      <c r="I445" s="10"/>
      <c r="J445" s="1"/>
      <c r="K445" s="1"/>
      <c r="L445" s="11"/>
      <c r="M445" s="11"/>
    </row>
    <row r="446" spans="1:13" ht="18.600000000000001">
      <c r="A446" s="89"/>
      <c r="B446" s="90"/>
      <c r="C446" s="91"/>
      <c r="D446" s="9"/>
      <c r="H446" s="89"/>
      <c r="I446" s="10"/>
      <c r="J446" s="1"/>
      <c r="K446" s="1"/>
      <c r="L446" s="11"/>
      <c r="M446" s="11"/>
    </row>
    <row r="447" spans="1:13" ht="18.600000000000001">
      <c r="A447" s="89"/>
      <c r="B447" s="90"/>
      <c r="C447" s="91"/>
      <c r="D447" s="9"/>
      <c r="H447" s="89"/>
      <c r="I447" s="10"/>
      <c r="J447" s="1"/>
      <c r="K447" s="1"/>
      <c r="L447" s="11"/>
      <c r="M447" s="11"/>
    </row>
    <row r="448" spans="1:13" ht="18.600000000000001">
      <c r="A448" s="89"/>
      <c r="B448" s="90"/>
      <c r="C448" s="91"/>
      <c r="D448" s="9"/>
      <c r="H448" s="89"/>
      <c r="I448" s="10"/>
      <c r="J448" s="1"/>
      <c r="K448" s="1"/>
      <c r="L448" s="11"/>
      <c r="M448" s="11"/>
    </row>
    <row r="449" spans="1:13" ht="18.600000000000001">
      <c r="A449" s="89"/>
      <c r="B449" s="90"/>
      <c r="C449" s="91"/>
      <c r="D449" s="9"/>
      <c r="H449" s="89"/>
      <c r="I449" s="10"/>
      <c r="J449" s="1"/>
      <c r="K449" s="1"/>
      <c r="L449" s="11"/>
      <c r="M449" s="11"/>
    </row>
    <row r="450" spans="1:13" ht="18.600000000000001">
      <c r="A450" s="89"/>
      <c r="B450" s="90"/>
      <c r="C450" s="91"/>
      <c r="D450" s="9"/>
      <c r="H450" s="89"/>
      <c r="I450" s="10"/>
      <c r="J450" s="1"/>
      <c r="K450" s="1"/>
      <c r="L450" s="11"/>
      <c r="M450" s="11"/>
    </row>
    <row r="451" spans="1:13" ht="18.600000000000001">
      <c r="A451" s="89"/>
      <c r="B451" s="90"/>
      <c r="C451" s="91"/>
      <c r="D451" s="9"/>
      <c r="H451" s="89"/>
      <c r="I451" s="10"/>
      <c r="J451" s="1"/>
      <c r="K451" s="1"/>
      <c r="L451" s="11"/>
      <c r="M451" s="11"/>
    </row>
    <row r="452" spans="1:13" ht="18.600000000000001">
      <c r="A452" s="89"/>
      <c r="B452" s="90"/>
      <c r="C452" s="91"/>
      <c r="D452" s="9"/>
      <c r="H452" s="89"/>
      <c r="I452" s="10"/>
      <c r="J452" s="1"/>
      <c r="K452" s="1"/>
      <c r="L452" s="11"/>
      <c r="M452" s="11"/>
    </row>
    <row r="453" spans="1:13" ht="18.600000000000001">
      <c r="A453" s="89"/>
      <c r="B453" s="90"/>
      <c r="C453" s="91"/>
      <c r="D453" s="9"/>
      <c r="H453" s="89"/>
      <c r="I453" s="10"/>
      <c r="J453" s="1"/>
      <c r="K453" s="1"/>
      <c r="L453" s="11"/>
      <c r="M453" s="11"/>
    </row>
    <row r="454" spans="1:13" ht="18.600000000000001">
      <c r="A454" s="89"/>
      <c r="B454" s="90"/>
      <c r="C454" s="91"/>
      <c r="D454" s="9"/>
      <c r="H454" s="89"/>
      <c r="I454" s="10"/>
      <c r="J454" s="1"/>
      <c r="K454" s="1"/>
      <c r="L454" s="11"/>
      <c r="M454" s="11"/>
    </row>
    <row r="455" spans="1:13" ht="18.600000000000001">
      <c r="A455" s="89"/>
      <c r="B455" s="90"/>
      <c r="C455" s="91"/>
      <c r="D455" s="9"/>
      <c r="H455" s="89"/>
      <c r="I455" s="10"/>
      <c r="J455" s="1"/>
      <c r="K455" s="1"/>
      <c r="L455" s="11"/>
      <c r="M455" s="11"/>
    </row>
    <row r="456" spans="1:13" ht="18.600000000000001">
      <c r="A456" s="89"/>
      <c r="B456" s="90"/>
      <c r="C456" s="91"/>
      <c r="D456" s="9"/>
      <c r="H456" s="89"/>
      <c r="I456" s="10"/>
      <c r="J456" s="1"/>
      <c r="K456" s="1"/>
      <c r="L456" s="11"/>
      <c r="M456" s="11"/>
    </row>
    <row r="457" spans="1:13" ht="18.600000000000001">
      <c r="A457" s="89"/>
      <c r="B457" s="90"/>
      <c r="C457" s="91"/>
      <c r="D457" s="9"/>
      <c r="H457" s="89"/>
      <c r="I457" s="10"/>
      <c r="J457" s="1"/>
      <c r="K457" s="1"/>
      <c r="L457" s="11"/>
      <c r="M457" s="11"/>
    </row>
    <row r="458" spans="1:13" ht="18.600000000000001">
      <c r="A458" s="89"/>
      <c r="B458" s="90"/>
      <c r="C458" s="91"/>
      <c r="D458" s="9"/>
      <c r="H458" s="89"/>
      <c r="I458" s="10"/>
      <c r="J458" s="1"/>
      <c r="K458" s="1"/>
      <c r="L458" s="11"/>
      <c r="M458" s="11"/>
    </row>
    <row r="459" spans="1:13" ht="18.600000000000001">
      <c r="A459" s="89"/>
      <c r="B459" s="90"/>
      <c r="C459" s="91"/>
      <c r="D459" s="9"/>
      <c r="H459" s="89"/>
      <c r="I459" s="10"/>
      <c r="J459" s="1"/>
      <c r="K459" s="1"/>
      <c r="L459" s="11"/>
      <c r="M459" s="11"/>
    </row>
    <row r="460" spans="1:13" ht="18.600000000000001">
      <c r="A460" s="89"/>
      <c r="B460" s="90"/>
      <c r="C460" s="91"/>
      <c r="D460" s="9"/>
      <c r="H460" s="89"/>
      <c r="I460" s="10"/>
      <c r="J460" s="1"/>
      <c r="K460" s="1"/>
      <c r="L460" s="11"/>
      <c r="M460" s="11"/>
    </row>
    <row r="461" spans="1:13" ht="18.600000000000001">
      <c r="A461" s="89"/>
      <c r="B461" s="90"/>
      <c r="C461" s="91"/>
      <c r="D461" s="9"/>
      <c r="H461" s="89"/>
      <c r="I461" s="10"/>
      <c r="J461" s="1"/>
      <c r="K461" s="1"/>
      <c r="L461" s="11"/>
      <c r="M461" s="11"/>
    </row>
    <row r="462" spans="1:13" ht="18.600000000000001">
      <c r="A462" s="89"/>
      <c r="B462" s="90"/>
      <c r="C462" s="91"/>
      <c r="D462" s="9"/>
      <c r="H462" s="89"/>
      <c r="I462" s="10"/>
      <c r="J462" s="1"/>
      <c r="K462" s="1"/>
      <c r="L462" s="11"/>
      <c r="M462" s="11"/>
    </row>
    <row r="463" spans="1:13" ht="18.600000000000001">
      <c r="A463" s="89"/>
      <c r="B463" s="90"/>
      <c r="C463" s="91"/>
      <c r="D463" s="9"/>
      <c r="H463" s="89"/>
      <c r="I463" s="10"/>
      <c r="J463" s="1"/>
      <c r="K463" s="1"/>
      <c r="L463" s="11"/>
      <c r="M463" s="11"/>
    </row>
    <row r="464" spans="1:13" ht="18.600000000000001">
      <c r="A464" s="89"/>
      <c r="B464" s="90"/>
      <c r="C464" s="91"/>
      <c r="D464" s="9"/>
      <c r="H464" s="89"/>
      <c r="I464" s="10"/>
      <c r="J464" s="1"/>
      <c r="K464" s="1"/>
      <c r="L464" s="11"/>
      <c r="M464" s="11"/>
    </row>
    <row r="465" spans="1:13" ht="18.600000000000001">
      <c r="A465" s="89"/>
      <c r="B465" s="90"/>
      <c r="C465" s="91"/>
      <c r="D465" s="9"/>
      <c r="H465" s="89"/>
      <c r="I465" s="10"/>
      <c r="J465" s="1"/>
      <c r="K465" s="1"/>
      <c r="L465" s="11"/>
      <c r="M465" s="11"/>
    </row>
    <row r="466" spans="1:13" ht="18.600000000000001">
      <c r="A466" s="89"/>
      <c r="B466" s="90"/>
      <c r="C466" s="91"/>
      <c r="D466" s="9"/>
      <c r="H466" s="89"/>
      <c r="I466" s="10"/>
      <c r="J466" s="1"/>
      <c r="K466" s="1"/>
      <c r="L466" s="11"/>
      <c r="M466" s="11"/>
    </row>
    <row r="467" spans="1:13" ht="18.600000000000001">
      <c r="A467" s="89"/>
      <c r="B467" s="90"/>
      <c r="C467" s="91"/>
      <c r="D467" s="9"/>
      <c r="H467" s="89"/>
      <c r="I467" s="10"/>
      <c r="J467" s="1"/>
      <c r="K467" s="1"/>
      <c r="L467" s="11"/>
      <c r="M467" s="11"/>
    </row>
    <row r="468" spans="1:13" ht="18.600000000000001">
      <c r="A468" s="89"/>
      <c r="B468" s="90"/>
      <c r="C468" s="91"/>
      <c r="D468" s="9"/>
      <c r="H468" s="89"/>
      <c r="I468" s="10"/>
      <c r="J468" s="1"/>
      <c r="K468" s="1"/>
      <c r="L468" s="11"/>
      <c r="M468" s="11"/>
    </row>
    <row r="469" spans="1:13" ht="18.600000000000001">
      <c r="A469" s="89"/>
      <c r="B469" s="90"/>
      <c r="C469" s="91"/>
      <c r="D469" s="9"/>
      <c r="H469" s="89"/>
      <c r="I469" s="10"/>
      <c r="J469" s="1"/>
      <c r="K469" s="1"/>
      <c r="L469" s="11"/>
      <c r="M469" s="11"/>
    </row>
    <row r="470" spans="1:13" ht="18.600000000000001">
      <c r="A470" s="89"/>
      <c r="B470" s="90"/>
      <c r="C470" s="91"/>
      <c r="D470" s="9"/>
      <c r="H470" s="89"/>
      <c r="I470" s="10"/>
      <c r="J470" s="1"/>
      <c r="K470" s="1"/>
      <c r="L470" s="11"/>
      <c r="M470" s="11"/>
    </row>
    <row r="471" spans="1:13" ht="18.600000000000001">
      <c r="A471" s="89"/>
      <c r="B471" s="90"/>
      <c r="C471" s="91"/>
      <c r="D471" s="9"/>
      <c r="H471" s="89"/>
      <c r="I471" s="10"/>
      <c r="J471" s="1"/>
      <c r="K471" s="1"/>
      <c r="L471" s="11"/>
      <c r="M471" s="11"/>
    </row>
    <row r="472" spans="1:13" ht="18.600000000000001">
      <c r="A472" s="89"/>
      <c r="B472" s="90"/>
      <c r="C472" s="91"/>
      <c r="D472" s="9"/>
      <c r="H472" s="89"/>
      <c r="I472" s="10"/>
      <c r="J472" s="1"/>
      <c r="K472" s="1"/>
      <c r="L472" s="11"/>
      <c r="M472" s="11"/>
    </row>
    <row r="473" spans="1:13" ht="18.600000000000001">
      <c r="A473" s="89"/>
      <c r="B473" s="90"/>
      <c r="C473" s="91"/>
      <c r="D473" s="9"/>
      <c r="H473" s="89"/>
      <c r="I473" s="10"/>
      <c r="J473" s="1"/>
      <c r="K473" s="1"/>
      <c r="L473" s="11"/>
      <c r="M473" s="11"/>
    </row>
    <row r="474" spans="1:13" ht="18.600000000000001">
      <c r="A474" s="89"/>
      <c r="B474" s="90"/>
      <c r="C474" s="91"/>
      <c r="D474" s="9"/>
      <c r="H474" s="89"/>
      <c r="I474" s="10"/>
      <c r="J474" s="1"/>
      <c r="K474" s="1"/>
      <c r="L474" s="11"/>
      <c r="M474" s="11"/>
    </row>
    <row r="475" spans="1:13" ht="18.600000000000001">
      <c r="A475" s="89"/>
      <c r="B475" s="90"/>
      <c r="C475" s="91"/>
      <c r="D475" s="9"/>
      <c r="H475" s="89"/>
      <c r="I475" s="10"/>
      <c r="J475" s="1"/>
      <c r="K475" s="1"/>
      <c r="L475" s="11"/>
      <c r="M475" s="11"/>
    </row>
    <row r="476" spans="1:13" ht="18.600000000000001">
      <c r="A476" s="89"/>
      <c r="B476" s="90"/>
      <c r="C476" s="91"/>
      <c r="D476" s="9"/>
      <c r="H476" s="89"/>
      <c r="I476" s="10"/>
      <c r="J476" s="1"/>
      <c r="K476" s="1"/>
      <c r="L476" s="11"/>
      <c r="M476" s="11"/>
    </row>
    <row r="477" spans="1:13" ht="18.600000000000001">
      <c r="A477" s="89"/>
      <c r="B477" s="90"/>
      <c r="C477" s="91"/>
      <c r="D477" s="9"/>
      <c r="H477" s="89"/>
      <c r="I477" s="10"/>
      <c r="J477" s="1"/>
      <c r="K477" s="1"/>
      <c r="L477" s="11"/>
      <c r="M477" s="11"/>
    </row>
    <row r="478" spans="1:13" ht="18.600000000000001">
      <c r="A478" s="89"/>
      <c r="B478" s="90"/>
      <c r="C478" s="91"/>
      <c r="D478" s="9"/>
      <c r="H478" s="89"/>
      <c r="I478" s="10"/>
      <c r="J478" s="1"/>
      <c r="K478" s="1"/>
      <c r="L478" s="11"/>
      <c r="M478" s="11"/>
    </row>
    <row r="479" spans="1:13" ht="18.600000000000001">
      <c r="A479" s="89"/>
      <c r="B479" s="90"/>
      <c r="C479" s="91"/>
      <c r="D479" s="9"/>
      <c r="H479" s="89"/>
      <c r="I479" s="10"/>
      <c r="J479" s="1"/>
      <c r="K479" s="1"/>
      <c r="L479" s="11"/>
      <c r="M479" s="11"/>
    </row>
    <row r="480" spans="1:13" ht="18.600000000000001">
      <c r="A480" s="89"/>
      <c r="B480" s="90"/>
      <c r="C480" s="91"/>
      <c r="D480" s="9"/>
      <c r="H480" s="89"/>
      <c r="I480" s="10"/>
      <c r="J480" s="1"/>
      <c r="K480" s="1"/>
      <c r="L480" s="11"/>
      <c r="M480" s="11"/>
    </row>
    <row r="481" spans="1:13" ht="18.600000000000001">
      <c r="A481" s="89"/>
      <c r="B481" s="90"/>
      <c r="C481" s="91"/>
      <c r="D481" s="9"/>
      <c r="H481" s="89"/>
      <c r="I481" s="10"/>
      <c r="J481" s="1"/>
      <c r="K481" s="1"/>
      <c r="L481" s="11"/>
      <c r="M481" s="11"/>
    </row>
    <row r="482" spans="1:13" ht="18.600000000000001">
      <c r="A482" s="89"/>
      <c r="B482" s="90"/>
      <c r="C482" s="91"/>
      <c r="D482" s="9"/>
      <c r="H482" s="89"/>
      <c r="I482" s="10"/>
      <c r="J482" s="1"/>
      <c r="K482" s="1"/>
      <c r="L482" s="11"/>
      <c r="M482" s="11"/>
    </row>
    <row r="483" spans="1:13" ht="18.600000000000001">
      <c r="A483" s="89"/>
      <c r="B483" s="90"/>
      <c r="C483" s="91"/>
      <c r="D483" s="9"/>
      <c r="H483" s="89"/>
      <c r="I483" s="10"/>
      <c r="J483" s="1"/>
      <c r="K483" s="1"/>
      <c r="L483" s="11"/>
      <c r="M483" s="11"/>
    </row>
    <row r="484" spans="1:13" ht="18.600000000000001">
      <c r="A484" s="89"/>
      <c r="B484" s="90"/>
      <c r="C484" s="91"/>
      <c r="D484" s="9"/>
      <c r="H484" s="89"/>
      <c r="I484" s="10"/>
      <c r="J484" s="1"/>
      <c r="K484" s="1"/>
      <c r="L484" s="11"/>
      <c r="M484" s="11"/>
    </row>
    <row r="485" spans="1:13" ht="18.600000000000001">
      <c r="A485" s="89"/>
      <c r="B485" s="90"/>
      <c r="C485" s="91"/>
      <c r="D485" s="9"/>
      <c r="H485" s="89"/>
      <c r="I485" s="10"/>
      <c r="J485" s="1"/>
      <c r="K485" s="1"/>
      <c r="L485" s="11"/>
      <c r="M485" s="11"/>
    </row>
    <row r="486" spans="1:13" ht="18.600000000000001">
      <c r="A486" s="89"/>
      <c r="B486" s="90"/>
      <c r="C486" s="91"/>
      <c r="D486" s="9"/>
      <c r="H486" s="89"/>
      <c r="I486" s="10"/>
      <c r="J486" s="1"/>
      <c r="K486" s="1"/>
      <c r="L486" s="11"/>
      <c r="M486" s="11"/>
    </row>
    <row r="487" spans="1:13" ht="18.600000000000001">
      <c r="A487" s="89"/>
      <c r="B487" s="90"/>
      <c r="C487" s="91"/>
      <c r="D487" s="9"/>
      <c r="H487" s="89"/>
      <c r="I487" s="10"/>
      <c r="J487" s="1"/>
      <c r="K487" s="1"/>
      <c r="L487" s="11"/>
      <c r="M487" s="11"/>
    </row>
    <row r="488" spans="1:13" ht="18.600000000000001">
      <c r="A488" s="89"/>
      <c r="B488" s="90"/>
      <c r="C488" s="91"/>
      <c r="D488" s="9"/>
      <c r="H488" s="89"/>
      <c r="I488" s="10"/>
      <c r="J488" s="1"/>
      <c r="K488" s="1"/>
      <c r="L488" s="11"/>
      <c r="M488" s="11"/>
    </row>
    <row r="489" spans="1:13" ht="18.600000000000001">
      <c r="A489" s="89"/>
      <c r="B489" s="90"/>
      <c r="C489" s="91"/>
      <c r="D489" s="9"/>
      <c r="H489" s="89"/>
      <c r="I489" s="10"/>
      <c r="J489" s="1"/>
      <c r="K489" s="1"/>
      <c r="L489" s="11"/>
      <c r="M489" s="11"/>
    </row>
    <row r="490" spans="1:13" ht="18.600000000000001">
      <c r="A490" s="89"/>
      <c r="B490" s="90"/>
      <c r="C490" s="91"/>
      <c r="D490" s="9"/>
      <c r="H490" s="89"/>
      <c r="I490" s="10"/>
      <c r="J490" s="1"/>
      <c r="K490" s="1"/>
      <c r="L490" s="11"/>
      <c r="M490" s="11"/>
    </row>
    <row r="491" spans="1:13" ht="18.600000000000001">
      <c r="A491" s="89"/>
      <c r="B491" s="90"/>
      <c r="C491" s="91"/>
      <c r="D491" s="9"/>
      <c r="H491" s="89"/>
      <c r="I491" s="10"/>
      <c r="J491" s="1"/>
      <c r="K491" s="1"/>
      <c r="L491" s="11"/>
      <c r="M491" s="11"/>
    </row>
    <row r="492" spans="1:13" ht="18.600000000000001">
      <c r="A492" s="89"/>
      <c r="B492" s="90"/>
      <c r="C492" s="91"/>
      <c r="D492" s="9"/>
      <c r="H492" s="89"/>
      <c r="I492" s="10"/>
      <c r="J492" s="1"/>
      <c r="K492" s="1"/>
      <c r="L492" s="11"/>
      <c r="M492" s="11"/>
    </row>
    <row r="493" spans="1:13" ht="18.600000000000001">
      <c r="A493" s="89"/>
      <c r="B493" s="90"/>
      <c r="C493" s="91"/>
      <c r="D493" s="9"/>
      <c r="H493" s="89"/>
      <c r="I493" s="10"/>
      <c r="J493" s="1"/>
      <c r="K493" s="1"/>
      <c r="L493" s="11"/>
      <c r="M493" s="11"/>
    </row>
    <row r="494" spans="1:13" ht="18.600000000000001">
      <c r="A494" s="89"/>
      <c r="B494" s="90"/>
      <c r="C494" s="91"/>
      <c r="D494" s="9"/>
      <c r="H494" s="89"/>
      <c r="I494" s="10"/>
      <c r="J494" s="1"/>
      <c r="K494" s="1"/>
      <c r="L494" s="11"/>
      <c r="M494" s="11"/>
    </row>
    <row r="495" spans="1:13" ht="18.600000000000001">
      <c r="A495" s="89"/>
      <c r="B495" s="90"/>
      <c r="C495" s="91"/>
      <c r="D495" s="9"/>
      <c r="H495" s="89"/>
      <c r="I495" s="10"/>
      <c r="J495" s="1"/>
      <c r="K495" s="1"/>
      <c r="L495" s="11"/>
      <c r="M495" s="11"/>
    </row>
    <row r="496" spans="1:13" ht="18.600000000000001">
      <c r="A496" s="89"/>
      <c r="B496" s="90"/>
      <c r="C496" s="91"/>
      <c r="D496" s="9"/>
      <c r="H496" s="89"/>
      <c r="I496" s="10"/>
      <c r="J496" s="1"/>
      <c r="K496" s="1"/>
      <c r="L496" s="11"/>
      <c r="M496" s="11"/>
    </row>
    <row r="497" spans="1:13" ht="18.600000000000001">
      <c r="A497" s="89"/>
      <c r="B497" s="90"/>
      <c r="C497" s="91"/>
      <c r="D497" s="9"/>
      <c r="H497" s="89"/>
      <c r="I497" s="10"/>
      <c r="J497" s="1"/>
      <c r="K497" s="1"/>
      <c r="L497" s="11"/>
      <c r="M497" s="11"/>
    </row>
    <row r="498" spans="1:13" ht="18.600000000000001">
      <c r="A498" s="89"/>
      <c r="B498" s="90"/>
      <c r="C498" s="91"/>
      <c r="D498" s="9"/>
      <c r="H498" s="89"/>
      <c r="I498" s="10"/>
      <c r="J498" s="1"/>
      <c r="K498" s="1"/>
      <c r="L498" s="11"/>
      <c r="M498" s="11"/>
    </row>
    <row r="499" spans="1:13" ht="18.600000000000001">
      <c r="A499" s="89"/>
      <c r="B499" s="90"/>
      <c r="C499" s="91"/>
      <c r="D499" s="9"/>
      <c r="H499" s="89"/>
      <c r="I499" s="10"/>
      <c r="J499" s="1"/>
      <c r="K499" s="1"/>
      <c r="L499" s="11"/>
      <c r="M499" s="11"/>
    </row>
    <row r="500" spans="1:13" ht="18.600000000000001">
      <c r="A500" s="89"/>
      <c r="B500" s="90"/>
      <c r="C500" s="91"/>
      <c r="D500" s="9"/>
      <c r="H500" s="89"/>
      <c r="I500" s="10"/>
      <c r="J500" s="1"/>
      <c r="K500" s="1"/>
      <c r="L500" s="11"/>
      <c r="M500" s="11"/>
    </row>
    <row r="501" spans="1:13" ht="18.600000000000001">
      <c r="A501" s="89"/>
      <c r="B501" s="90"/>
      <c r="C501" s="91"/>
      <c r="D501" s="9"/>
      <c r="H501" s="89"/>
      <c r="I501" s="10"/>
      <c r="J501" s="1"/>
      <c r="K501" s="1"/>
      <c r="L501" s="11"/>
      <c r="M501" s="11"/>
    </row>
    <row r="502" spans="1:13" ht="18.600000000000001">
      <c r="A502" s="89"/>
      <c r="B502" s="90"/>
      <c r="C502" s="91"/>
      <c r="D502" s="9"/>
      <c r="H502" s="89"/>
      <c r="I502" s="10"/>
      <c r="J502" s="1"/>
      <c r="K502" s="1"/>
      <c r="L502" s="11"/>
      <c r="M502" s="11"/>
    </row>
    <row r="503" spans="1:13" ht="18.600000000000001">
      <c r="A503" s="89"/>
      <c r="B503" s="90"/>
      <c r="C503" s="91"/>
      <c r="D503" s="9"/>
      <c r="H503" s="89"/>
      <c r="I503" s="10"/>
      <c r="J503" s="1"/>
      <c r="K503" s="1"/>
      <c r="L503" s="11"/>
      <c r="M503" s="11"/>
    </row>
    <row r="504" spans="1:13" ht="18.600000000000001">
      <c r="A504" s="89"/>
      <c r="B504" s="90"/>
      <c r="C504" s="91"/>
      <c r="D504" s="9"/>
      <c r="H504" s="89"/>
      <c r="I504" s="10"/>
      <c r="J504" s="1"/>
      <c r="K504" s="1"/>
      <c r="L504" s="11"/>
      <c r="M504" s="11"/>
    </row>
    <row r="505" spans="1:13" ht="18.600000000000001">
      <c r="A505" s="89"/>
      <c r="B505" s="90"/>
      <c r="C505" s="91"/>
      <c r="D505" s="9"/>
      <c r="H505" s="89"/>
      <c r="I505" s="10"/>
      <c r="J505" s="1"/>
      <c r="K505" s="1"/>
      <c r="L505" s="11"/>
      <c r="M505" s="11"/>
    </row>
    <row r="506" spans="1:13" ht="18.600000000000001">
      <c r="A506" s="89"/>
      <c r="B506" s="90"/>
      <c r="C506" s="91"/>
      <c r="D506" s="9"/>
      <c r="H506" s="89"/>
      <c r="I506" s="10"/>
      <c r="J506" s="1"/>
      <c r="K506" s="1"/>
      <c r="L506" s="11"/>
      <c r="M506" s="11"/>
    </row>
    <row r="507" spans="1:13" ht="18.600000000000001">
      <c r="A507" s="89"/>
      <c r="B507" s="90"/>
      <c r="C507" s="91"/>
      <c r="D507" s="9"/>
      <c r="H507" s="89"/>
      <c r="I507" s="10"/>
      <c r="J507" s="1"/>
      <c r="K507" s="1"/>
      <c r="L507" s="11"/>
      <c r="M507" s="11"/>
    </row>
    <row r="508" spans="1:13" ht="18.600000000000001">
      <c r="A508" s="89"/>
      <c r="B508" s="90"/>
      <c r="C508" s="91"/>
      <c r="D508" s="9"/>
      <c r="H508" s="89"/>
      <c r="I508" s="10"/>
      <c r="J508" s="1"/>
      <c r="K508" s="1"/>
      <c r="L508" s="11"/>
      <c r="M508" s="11"/>
    </row>
    <row r="509" spans="1:13" ht="18.600000000000001">
      <c r="A509" s="89"/>
      <c r="B509" s="90"/>
      <c r="C509" s="91"/>
      <c r="D509" s="9"/>
      <c r="H509" s="89"/>
      <c r="I509" s="10"/>
      <c r="J509" s="1"/>
      <c r="K509" s="1"/>
      <c r="L509" s="11"/>
      <c r="M509" s="11"/>
    </row>
    <row r="510" spans="1:13" ht="18.600000000000001">
      <c r="A510" s="89"/>
      <c r="B510" s="90"/>
      <c r="C510" s="91"/>
      <c r="D510" s="9"/>
      <c r="H510" s="89"/>
      <c r="I510" s="10"/>
      <c r="J510" s="1"/>
      <c r="K510" s="1"/>
      <c r="L510" s="11"/>
      <c r="M510" s="11"/>
    </row>
    <row r="511" spans="1:13" ht="18.600000000000001">
      <c r="A511" s="89"/>
      <c r="B511" s="90"/>
      <c r="C511" s="91"/>
      <c r="D511" s="9"/>
      <c r="H511" s="89"/>
      <c r="I511" s="10"/>
      <c r="J511" s="1"/>
      <c r="K511" s="1"/>
      <c r="L511" s="11"/>
      <c r="M511" s="11"/>
    </row>
    <row r="512" spans="1:13" ht="18.600000000000001">
      <c r="A512" s="89"/>
      <c r="B512" s="90"/>
      <c r="C512" s="91"/>
      <c r="D512" s="9"/>
      <c r="H512" s="89"/>
      <c r="I512" s="10"/>
      <c r="J512" s="1"/>
      <c r="K512" s="1"/>
      <c r="L512" s="11"/>
      <c r="M512" s="11"/>
    </row>
    <row r="513" spans="1:13" ht="18.600000000000001">
      <c r="A513" s="89"/>
      <c r="B513" s="90"/>
      <c r="C513" s="91"/>
      <c r="D513" s="9"/>
      <c r="H513" s="89"/>
      <c r="I513" s="10"/>
      <c r="J513" s="1"/>
      <c r="K513" s="1"/>
      <c r="L513" s="11"/>
      <c r="M513" s="11"/>
    </row>
    <row r="514" spans="1:13" ht="18.600000000000001">
      <c r="A514" s="89"/>
      <c r="B514" s="90"/>
      <c r="C514" s="91"/>
      <c r="D514" s="9"/>
      <c r="H514" s="89"/>
      <c r="I514" s="10"/>
      <c r="J514" s="1"/>
      <c r="K514" s="1"/>
      <c r="L514" s="11"/>
      <c r="M514" s="11"/>
    </row>
    <row r="515" spans="1:13" ht="18.600000000000001">
      <c r="A515" s="89"/>
      <c r="B515" s="90"/>
      <c r="C515" s="91"/>
      <c r="D515" s="9"/>
      <c r="H515" s="89"/>
      <c r="I515" s="10"/>
      <c r="J515" s="1"/>
      <c r="K515" s="1"/>
      <c r="L515" s="11"/>
      <c r="M515" s="11"/>
    </row>
    <row r="516" spans="1:13" ht="18.600000000000001">
      <c r="A516" s="89"/>
      <c r="B516" s="90"/>
      <c r="C516" s="91"/>
      <c r="D516" s="9"/>
      <c r="H516" s="89"/>
      <c r="I516" s="10"/>
      <c r="J516" s="1"/>
      <c r="K516" s="1"/>
      <c r="L516" s="11"/>
      <c r="M516" s="11"/>
    </row>
    <row r="517" spans="1:13" ht="18.600000000000001">
      <c r="A517" s="89"/>
      <c r="B517" s="90"/>
      <c r="C517" s="91"/>
      <c r="D517" s="9"/>
      <c r="H517" s="89"/>
      <c r="I517" s="10"/>
      <c r="J517" s="1"/>
      <c r="K517" s="1"/>
      <c r="L517" s="11"/>
      <c r="M517" s="11"/>
    </row>
    <row r="518" spans="1:13" ht="18.600000000000001">
      <c r="A518" s="89"/>
      <c r="B518" s="90"/>
      <c r="C518" s="91"/>
      <c r="D518" s="9"/>
      <c r="H518" s="89"/>
      <c r="I518" s="10"/>
      <c r="J518" s="1"/>
      <c r="K518" s="1"/>
      <c r="L518" s="11"/>
      <c r="M518" s="11"/>
    </row>
    <row r="519" spans="1:13" ht="18.600000000000001">
      <c r="A519" s="89"/>
      <c r="B519" s="90"/>
      <c r="C519" s="91"/>
      <c r="D519" s="9"/>
      <c r="H519" s="89"/>
      <c r="I519" s="10"/>
      <c r="J519" s="1"/>
      <c r="K519" s="1"/>
      <c r="L519" s="11"/>
      <c r="M519" s="11"/>
    </row>
    <row r="520" spans="1:13" ht="18.600000000000001">
      <c r="A520" s="89"/>
      <c r="B520" s="90"/>
      <c r="C520" s="91"/>
      <c r="D520" s="9"/>
      <c r="H520" s="89"/>
      <c r="I520" s="10"/>
      <c r="J520" s="1"/>
      <c r="K520" s="1"/>
      <c r="L520" s="11"/>
      <c r="M520" s="11"/>
    </row>
    <row r="521" spans="1:13" ht="18.600000000000001">
      <c r="A521" s="89"/>
      <c r="B521" s="90"/>
      <c r="C521" s="91"/>
      <c r="D521" s="9"/>
      <c r="H521" s="89"/>
      <c r="I521" s="10"/>
      <c r="J521" s="1"/>
      <c r="K521" s="1"/>
      <c r="L521" s="11"/>
      <c r="M521" s="11"/>
    </row>
    <row r="522" spans="1:13" ht="18.600000000000001">
      <c r="A522" s="89"/>
      <c r="B522" s="90"/>
      <c r="C522" s="91"/>
      <c r="D522" s="9"/>
      <c r="H522" s="89"/>
      <c r="I522" s="10"/>
      <c r="J522" s="1"/>
      <c r="K522" s="1"/>
      <c r="L522" s="11"/>
      <c r="M522" s="11"/>
    </row>
    <row r="523" spans="1:13" ht="18.600000000000001">
      <c r="A523" s="89"/>
      <c r="B523" s="90"/>
      <c r="C523" s="91"/>
      <c r="D523" s="9"/>
      <c r="H523" s="89"/>
      <c r="I523" s="10"/>
      <c r="J523" s="1"/>
      <c r="K523" s="1"/>
      <c r="L523" s="11"/>
      <c r="M523" s="11"/>
    </row>
    <row r="524" spans="1:13" ht="18.600000000000001">
      <c r="A524" s="89"/>
      <c r="B524" s="90"/>
      <c r="C524" s="91"/>
      <c r="D524" s="9"/>
      <c r="H524" s="89"/>
      <c r="I524" s="10"/>
      <c r="J524" s="1"/>
      <c r="K524" s="1"/>
      <c r="L524" s="11"/>
      <c r="M524" s="11"/>
    </row>
    <row r="525" spans="1:13" ht="18.600000000000001">
      <c r="A525" s="89"/>
      <c r="B525" s="90"/>
      <c r="C525" s="91"/>
      <c r="D525" s="9"/>
      <c r="H525" s="89"/>
      <c r="I525" s="10"/>
      <c r="J525" s="1"/>
      <c r="K525" s="1"/>
      <c r="L525" s="11"/>
      <c r="M525" s="11"/>
    </row>
    <row r="526" spans="1:13" ht="18.600000000000001">
      <c r="A526" s="89"/>
      <c r="B526" s="90"/>
      <c r="C526" s="91"/>
      <c r="D526" s="9"/>
      <c r="H526" s="89"/>
      <c r="I526" s="10"/>
      <c r="J526" s="1"/>
      <c r="K526" s="1"/>
      <c r="L526" s="11"/>
      <c r="M526" s="11"/>
    </row>
    <row r="527" spans="1:13" ht="18.600000000000001">
      <c r="A527" s="89"/>
      <c r="B527" s="90"/>
      <c r="C527" s="91"/>
      <c r="D527" s="9"/>
      <c r="H527" s="89"/>
      <c r="I527" s="10"/>
      <c r="J527" s="1"/>
      <c r="K527" s="1"/>
      <c r="L527" s="11"/>
      <c r="M527" s="11"/>
    </row>
    <row r="528" spans="1:13" ht="18.600000000000001">
      <c r="A528" s="89"/>
      <c r="B528" s="90"/>
      <c r="C528" s="91"/>
      <c r="D528" s="9"/>
      <c r="H528" s="89"/>
      <c r="I528" s="10"/>
      <c r="J528" s="1"/>
      <c r="K528" s="1"/>
      <c r="L528" s="11"/>
      <c r="M528" s="11"/>
    </row>
    <row r="529" spans="1:13" ht="18.600000000000001">
      <c r="A529" s="89"/>
      <c r="B529" s="90"/>
      <c r="C529" s="91"/>
      <c r="D529" s="9"/>
      <c r="H529" s="89"/>
      <c r="I529" s="10"/>
      <c r="J529" s="1"/>
      <c r="K529" s="1"/>
      <c r="L529" s="11"/>
      <c r="M529" s="11"/>
    </row>
    <row r="530" spans="1:13" ht="18.600000000000001">
      <c r="A530" s="89"/>
      <c r="B530" s="90"/>
      <c r="C530" s="91"/>
      <c r="D530" s="9"/>
      <c r="H530" s="89"/>
      <c r="I530" s="10"/>
      <c r="J530" s="1"/>
      <c r="K530" s="1"/>
      <c r="L530" s="11"/>
      <c r="M530" s="11"/>
    </row>
    <row r="531" spans="1:13" ht="18.600000000000001">
      <c r="A531" s="89"/>
      <c r="B531" s="90"/>
      <c r="C531" s="91"/>
      <c r="D531" s="9"/>
      <c r="H531" s="89"/>
      <c r="I531" s="10"/>
      <c r="J531" s="1"/>
      <c r="K531" s="1"/>
      <c r="L531" s="11"/>
      <c r="M531" s="11"/>
    </row>
    <row r="532" spans="1:13" ht="18.600000000000001">
      <c r="A532" s="89"/>
      <c r="B532" s="90"/>
      <c r="C532" s="91"/>
      <c r="D532" s="9"/>
      <c r="H532" s="89"/>
      <c r="I532" s="10"/>
      <c r="J532" s="1"/>
      <c r="K532" s="1"/>
      <c r="L532" s="11"/>
      <c r="M532" s="11"/>
    </row>
    <row r="533" spans="1:13" ht="18.600000000000001">
      <c r="A533" s="89"/>
      <c r="B533" s="90"/>
      <c r="C533" s="91"/>
      <c r="D533" s="9"/>
      <c r="H533" s="89"/>
      <c r="I533" s="10"/>
      <c r="J533" s="1"/>
      <c r="K533" s="1"/>
      <c r="L533" s="11"/>
      <c r="M533" s="11"/>
    </row>
    <row r="534" spans="1:13" ht="18.600000000000001">
      <c r="A534" s="89"/>
      <c r="B534" s="90"/>
      <c r="C534" s="91"/>
      <c r="D534" s="9"/>
      <c r="H534" s="89"/>
      <c r="I534" s="10"/>
      <c r="J534" s="1"/>
      <c r="K534" s="1"/>
      <c r="L534" s="11"/>
      <c r="M534" s="11"/>
    </row>
    <row r="535" spans="1:13" ht="18.600000000000001">
      <c r="A535" s="89"/>
      <c r="B535" s="90"/>
      <c r="C535" s="91"/>
      <c r="D535" s="9"/>
      <c r="H535" s="89"/>
      <c r="I535" s="10"/>
      <c r="J535" s="1"/>
      <c r="K535" s="1"/>
      <c r="L535" s="11"/>
      <c r="M535" s="11"/>
    </row>
    <row r="536" spans="1:13" ht="18.600000000000001">
      <c r="A536" s="89"/>
      <c r="B536" s="90"/>
      <c r="C536" s="91"/>
      <c r="D536" s="9"/>
      <c r="H536" s="89"/>
      <c r="I536" s="10"/>
      <c r="J536" s="1"/>
      <c r="K536" s="1"/>
      <c r="L536" s="11"/>
      <c r="M536" s="11"/>
    </row>
    <row r="537" spans="1:13" ht="18.600000000000001">
      <c r="A537" s="89"/>
      <c r="B537" s="90"/>
      <c r="C537" s="91"/>
      <c r="D537" s="9"/>
      <c r="H537" s="89"/>
      <c r="I537" s="10"/>
      <c r="J537" s="1"/>
      <c r="K537" s="1"/>
      <c r="L537" s="11"/>
      <c r="M537" s="11"/>
    </row>
    <row r="538" spans="1:13" ht="18.600000000000001">
      <c r="A538" s="89"/>
      <c r="B538" s="90"/>
      <c r="C538" s="91"/>
      <c r="D538" s="9"/>
      <c r="H538" s="89"/>
      <c r="I538" s="10"/>
      <c r="J538" s="1"/>
      <c r="K538" s="1"/>
      <c r="L538" s="11"/>
      <c r="M538" s="11"/>
    </row>
    <row r="539" spans="1:13" ht="18.600000000000001">
      <c r="A539" s="89"/>
      <c r="B539" s="90"/>
      <c r="C539" s="91"/>
      <c r="D539" s="9"/>
      <c r="H539" s="89"/>
      <c r="I539" s="10"/>
      <c r="J539" s="1"/>
      <c r="K539" s="1"/>
      <c r="L539" s="11"/>
      <c r="M539" s="11"/>
    </row>
    <row r="540" spans="1:13" ht="18.600000000000001">
      <c r="A540" s="89"/>
      <c r="B540" s="90"/>
      <c r="C540" s="91"/>
      <c r="D540" s="9"/>
      <c r="H540" s="89"/>
      <c r="I540" s="10"/>
      <c r="J540" s="1"/>
      <c r="K540" s="1"/>
      <c r="L540" s="11"/>
      <c r="M540" s="11"/>
    </row>
    <row r="541" spans="1:13" ht="18.600000000000001">
      <c r="A541" s="89"/>
      <c r="B541" s="90"/>
      <c r="C541" s="91"/>
      <c r="D541" s="9"/>
      <c r="H541" s="89"/>
      <c r="I541" s="10"/>
      <c r="J541" s="1"/>
      <c r="K541" s="1"/>
      <c r="L541" s="11"/>
      <c r="M541" s="11"/>
    </row>
    <row r="542" spans="1:13" ht="18.600000000000001">
      <c r="A542" s="89"/>
      <c r="B542" s="90"/>
      <c r="C542" s="91"/>
      <c r="D542" s="9"/>
      <c r="H542" s="89"/>
      <c r="I542" s="10"/>
      <c r="J542" s="1"/>
      <c r="K542" s="1"/>
      <c r="L542" s="11"/>
      <c r="M542" s="11"/>
    </row>
    <row r="543" spans="1:13" ht="18.600000000000001">
      <c r="A543" s="89"/>
      <c r="B543" s="90"/>
      <c r="C543" s="91"/>
      <c r="D543" s="9"/>
      <c r="H543" s="89"/>
      <c r="I543" s="10"/>
      <c r="J543" s="1"/>
      <c r="K543" s="1"/>
      <c r="L543" s="11"/>
      <c r="M543" s="11"/>
    </row>
    <row r="544" spans="1:13" ht="18.600000000000001">
      <c r="A544" s="89"/>
      <c r="B544" s="90"/>
      <c r="C544" s="91"/>
      <c r="D544" s="9"/>
      <c r="H544" s="89"/>
      <c r="I544" s="10"/>
      <c r="J544" s="1"/>
      <c r="K544" s="1"/>
      <c r="L544" s="11"/>
      <c r="M544" s="11"/>
    </row>
    <row r="545" spans="1:13" ht="18.600000000000001">
      <c r="A545" s="89"/>
      <c r="B545" s="90"/>
      <c r="C545" s="91"/>
      <c r="D545" s="9"/>
      <c r="H545" s="89"/>
      <c r="I545" s="10"/>
      <c r="J545" s="1"/>
      <c r="K545" s="1"/>
      <c r="L545" s="11"/>
      <c r="M545" s="11"/>
    </row>
    <row r="546" spans="1:13" ht="18.600000000000001">
      <c r="A546" s="89"/>
      <c r="B546" s="90"/>
      <c r="C546" s="91"/>
      <c r="D546" s="9"/>
      <c r="H546" s="89"/>
      <c r="I546" s="10"/>
      <c r="J546" s="1"/>
      <c r="K546" s="1"/>
      <c r="L546" s="11"/>
      <c r="M546" s="11"/>
    </row>
    <row r="547" spans="1:13" ht="18.600000000000001">
      <c r="A547" s="89"/>
      <c r="B547" s="90"/>
      <c r="C547" s="91"/>
      <c r="D547" s="9"/>
      <c r="H547" s="89"/>
      <c r="I547" s="10"/>
      <c r="J547" s="1"/>
      <c r="K547" s="1"/>
      <c r="L547" s="11"/>
      <c r="M547" s="11"/>
    </row>
    <row r="548" spans="1:13" ht="18.600000000000001">
      <c r="A548" s="89"/>
      <c r="B548" s="90"/>
      <c r="C548" s="91"/>
      <c r="D548" s="9"/>
      <c r="H548" s="89"/>
      <c r="I548" s="10"/>
      <c r="J548" s="1"/>
      <c r="K548" s="1"/>
      <c r="L548" s="11"/>
      <c r="M548" s="11"/>
    </row>
    <row r="549" spans="1:13" ht="18.600000000000001">
      <c r="A549" s="89"/>
      <c r="B549" s="90"/>
      <c r="C549" s="91"/>
      <c r="D549" s="9"/>
      <c r="H549" s="89"/>
      <c r="I549" s="10"/>
      <c r="J549" s="1"/>
      <c r="K549" s="1"/>
      <c r="L549" s="11"/>
      <c r="M549" s="11"/>
    </row>
    <row r="550" spans="1:13" ht="18.600000000000001">
      <c r="A550" s="89"/>
      <c r="B550" s="90"/>
      <c r="C550" s="91"/>
      <c r="D550" s="9"/>
      <c r="H550" s="89"/>
      <c r="I550" s="10"/>
      <c r="J550" s="1"/>
      <c r="K550" s="1"/>
      <c r="L550" s="11"/>
      <c r="M550" s="11"/>
    </row>
    <row r="551" spans="1:13" ht="18.600000000000001">
      <c r="A551" s="89"/>
      <c r="B551" s="90"/>
      <c r="C551" s="91"/>
      <c r="D551" s="9"/>
      <c r="H551" s="89"/>
      <c r="I551" s="10"/>
      <c r="J551" s="1"/>
      <c r="K551" s="1"/>
      <c r="L551" s="11"/>
      <c r="M551" s="11"/>
    </row>
    <row r="552" spans="1:13" ht="18.600000000000001">
      <c r="A552" s="89"/>
      <c r="B552" s="90"/>
      <c r="C552" s="91"/>
      <c r="D552" s="9"/>
      <c r="H552" s="89"/>
      <c r="I552" s="10"/>
      <c r="J552" s="1"/>
      <c r="K552" s="1"/>
      <c r="L552" s="11"/>
      <c r="M552" s="11"/>
    </row>
    <row r="553" spans="1:13" ht="18.600000000000001">
      <c r="A553" s="89"/>
      <c r="B553" s="90"/>
      <c r="C553" s="91"/>
      <c r="D553" s="9"/>
      <c r="H553" s="89"/>
      <c r="I553" s="10"/>
      <c r="J553" s="1"/>
      <c r="K553" s="1"/>
      <c r="L553" s="11"/>
      <c r="M553" s="11"/>
    </row>
    <row r="554" spans="1:13" ht="18.600000000000001">
      <c r="A554" s="89"/>
      <c r="B554" s="90"/>
      <c r="C554" s="91"/>
      <c r="D554" s="9"/>
      <c r="H554" s="89"/>
      <c r="I554" s="10"/>
      <c r="J554" s="1"/>
      <c r="K554" s="1"/>
      <c r="L554" s="11"/>
      <c r="M554" s="11"/>
    </row>
    <row r="555" spans="1:13" ht="18.600000000000001">
      <c r="A555" s="89"/>
      <c r="B555" s="90"/>
      <c r="C555" s="91"/>
      <c r="D555" s="9"/>
      <c r="H555" s="89"/>
      <c r="I555" s="10"/>
      <c r="J555" s="1"/>
      <c r="K555" s="1"/>
      <c r="L555" s="11"/>
      <c r="M555" s="11"/>
    </row>
    <row r="556" spans="1:13" ht="18.600000000000001">
      <c r="A556" s="89"/>
      <c r="B556" s="90"/>
      <c r="C556" s="91"/>
      <c r="D556" s="9"/>
      <c r="H556" s="89"/>
      <c r="I556" s="10"/>
      <c r="J556" s="1"/>
      <c r="K556" s="1"/>
      <c r="L556" s="11"/>
      <c r="M556" s="11"/>
    </row>
    <row r="557" spans="1:13" ht="18.600000000000001">
      <c r="A557" s="89"/>
      <c r="B557" s="90"/>
      <c r="C557" s="91"/>
      <c r="D557" s="9"/>
      <c r="H557" s="89"/>
      <c r="I557" s="10"/>
      <c r="J557" s="1"/>
      <c r="K557" s="1"/>
      <c r="L557" s="11"/>
      <c r="M557" s="11"/>
    </row>
    <row r="558" spans="1:13" ht="18.600000000000001">
      <c r="A558" s="89"/>
      <c r="B558" s="90"/>
      <c r="C558" s="91"/>
      <c r="D558" s="9"/>
      <c r="H558" s="89"/>
      <c r="I558" s="10"/>
      <c r="J558" s="1"/>
      <c r="K558" s="1"/>
      <c r="L558" s="11"/>
      <c r="M558" s="11"/>
    </row>
    <row r="559" spans="1:13" ht="18.600000000000001">
      <c r="A559" s="89"/>
      <c r="B559" s="90"/>
      <c r="C559" s="91"/>
      <c r="D559" s="9"/>
      <c r="H559" s="89"/>
      <c r="I559" s="10"/>
      <c r="J559" s="1"/>
      <c r="K559" s="1"/>
      <c r="L559" s="11"/>
      <c r="M559" s="11"/>
    </row>
    <row r="560" spans="1:13" ht="18.600000000000001">
      <c r="A560" s="89"/>
      <c r="B560" s="90"/>
      <c r="C560" s="91"/>
      <c r="D560" s="9"/>
      <c r="H560" s="89"/>
      <c r="I560" s="10"/>
      <c r="J560" s="1"/>
      <c r="K560" s="1"/>
      <c r="L560" s="11"/>
      <c r="M560" s="11"/>
    </row>
    <row r="561" spans="1:13" ht="18.600000000000001">
      <c r="A561" s="89"/>
      <c r="B561" s="90"/>
      <c r="C561" s="91"/>
      <c r="D561" s="9"/>
      <c r="H561" s="89"/>
      <c r="I561" s="10"/>
      <c r="J561" s="1"/>
      <c r="K561" s="1"/>
      <c r="L561" s="11"/>
      <c r="M561" s="11"/>
    </row>
    <row r="562" spans="1:13" ht="18.600000000000001">
      <c r="A562" s="89"/>
      <c r="B562" s="90"/>
      <c r="C562" s="91"/>
      <c r="D562" s="9"/>
      <c r="H562" s="89"/>
      <c r="I562" s="10"/>
      <c r="J562" s="1"/>
      <c r="K562" s="1"/>
      <c r="L562" s="11"/>
      <c r="M562" s="11"/>
    </row>
    <row r="563" spans="1:13" ht="18.600000000000001">
      <c r="A563" s="89"/>
      <c r="B563" s="90"/>
      <c r="C563" s="91"/>
      <c r="D563" s="9"/>
      <c r="H563" s="89"/>
      <c r="I563" s="10"/>
      <c r="J563" s="1"/>
      <c r="K563" s="1"/>
      <c r="L563" s="11"/>
      <c r="M563" s="11"/>
    </row>
    <row r="564" spans="1:13" ht="18.600000000000001">
      <c r="A564" s="89"/>
      <c r="B564" s="90"/>
      <c r="C564" s="91"/>
      <c r="D564" s="9"/>
      <c r="H564" s="89"/>
      <c r="I564" s="10"/>
      <c r="J564" s="1"/>
      <c r="K564" s="1"/>
      <c r="L564" s="11"/>
      <c r="M564" s="11"/>
    </row>
    <row r="565" spans="1:13" ht="18.600000000000001">
      <c r="A565" s="89"/>
      <c r="B565" s="90"/>
      <c r="C565" s="91"/>
      <c r="D565" s="9"/>
      <c r="H565" s="89"/>
      <c r="I565" s="10"/>
      <c r="J565" s="1"/>
      <c r="K565" s="1"/>
      <c r="L565" s="11"/>
      <c r="M565" s="11"/>
    </row>
    <row r="566" spans="1:13" ht="18.600000000000001">
      <c r="A566" s="89"/>
      <c r="B566" s="90"/>
      <c r="C566" s="91"/>
      <c r="D566" s="9"/>
      <c r="H566" s="89"/>
      <c r="I566" s="10"/>
      <c r="J566" s="1"/>
      <c r="K566" s="1"/>
      <c r="L566" s="11"/>
      <c r="M566" s="11"/>
    </row>
    <row r="567" spans="1:13" ht="18.600000000000001">
      <c r="A567" s="89"/>
      <c r="B567" s="90"/>
      <c r="C567" s="91"/>
      <c r="D567" s="9"/>
      <c r="H567" s="89"/>
      <c r="I567" s="10"/>
      <c r="J567" s="1"/>
      <c r="K567" s="1"/>
      <c r="L567" s="11"/>
      <c r="M567" s="11"/>
    </row>
    <row r="568" spans="1:13" ht="18.600000000000001">
      <c r="A568" s="89"/>
      <c r="B568" s="90"/>
      <c r="C568" s="91"/>
      <c r="D568" s="9"/>
      <c r="H568" s="89"/>
      <c r="I568" s="10"/>
      <c r="J568" s="1"/>
      <c r="K568" s="1"/>
      <c r="L568" s="11"/>
      <c r="M568" s="11"/>
    </row>
    <row r="569" spans="1:13" ht="18.600000000000001">
      <c r="A569" s="89"/>
      <c r="B569" s="90"/>
      <c r="C569" s="91"/>
      <c r="D569" s="9"/>
      <c r="H569" s="89"/>
      <c r="I569" s="10"/>
      <c r="J569" s="1"/>
      <c r="K569" s="1"/>
      <c r="L569" s="11"/>
      <c r="M569" s="11"/>
    </row>
    <row r="570" spans="1:13" ht="18.600000000000001">
      <c r="A570" s="89"/>
      <c r="B570" s="90"/>
      <c r="C570" s="91"/>
      <c r="D570" s="9"/>
      <c r="H570" s="89"/>
      <c r="I570" s="10"/>
      <c r="J570" s="1"/>
      <c r="K570" s="1"/>
      <c r="L570" s="11"/>
      <c r="M570" s="11"/>
    </row>
    <row r="571" spans="1:13" ht="18.600000000000001">
      <c r="A571" s="89"/>
      <c r="B571" s="90"/>
      <c r="C571" s="91"/>
      <c r="D571" s="9"/>
      <c r="H571" s="89"/>
      <c r="I571" s="10"/>
      <c r="J571" s="1"/>
      <c r="K571" s="1"/>
      <c r="L571" s="11"/>
      <c r="M571" s="11"/>
    </row>
    <row r="572" spans="1:13" ht="18.600000000000001">
      <c r="A572" s="89"/>
      <c r="B572" s="90"/>
      <c r="C572" s="91"/>
      <c r="D572" s="9"/>
      <c r="H572" s="89"/>
      <c r="I572" s="10"/>
      <c r="J572" s="1"/>
      <c r="K572" s="1"/>
      <c r="L572" s="11"/>
      <c r="M572" s="11"/>
    </row>
    <row r="573" spans="1:13" ht="18.600000000000001">
      <c r="A573" s="89"/>
      <c r="B573" s="90"/>
      <c r="C573" s="91"/>
      <c r="D573" s="9"/>
      <c r="H573" s="89"/>
      <c r="I573" s="10"/>
      <c r="J573" s="1"/>
      <c r="K573" s="1"/>
      <c r="L573" s="11"/>
      <c r="M573" s="11"/>
    </row>
    <row r="574" spans="1:13" ht="18.600000000000001">
      <c r="A574" s="89"/>
      <c r="B574" s="90"/>
      <c r="C574" s="91"/>
      <c r="D574" s="9"/>
      <c r="H574" s="89"/>
      <c r="I574" s="10"/>
      <c r="J574" s="1"/>
      <c r="K574" s="1"/>
      <c r="L574" s="11"/>
      <c r="M574" s="11"/>
    </row>
    <row r="575" spans="1:13" ht="18.600000000000001">
      <c r="A575" s="89"/>
      <c r="B575" s="90"/>
      <c r="C575" s="91"/>
      <c r="D575" s="9"/>
      <c r="H575" s="89"/>
      <c r="I575" s="10"/>
      <c r="J575" s="1"/>
      <c r="K575" s="1"/>
      <c r="L575" s="11"/>
      <c r="M575" s="11"/>
    </row>
    <row r="576" spans="1:13" ht="18.600000000000001">
      <c r="A576" s="89"/>
      <c r="B576" s="90"/>
      <c r="C576" s="91"/>
      <c r="D576" s="9"/>
      <c r="H576" s="89"/>
      <c r="I576" s="10"/>
      <c r="J576" s="1"/>
      <c r="K576" s="1"/>
      <c r="L576" s="11"/>
      <c r="M576" s="11"/>
    </row>
    <row r="577" spans="1:13" ht="18.600000000000001">
      <c r="A577" s="89"/>
      <c r="B577" s="90"/>
      <c r="C577" s="91"/>
      <c r="D577" s="9"/>
      <c r="H577" s="89"/>
      <c r="I577" s="10"/>
      <c r="J577" s="1"/>
      <c r="K577" s="1"/>
      <c r="L577" s="11"/>
      <c r="M577" s="11"/>
    </row>
    <row r="578" spans="1:13" ht="18.600000000000001">
      <c r="A578" s="89"/>
      <c r="B578" s="90"/>
      <c r="C578" s="91"/>
      <c r="D578" s="9"/>
      <c r="H578" s="89"/>
      <c r="I578" s="10"/>
      <c r="J578" s="1"/>
      <c r="K578" s="1"/>
      <c r="L578" s="11"/>
      <c r="M578" s="11"/>
    </row>
    <row r="579" spans="1:13" ht="18.600000000000001">
      <c r="A579" s="89"/>
      <c r="B579" s="90"/>
      <c r="C579" s="91"/>
      <c r="D579" s="9"/>
      <c r="H579" s="89"/>
      <c r="I579" s="10"/>
      <c r="J579" s="1"/>
      <c r="K579" s="1"/>
      <c r="L579" s="11"/>
      <c r="M579" s="11"/>
    </row>
    <row r="580" spans="1:13" ht="18.600000000000001">
      <c r="A580" s="89"/>
      <c r="B580" s="90"/>
      <c r="C580" s="91"/>
      <c r="D580" s="9"/>
      <c r="H580" s="89"/>
      <c r="I580" s="10"/>
      <c r="J580" s="1"/>
      <c r="K580" s="1"/>
      <c r="L580" s="11"/>
      <c r="M580" s="11"/>
    </row>
    <row r="581" spans="1:13" ht="18.600000000000001">
      <c r="A581" s="89"/>
      <c r="B581" s="90"/>
      <c r="C581" s="91"/>
      <c r="D581" s="9"/>
      <c r="H581" s="89"/>
      <c r="I581" s="10"/>
      <c r="J581" s="1"/>
      <c r="K581" s="1"/>
      <c r="L581" s="11"/>
      <c r="M581" s="11"/>
    </row>
    <row r="582" spans="1:13" ht="18.600000000000001">
      <c r="A582" s="89"/>
      <c r="B582" s="90"/>
      <c r="C582" s="91"/>
      <c r="D582" s="9"/>
      <c r="H582" s="89"/>
      <c r="I582" s="10"/>
      <c r="J582" s="1"/>
      <c r="K582" s="1"/>
      <c r="L582" s="11"/>
      <c r="M582" s="11"/>
    </row>
    <row r="583" spans="1:13" ht="18.600000000000001">
      <c r="A583" s="89"/>
      <c r="B583" s="90"/>
      <c r="C583" s="91"/>
      <c r="D583" s="9"/>
      <c r="H583" s="89"/>
      <c r="I583" s="10"/>
      <c r="J583" s="1"/>
      <c r="K583" s="1"/>
      <c r="L583" s="11"/>
      <c r="M583" s="11"/>
    </row>
    <row r="584" spans="1:13" ht="18.600000000000001">
      <c r="A584" s="89"/>
      <c r="B584" s="90"/>
      <c r="C584" s="91"/>
      <c r="D584" s="9"/>
      <c r="H584" s="89"/>
      <c r="I584" s="10"/>
      <c r="J584" s="1"/>
      <c r="K584" s="1"/>
      <c r="L584" s="11"/>
      <c r="M584" s="11"/>
    </row>
    <row r="585" spans="1:13" ht="18.600000000000001">
      <c r="A585" s="89"/>
      <c r="B585" s="90"/>
      <c r="C585" s="91"/>
      <c r="D585" s="9"/>
      <c r="H585" s="89"/>
      <c r="I585" s="10"/>
      <c r="J585" s="1"/>
      <c r="K585" s="1"/>
      <c r="L585" s="11"/>
      <c r="M585" s="11"/>
    </row>
    <row r="586" spans="1:13" ht="18.600000000000001">
      <c r="A586" s="89"/>
      <c r="B586" s="90"/>
      <c r="C586" s="91"/>
      <c r="D586" s="9"/>
      <c r="H586" s="89"/>
      <c r="I586" s="10"/>
      <c r="J586" s="1"/>
      <c r="K586" s="1"/>
      <c r="L586" s="11"/>
      <c r="M586" s="11"/>
    </row>
    <row r="587" spans="1:13" ht="18.600000000000001">
      <c r="A587" s="89"/>
      <c r="B587" s="90"/>
      <c r="C587" s="91"/>
      <c r="D587" s="9"/>
      <c r="H587" s="89"/>
      <c r="I587" s="10"/>
      <c r="J587" s="1"/>
      <c r="K587" s="1"/>
      <c r="L587" s="11"/>
      <c r="M587" s="11"/>
    </row>
    <row r="588" spans="1:13" ht="18.600000000000001">
      <c r="A588" s="89"/>
      <c r="B588" s="90"/>
      <c r="C588" s="91"/>
      <c r="D588" s="9"/>
      <c r="H588" s="89"/>
      <c r="I588" s="10"/>
      <c r="J588" s="1"/>
      <c r="K588" s="1"/>
      <c r="L588" s="11"/>
      <c r="M588" s="11"/>
    </row>
    <row r="589" spans="1:13" ht="18.600000000000001">
      <c r="A589" s="89"/>
      <c r="B589" s="90"/>
      <c r="C589" s="91"/>
      <c r="D589" s="9"/>
      <c r="H589" s="89"/>
      <c r="I589" s="10"/>
      <c r="J589" s="1"/>
      <c r="K589" s="1"/>
      <c r="L589" s="11"/>
      <c r="M589" s="11"/>
    </row>
    <row r="590" spans="1:13" ht="18.600000000000001">
      <c r="A590" s="89"/>
      <c r="B590" s="90"/>
      <c r="C590" s="91"/>
      <c r="D590" s="9"/>
      <c r="H590" s="89"/>
      <c r="I590" s="10"/>
      <c r="J590" s="1"/>
      <c r="K590" s="1"/>
      <c r="L590" s="11"/>
      <c r="M590" s="11"/>
    </row>
    <row r="591" spans="1:13" ht="18.600000000000001">
      <c r="A591" s="89"/>
      <c r="B591" s="90"/>
      <c r="C591" s="91"/>
      <c r="D591" s="9"/>
      <c r="H591" s="89"/>
      <c r="I591" s="10"/>
      <c r="J591" s="1"/>
      <c r="K591" s="1"/>
      <c r="L591" s="11"/>
      <c r="M591" s="11"/>
    </row>
    <row r="592" spans="1:13" ht="18.600000000000001">
      <c r="A592" s="89"/>
      <c r="B592" s="90"/>
      <c r="C592" s="91"/>
      <c r="D592" s="9"/>
      <c r="H592" s="89"/>
      <c r="I592" s="10"/>
      <c r="J592" s="1"/>
      <c r="K592" s="1"/>
      <c r="L592" s="11"/>
      <c r="M592" s="11"/>
    </row>
    <row r="593" spans="1:13" ht="18.600000000000001">
      <c r="A593" s="89"/>
      <c r="B593" s="90"/>
      <c r="C593" s="91"/>
      <c r="D593" s="9"/>
      <c r="H593" s="89"/>
      <c r="I593" s="10"/>
      <c r="J593" s="1"/>
      <c r="K593" s="1"/>
      <c r="L593" s="11"/>
      <c r="M593" s="11"/>
    </row>
    <row r="594" spans="1:13" ht="18.600000000000001">
      <c r="A594" s="89"/>
      <c r="B594" s="90"/>
      <c r="C594" s="91"/>
      <c r="D594" s="9"/>
      <c r="H594" s="89"/>
      <c r="I594" s="10"/>
      <c r="J594" s="1"/>
      <c r="K594" s="1"/>
      <c r="L594" s="11"/>
      <c r="M594" s="11"/>
    </row>
    <row r="595" spans="1:13" ht="18.600000000000001">
      <c r="A595" s="89"/>
      <c r="B595" s="90"/>
      <c r="C595" s="91"/>
      <c r="D595" s="9"/>
      <c r="H595" s="89"/>
      <c r="I595" s="10"/>
      <c r="J595" s="1"/>
      <c r="K595" s="1"/>
      <c r="L595" s="11"/>
      <c r="M595" s="11"/>
    </row>
    <row r="596" spans="1:13" ht="18.600000000000001">
      <c r="A596" s="89"/>
      <c r="B596" s="90"/>
      <c r="C596" s="91"/>
      <c r="D596" s="9"/>
      <c r="H596" s="89"/>
      <c r="I596" s="10"/>
      <c r="J596" s="1"/>
      <c r="K596" s="1"/>
      <c r="L596" s="11"/>
      <c r="M596" s="11"/>
    </row>
    <row r="597" spans="1:13" ht="18.600000000000001">
      <c r="A597" s="89"/>
      <c r="B597" s="90"/>
      <c r="C597" s="91"/>
      <c r="D597" s="9"/>
      <c r="H597" s="89"/>
      <c r="I597" s="10"/>
      <c r="J597" s="1"/>
      <c r="K597" s="1"/>
      <c r="L597" s="11"/>
      <c r="M597" s="11"/>
    </row>
    <row r="598" spans="1:13" ht="18.600000000000001">
      <c r="A598" s="89"/>
      <c r="B598" s="90"/>
      <c r="C598" s="91"/>
      <c r="D598" s="9"/>
      <c r="H598" s="89"/>
      <c r="I598" s="10"/>
      <c r="J598" s="1"/>
      <c r="K598" s="1"/>
      <c r="L598" s="11"/>
      <c r="M598" s="11"/>
    </row>
    <row r="599" spans="1:13" ht="18.600000000000001">
      <c r="A599" s="89"/>
      <c r="B599" s="90"/>
      <c r="C599" s="91"/>
      <c r="D599" s="9"/>
      <c r="H599" s="89"/>
      <c r="I599" s="10"/>
      <c r="J599" s="1"/>
      <c r="K599" s="1"/>
      <c r="L599" s="11"/>
      <c r="M599" s="11"/>
    </row>
    <row r="600" spans="1:13" ht="18.600000000000001">
      <c r="A600" s="89"/>
      <c r="B600" s="90"/>
      <c r="C600" s="91"/>
      <c r="D600" s="9"/>
      <c r="H600" s="89"/>
      <c r="I600" s="10"/>
      <c r="J600" s="1"/>
      <c r="K600" s="1"/>
      <c r="L600" s="11"/>
      <c r="M600" s="11"/>
    </row>
    <row r="601" spans="1:13" ht="18.600000000000001">
      <c r="A601" s="89"/>
      <c r="B601" s="90"/>
      <c r="C601" s="91"/>
      <c r="D601" s="9"/>
      <c r="H601" s="89"/>
      <c r="I601" s="10"/>
      <c r="J601" s="1"/>
      <c r="K601" s="1"/>
      <c r="L601" s="11"/>
      <c r="M601" s="11"/>
    </row>
    <row r="602" spans="1:13" ht="18.600000000000001">
      <c r="A602" s="89"/>
      <c r="B602" s="90"/>
      <c r="C602" s="91"/>
      <c r="D602" s="9"/>
      <c r="H602" s="89"/>
      <c r="I602" s="10"/>
      <c r="J602" s="1"/>
      <c r="K602" s="1"/>
      <c r="L602" s="11"/>
      <c r="M602" s="11"/>
    </row>
    <row r="603" spans="1:13" ht="18.600000000000001">
      <c r="A603" s="89"/>
      <c r="B603" s="90"/>
      <c r="C603" s="91"/>
      <c r="D603" s="9"/>
      <c r="H603" s="89"/>
      <c r="I603" s="10"/>
      <c r="J603" s="1"/>
      <c r="K603" s="1"/>
      <c r="L603" s="11"/>
      <c r="M603" s="11"/>
    </row>
    <row r="604" spans="1:13" ht="18.600000000000001">
      <c r="A604" s="89"/>
      <c r="B604" s="90"/>
      <c r="C604" s="91"/>
      <c r="D604" s="9"/>
      <c r="H604" s="89"/>
      <c r="I604" s="10"/>
      <c r="J604" s="1"/>
      <c r="K604" s="1"/>
      <c r="L604" s="11"/>
      <c r="M604" s="11"/>
    </row>
    <row r="605" spans="1:13" ht="18.600000000000001">
      <c r="A605" s="89"/>
      <c r="B605" s="90"/>
      <c r="C605" s="91"/>
      <c r="D605" s="9"/>
      <c r="H605" s="89"/>
      <c r="I605" s="10"/>
      <c r="J605" s="1"/>
      <c r="K605" s="1"/>
      <c r="L605" s="11"/>
      <c r="M605" s="11"/>
    </row>
    <row r="606" spans="1:13" ht="18.600000000000001">
      <c r="A606" s="89"/>
      <c r="B606" s="90"/>
      <c r="C606" s="91"/>
      <c r="D606" s="9"/>
      <c r="H606" s="89"/>
      <c r="I606" s="10"/>
      <c r="J606" s="1"/>
      <c r="K606" s="1"/>
      <c r="L606" s="11"/>
      <c r="M606" s="11"/>
    </row>
    <row r="607" spans="1:13" ht="18.600000000000001">
      <c r="A607" s="89"/>
      <c r="B607" s="90"/>
      <c r="C607" s="91"/>
      <c r="D607" s="9"/>
      <c r="H607" s="89"/>
      <c r="I607" s="10"/>
      <c r="J607" s="1"/>
      <c r="K607" s="1"/>
      <c r="L607" s="11"/>
      <c r="M607" s="11"/>
    </row>
    <row r="608" spans="1:13" ht="18.600000000000001">
      <c r="A608" s="89"/>
      <c r="B608" s="90"/>
      <c r="C608" s="91"/>
      <c r="D608" s="9"/>
      <c r="H608" s="89"/>
      <c r="I608" s="10"/>
      <c r="J608" s="1"/>
      <c r="K608" s="1"/>
      <c r="L608" s="11"/>
      <c r="M608" s="11"/>
    </row>
    <row r="609" spans="1:13" ht="18.600000000000001">
      <c r="A609" s="89"/>
      <c r="B609" s="90"/>
      <c r="C609" s="91"/>
      <c r="D609" s="9"/>
      <c r="H609" s="89"/>
      <c r="I609" s="10"/>
      <c r="J609" s="1"/>
      <c r="K609" s="1"/>
      <c r="L609" s="11"/>
      <c r="M609" s="11"/>
    </row>
    <row r="610" spans="1:13" ht="18.600000000000001">
      <c r="A610" s="89"/>
      <c r="B610" s="90"/>
      <c r="C610" s="91"/>
      <c r="D610" s="9"/>
      <c r="H610" s="89"/>
      <c r="I610" s="10"/>
      <c r="J610" s="1"/>
      <c r="K610" s="1"/>
      <c r="L610" s="11"/>
      <c r="M610" s="11"/>
    </row>
    <row r="611" spans="1:13" ht="18.600000000000001">
      <c r="A611" s="89"/>
      <c r="B611" s="90"/>
      <c r="C611" s="91"/>
      <c r="D611" s="9"/>
      <c r="H611" s="89"/>
      <c r="I611" s="10"/>
      <c r="J611" s="1"/>
      <c r="K611" s="1"/>
      <c r="L611" s="11"/>
      <c r="M611" s="11"/>
    </row>
    <row r="612" spans="1:13" ht="18.600000000000001">
      <c r="A612" s="89"/>
      <c r="B612" s="90"/>
      <c r="C612" s="91"/>
      <c r="D612" s="9"/>
      <c r="H612" s="89"/>
      <c r="I612" s="10"/>
      <c r="J612" s="1"/>
      <c r="K612" s="1"/>
      <c r="L612" s="11"/>
      <c r="M612" s="11"/>
    </row>
    <row r="613" spans="1:13" ht="18.600000000000001">
      <c r="A613" s="89"/>
      <c r="B613" s="90"/>
      <c r="C613" s="91"/>
      <c r="D613" s="9"/>
      <c r="H613" s="89"/>
      <c r="I613" s="10"/>
      <c r="J613" s="1"/>
      <c r="K613" s="1"/>
      <c r="L613" s="11"/>
      <c r="M613" s="11"/>
    </row>
    <row r="614" spans="1:13" ht="18.600000000000001">
      <c r="A614" s="89"/>
      <c r="B614" s="90"/>
      <c r="C614" s="91"/>
      <c r="D614" s="9"/>
      <c r="H614" s="89"/>
      <c r="I614" s="10"/>
      <c r="J614" s="1"/>
      <c r="K614" s="1"/>
      <c r="L614" s="11"/>
      <c r="M614" s="11"/>
    </row>
    <row r="615" spans="1:13" ht="18.600000000000001">
      <c r="A615" s="89"/>
      <c r="B615" s="90"/>
      <c r="C615" s="91"/>
      <c r="D615" s="9"/>
      <c r="H615" s="89"/>
      <c r="I615" s="10"/>
      <c r="J615" s="1"/>
      <c r="K615" s="1"/>
      <c r="L615" s="11"/>
      <c r="M615" s="11"/>
    </row>
    <row r="616" spans="1:13" ht="18.600000000000001">
      <c r="A616" s="89"/>
      <c r="B616" s="90"/>
      <c r="C616" s="91"/>
      <c r="D616" s="9"/>
      <c r="H616" s="89"/>
      <c r="I616" s="10"/>
      <c r="J616" s="1"/>
      <c r="K616" s="1"/>
      <c r="L616" s="11"/>
      <c r="M616" s="11"/>
    </row>
    <row r="617" spans="1:13" ht="18.600000000000001">
      <c r="A617" s="89"/>
      <c r="B617" s="90"/>
      <c r="C617" s="91"/>
      <c r="D617" s="9"/>
      <c r="H617" s="89"/>
      <c r="I617" s="10"/>
      <c r="J617" s="1"/>
      <c r="K617" s="1"/>
      <c r="L617" s="11"/>
      <c r="M617" s="11"/>
    </row>
    <row r="618" spans="1:13" ht="18.600000000000001">
      <c r="A618" s="89"/>
      <c r="B618" s="90"/>
      <c r="C618" s="91"/>
      <c r="D618" s="9"/>
      <c r="H618" s="89"/>
      <c r="I618" s="10"/>
      <c r="J618" s="1"/>
      <c r="K618" s="1"/>
      <c r="L618" s="11"/>
      <c r="M618" s="11"/>
    </row>
    <row r="619" spans="1:13" ht="18.600000000000001">
      <c r="A619" s="89"/>
      <c r="B619" s="90"/>
      <c r="C619" s="91"/>
      <c r="D619" s="9"/>
      <c r="H619" s="89"/>
      <c r="I619" s="10"/>
      <c r="J619" s="1"/>
      <c r="K619" s="1"/>
      <c r="L619" s="11"/>
      <c r="M619" s="11"/>
    </row>
    <row r="620" spans="1:13" ht="18.600000000000001">
      <c r="A620" s="89"/>
      <c r="B620" s="90"/>
      <c r="C620" s="91"/>
      <c r="D620" s="9"/>
      <c r="H620" s="89"/>
      <c r="I620" s="10"/>
      <c r="J620" s="1"/>
      <c r="K620" s="1"/>
      <c r="L620" s="11"/>
      <c r="M620" s="11"/>
    </row>
    <row r="621" spans="1:13" ht="18.600000000000001">
      <c r="A621" s="89"/>
      <c r="B621" s="90"/>
      <c r="C621" s="91"/>
      <c r="D621" s="9"/>
      <c r="H621" s="89"/>
      <c r="I621" s="10"/>
      <c r="J621" s="1"/>
      <c r="K621" s="1"/>
      <c r="L621" s="11"/>
      <c r="M621" s="11"/>
    </row>
    <row r="622" spans="1:13" ht="18.600000000000001">
      <c r="A622" s="89"/>
      <c r="B622" s="90"/>
      <c r="C622" s="91"/>
      <c r="D622" s="9"/>
      <c r="H622" s="89"/>
      <c r="I622" s="10"/>
      <c r="J622" s="1"/>
      <c r="K622" s="1"/>
      <c r="L622" s="11"/>
      <c r="M622" s="11"/>
    </row>
    <row r="623" spans="1:13" ht="18.600000000000001">
      <c r="A623" s="89"/>
      <c r="B623" s="90"/>
      <c r="C623" s="91"/>
      <c r="D623" s="9"/>
      <c r="H623" s="89"/>
      <c r="I623" s="10"/>
      <c r="J623" s="1"/>
      <c r="K623" s="1"/>
      <c r="L623" s="11"/>
      <c r="M623" s="11"/>
    </row>
    <row r="624" spans="1:13" ht="18.600000000000001">
      <c r="A624" s="89"/>
      <c r="B624" s="90"/>
      <c r="C624" s="91"/>
      <c r="D624" s="9"/>
      <c r="H624" s="89"/>
      <c r="I624" s="10"/>
      <c r="J624" s="1"/>
      <c r="K624" s="1"/>
      <c r="L624" s="11"/>
      <c r="M624" s="11"/>
    </row>
    <row r="625" spans="1:13" ht="18.600000000000001">
      <c r="A625" s="89"/>
      <c r="B625" s="90"/>
      <c r="C625" s="91"/>
      <c r="D625" s="9"/>
      <c r="H625" s="89"/>
      <c r="I625" s="10"/>
      <c r="J625" s="1"/>
      <c r="K625" s="1"/>
      <c r="L625" s="11"/>
      <c r="M625" s="11"/>
    </row>
    <row r="626" spans="1:13" ht="18.600000000000001">
      <c r="A626" s="89"/>
      <c r="B626" s="90"/>
      <c r="C626" s="91"/>
      <c r="D626" s="9"/>
      <c r="H626" s="89"/>
      <c r="I626" s="10"/>
      <c r="J626" s="1"/>
      <c r="K626" s="1"/>
      <c r="L626" s="11"/>
      <c r="M626" s="11"/>
    </row>
    <row r="627" spans="1:13" ht="18.600000000000001">
      <c r="A627" s="89"/>
      <c r="B627" s="90"/>
      <c r="C627" s="91"/>
      <c r="D627" s="9"/>
      <c r="H627" s="89"/>
      <c r="I627" s="10"/>
      <c r="J627" s="1"/>
      <c r="K627" s="1"/>
      <c r="L627" s="11"/>
      <c r="M627" s="11"/>
    </row>
    <row r="628" spans="1:13" ht="18.600000000000001">
      <c r="A628" s="89"/>
      <c r="B628" s="90"/>
      <c r="C628" s="91"/>
      <c r="D628" s="9"/>
      <c r="H628" s="89"/>
      <c r="I628" s="10"/>
      <c r="J628" s="1"/>
      <c r="K628" s="1"/>
      <c r="L628" s="11"/>
      <c r="M628" s="11"/>
    </row>
    <row r="629" spans="1:13" ht="18.600000000000001">
      <c r="A629" s="89"/>
      <c r="B629" s="90"/>
      <c r="C629" s="91"/>
      <c r="D629" s="9"/>
      <c r="H629" s="89"/>
      <c r="I629" s="10"/>
      <c r="J629" s="1"/>
      <c r="K629" s="1"/>
      <c r="L629" s="11"/>
      <c r="M629" s="11"/>
    </row>
    <row r="630" spans="1:13" ht="18.600000000000001">
      <c r="A630" s="89"/>
      <c r="B630" s="90"/>
      <c r="C630" s="91"/>
      <c r="D630" s="9"/>
      <c r="H630" s="89"/>
      <c r="I630" s="10"/>
      <c r="J630" s="1"/>
      <c r="K630" s="1"/>
      <c r="L630" s="11"/>
      <c r="M630" s="11"/>
    </row>
    <row r="631" spans="1:13" ht="18.600000000000001">
      <c r="A631" s="89"/>
      <c r="B631" s="90"/>
      <c r="C631" s="91"/>
      <c r="D631" s="9"/>
      <c r="H631" s="89"/>
      <c r="I631" s="10"/>
      <c r="J631" s="1"/>
      <c r="K631" s="1"/>
      <c r="L631" s="11"/>
      <c r="M631" s="11"/>
    </row>
    <row r="632" spans="1:13" ht="18.600000000000001">
      <c r="A632" s="89"/>
      <c r="B632" s="90"/>
      <c r="C632" s="91"/>
      <c r="D632" s="9"/>
      <c r="H632" s="89"/>
      <c r="I632" s="10"/>
      <c r="J632" s="1"/>
      <c r="K632" s="1"/>
      <c r="L632" s="11"/>
      <c r="M632" s="11"/>
    </row>
    <row r="633" spans="1:13" ht="18.600000000000001">
      <c r="A633" s="89"/>
      <c r="B633" s="90"/>
      <c r="C633" s="91"/>
      <c r="D633" s="9"/>
      <c r="H633" s="89"/>
      <c r="I633" s="10"/>
      <c r="J633" s="1"/>
      <c r="K633" s="1"/>
      <c r="L633" s="11"/>
      <c r="M633" s="11"/>
    </row>
    <row r="634" spans="1:13" ht="18.600000000000001">
      <c r="A634" s="89"/>
      <c r="B634" s="90"/>
      <c r="C634" s="91"/>
      <c r="D634" s="9"/>
      <c r="H634" s="89"/>
      <c r="I634" s="10"/>
      <c r="J634" s="1"/>
      <c r="K634" s="1"/>
      <c r="L634" s="11"/>
      <c r="M634" s="11"/>
    </row>
    <row r="635" spans="1:13" ht="18.600000000000001">
      <c r="A635" s="89"/>
      <c r="B635" s="90"/>
      <c r="C635" s="91"/>
      <c r="D635" s="9"/>
      <c r="H635" s="89"/>
      <c r="I635" s="10"/>
      <c r="J635" s="1"/>
      <c r="K635" s="1"/>
      <c r="L635" s="11"/>
      <c r="M635" s="11"/>
    </row>
    <row r="636" spans="1:13" ht="18.600000000000001">
      <c r="A636" s="89"/>
      <c r="B636" s="90"/>
      <c r="C636" s="91"/>
      <c r="D636" s="9"/>
      <c r="H636" s="89"/>
      <c r="I636" s="10"/>
      <c r="J636" s="1"/>
      <c r="K636" s="1"/>
      <c r="L636" s="11"/>
      <c r="M636" s="11"/>
    </row>
    <row r="637" spans="1:13" ht="18.600000000000001">
      <c r="A637" s="89"/>
      <c r="B637" s="90"/>
      <c r="C637" s="91"/>
      <c r="D637" s="9"/>
      <c r="H637" s="89"/>
      <c r="I637" s="10"/>
      <c r="J637" s="1"/>
      <c r="K637" s="1"/>
      <c r="L637" s="11"/>
      <c r="M637" s="11"/>
    </row>
    <row r="638" spans="1:13" ht="18.600000000000001">
      <c r="A638" s="89"/>
      <c r="B638" s="90"/>
      <c r="C638" s="91"/>
      <c r="D638" s="9"/>
      <c r="H638" s="89"/>
      <c r="I638" s="10"/>
      <c r="J638" s="1"/>
      <c r="K638" s="1"/>
      <c r="L638" s="11"/>
      <c r="M638" s="11"/>
    </row>
    <row r="639" spans="1:13" ht="18.600000000000001">
      <c r="A639" s="89"/>
      <c r="B639" s="90"/>
      <c r="C639" s="91"/>
      <c r="D639" s="9"/>
      <c r="H639" s="89"/>
      <c r="I639" s="10"/>
      <c r="J639" s="1"/>
      <c r="K639" s="1"/>
      <c r="L639" s="11"/>
      <c r="M639" s="11"/>
    </row>
    <row r="640" spans="1:13" ht="18.600000000000001">
      <c r="A640" s="89"/>
      <c r="B640" s="90"/>
      <c r="C640" s="91"/>
      <c r="D640" s="9"/>
      <c r="H640" s="89"/>
      <c r="I640" s="10"/>
      <c r="J640" s="1"/>
      <c r="K640" s="1"/>
      <c r="L640" s="11"/>
      <c r="M640" s="11"/>
    </row>
    <row r="641" spans="1:13" ht="18.600000000000001">
      <c r="A641" s="89"/>
      <c r="B641" s="90"/>
      <c r="C641" s="91"/>
      <c r="D641" s="9"/>
      <c r="H641" s="89"/>
      <c r="I641" s="10"/>
      <c r="J641" s="1"/>
      <c r="K641" s="1"/>
      <c r="L641" s="11"/>
      <c r="M641" s="11"/>
    </row>
    <row r="642" spans="1:13" ht="18.600000000000001">
      <c r="A642" s="89"/>
      <c r="B642" s="90"/>
      <c r="C642" s="91"/>
      <c r="D642" s="9"/>
      <c r="H642" s="89"/>
      <c r="I642" s="10"/>
      <c r="J642" s="1"/>
      <c r="K642" s="1"/>
      <c r="L642" s="11"/>
      <c r="M642" s="11"/>
    </row>
    <row r="643" spans="1:13" ht="18.600000000000001">
      <c r="A643" s="89"/>
      <c r="B643" s="90"/>
      <c r="C643" s="91"/>
      <c r="D643" s="9"/>
      <c r="H643" s="89"/>
      <c r="I643" s="10"/>
      <c r="J643" s="1"/>
      <c r="K643" s="1"/>
      <c r="L643" s="11"/>
      <c r="M643" s="11"/>
    </row>
    <row r="644" spans="1:13" ht="18.600000000000001">
      <c r="A644" s="89"/>
      <c r="B644" s="90"/>
      <c r="C644" s="91"/>
      <c r="D644" s="9"/>
      <c r="H644" s="89"/>
      <c r="I644" s="10"/>
      <c r="J644" s="1"/>
      <c r="K644" s="1"/>
      <c r="L644" s="11"/>
      <c r="M644" s="11"/>
    </row>
    <row r="645" spans="1:13" ht="18.600000000000001">
      <c r="A645" s="89"/>
      <c r="B645" s="90"/>
      <c r="C645" s="91"/>
      <c r="D645" s="9"/>
      <c r="H645" s="89"/>
      <c r="I645" s="10"/>
      <c r="J645" s="1"/>
      <c r="K645" s="1"/>
      <c r="L645" s="11"/>
      <c r="M645" s="11"/>
    </row>
    <row r="646" spans="1:13" ht="18.600000000000001">
      <c r="A646" s="89"/>
      <c r="B646" s="90"/>
      <c r="C646" s="91"/>
      <c r="D646" s="9"/>
      <c r="H646" s="89"/>
      <c r="I646" s="10"/>
      <c r="J646" s="1"/>
      <c r="K646" s="1"/>
      <c r="L646" s="11"/>
      <c r="M646" s="11"/>
    </row>
    <row r="647" spans="1:13" ht="18.600000000000001">
      <c r="A647" s="89"/>
      <c r="B647" s="90"/>
      <c r="C647" s="91"/>
      <c r="D647" s="9"/>
      <c r="H647" s="89"/>
      <c r="I647" s="10"/>
      <c r="J647" s="1"/>
      <c r="K647" s="1"/>
      <c r="L647" s="11"/>
      <c r="M647" s="11"/>
    </row>
    <row r="648" spans="1:13" ht="18.600000000000001">
      <c r="A648" s="89"/>
      <c r="B648" s="90"/>
      <c r="C648" s="91"/>
      <c r="D648" s="9"/>
      <c r="H648" s="89"/>
      <c r="I648" s="10"/>
      <c r="J648" s="1"/>
      <c r="K648" s="1"/>
      <c r="L648" s="11"/>
      <c r="M648" s="11"/>
    </row>
    <row r="649" spans="1:13" ht="18.600000000000001">
      <c r="A649" s="89"/>
      <c r="B649" s="90"/>
      <c r="C649" s="91"/>
      <c r="D649" s="9"/>
      <c r="H649" s="89"/>
      <c r="I649" s="10"/>
      <c r="J649" s="1"/>
      <c r="K649" s="1"/>
      <c r="L649" s="11"/>
      <c r="M649" s="11"/>
    </row>
    <row r="650" spans="1:13" ht="18.600000000000001">
      <c r="A650" s="89"/>
      <c r="B650" s="90"/>
      <c r="C650" s="91"/>
      <c r="D650" s="9"/>
      <c r="H650" s="89"/>
      <c r="I650" s="10"/>
      <c r="J650" s="1"/>
      <c r="K650" s="1"/>
      <c r="L650" s="11"/>
      <c r="M650" s="11"/>
    </row>
    <row r="651" spans="1:13" ht="18.600000000000001">
      <c r="A651" s="89"/>
      <c r="B651" s="90"/>
      <c r="C651" s="91"/>
      <c r="D651" s="9"/>
      <c r="H651" s="89"/>
      <c r="I651" s="10"/>
      <c r="J651" s="1"/>
      <c r="K651" s="1"/>
      <c r="L651" s="11"/>
      <c r="M651" s="11"/>
    </row>
    <row r="652" spans="1:13" ht="18.600000000000001">
      <c r="A652" s="89"/>
      <c r="B652" s="90"/>
      <c r="C652" s="91"/>
      <c r="D652" s="9"/>
      <c r="H652" s="89"/>
      <c r="I652" s="10"/>
      <c r="J652" s="1"/>
      <c r="K652" s="1"/>
      <c r="L652" s="11"/>
      <c r="M652" s="11"/>
    </row>
    <row r="653" spans="1:13" ht="18.600000000000001">
      <c r="A653" s="89"/>
      <c r="B653" s="90"/>
      <c r="C653" s="91"/>
      <c r="D653" s="9"/>
      <c r="H653" s="89"/>
      <c r="I653" s="10"/>
      <c r="J653" s="1"/>
      <c r="K653" s="1"/>
      <c r="L653" s="11"/>
      <c r="M653" s="11"/>
    </row>
    <row r="654" spans="1:13" ht="18.600000000000001">
      <c r="A654" s="89"/>
      <c r="B654" s="90"/>
      <c r="C654" s="91"/>
      <c r="D654" s="9"/>
      <c r="H654" s="89"/>
      <c r="I654" s="10"/>
      <c r="J654" s="1"/>
      <c r="K654" s="1"/>
      <c r="L654" s="11"/>
      <c r="M654" s="11"/>
    </row>
    <row r="655" spans="1:13" ht="18.600000000000001">
      <c r="A655" s="89"/>
      <c r="B655" s="90"/>
      <c r="C655" s="91"/>
      <c r="D655" s="9"/>
      <c r="H655" s="89"/>
      <c r="I655" s="10"/>
      <c r="J655" s="1"/>
      <c r="K655" s="1"/>
      <c r="L655" s="11"/>
      <c r="M655" s="11"/>
    </row>
    <row r="656" spans="1:13" ht="18.600000000000001">
      <c r="A656" s="89"/>
      <c r="B656" s="90"/>
      <c r="C656" s="91"/>
      <c r="D656" s="9"/>
      <c r="H656" s="89"/>
      <c r="I656" s="10"/>
      <c r="J656" s="1"/>
      <c r="K656" s="1"/>
      <c r="L656" s="11"/>
      <c r="M656" s="11"/>
    </row>
    <row r="657" spans="1:13" ht="18.600000000000001">
      <c r="A657" s="89"/>
      <c r="B657" s="90"/>
      <c r="C657" s="91"/>
      <c r="D657" s="9"/>
      <c r="H657" s="89"/>
      <c r="I657" s="10"/>
      <c r="J657" s="1"/>
      <c r="K657" s="1"/>
      <c r="L657" s="11"/>
      <c r="M657" s="11"/>
    </row>
    <row r="658" spans="1:13" ht="18.600000000000001">
      <c r="A658" s="89"/>
      <c r="B658" s="90"/>
      <c r="C658" s="91"/>
      <c r="D658" s="9"/>
      <c r="H658" s="89"/>
      <c r="I658" s="10"/>
      <c r="J658" s="1"/>
      <c r="K658" s="1"/>
      <c r="L658" s="11"/>
      <c r="M658" s="11"/>
    </row>
    <row r="659" spans="1:13" ht="18.600000000000001">
      <c r="A659" s="89"/>
      <c r="B659" s="90"/>
      <c r="C659" s="91"/>
      <c r="D659" s="9"/>
      <c r="H659" s="89"/>
      <c r="I659" s="10"/>
      <c r="J659" s="1"/>
      <c r="K659" s="1"/>
      <c r="L659" s="11"/>
      <c r="M659" s="11"/>
    </row>
    <row r="660" spans="1:13" ht="18.600000000000001">
      <c r="A660" s="89"/>
      <c r="B660" s="90"/>
      <c r="C660" s="91"/>
      <c r="D660" s="9"/>
      <c r="H660" s="89"/>
      <c r="I660" s="10"/>
      <c r="J660" s="1"/>
      <c r="K660" s="1"/>
      <c r="L660" s="11"/>
      <c r="M660" s="11"/>
    </row>
    <row r="661" spans="1:13" ht="18.600000000000001">
      <c r="A661" s="89"/>
      <c r="B661" s="90"/>
      <c r="C661" s="91"/>
      <c r="D661" s="9"/>
      <c r="H661" s="89"/>
      <c r="I661" s="10"/>
      <c r="J661" s="1"/>
      <c r="K661" s="1"/>
      <c r="L661" s="11"/>
      <c r="M661" s="11"/>
    </row>
    <row r="662" spans="1:13" ht="18.600000000000001">
      <c r="A662" s="89"/>
      <c r="B662" s="90"/>
      <c r="C662" s="91"/>
      <c r="D662" s="9"/>
      <c r="H662" s="89"/>
      <c r="I662" s="10"/>
      <c r="J662" s="1"/>
      <c r="K662" s="1"/>
      <c r="L662" s="11"/>
      <c r="M662" s="11"/>
    </row>
    <row r="663" spans="1:13" ht="18.600000000000001">
      <c r="A663" s="89"/>
      <c r="B663" s="90"/>
      <c r="C663" s="91"/>
      <c r="D663" s="9"/>
      <c r="H663" s="89"/>
      <c r="I663" s="10"/>
      <c r="J663" s="1"/>
      <c r="K663" s="1"/>
      <c r="L663" s="11"/>
      <c r="M663" s="11"/>
    </row>
    <row r="664" spans="1:13" ht="18.600000000000001">
      <c r="A664" s="89"/>
      <c r="B664" s="90"/>
      <c r="C664" s="91"/>
      <c r="D664" s="9"/>
      <c r="H664" s="89"/>
      <c r="I664" s="10"/>
      <c r="J664" s="1"/>
      <c r="K664" s="1"/>
      <c r="L664" s="11"/>
      <c r="M664" s="11"/>
    </row>
    <row r="665" spans="1:13" ht="18.600000000000001">
      <c r="A665" s="89"/>
      <c r="B665" s="90"/>
      <c r="C665" s="91"/>
      <c r="D665" s="9"/>
      <c r="H665" s="89"/>
      <c r="I665" s="10"/>
      <c r="J665" s="1"/>
      <c r="K665" s="1"/>
      <c r="L665" s="11"/>
      <c r="M665" s="11"/>
    </row>
    <row r="666" spans="1:13" ht="18.600000000000001">
      <c r="A666" s="89"/>
      <c r="B666" s="90"/>
      <c r="C666" s="91"/>
      <c r="D666" s="9"/>
      <c r="H666" s="89"/>
      <c r="I666" s="10"/>
      <c r="J666" s="1"/>
      <c r="K666" s="1"/>
      <c r="L666" s="11"/>
      <c r="M666" s="11"/>
    </row>
    <row r="667" spans="1:13" ht="18.600000000000001">
      <c r="A667" s="89"/>
      <c r="B667" s="90"/>
      <c r="C667" s="91"/>
      <c r="D667" s="9"/>
      <c r="H667" s="89"/>
      <c r="I667" s="10"/>
      <c r="J667" s="1"/>
      <c r="K667" s="1"/>
      <c r="L667" s="11"/>
      <c r="M667" s="11"/>
    </row>
    <row r="668" spans="1:13" ht="18.600000000000001">
      <c r="A668" s="89"/>
      <c r="B668" s="90"/>
      <c r="C668" s="91"/>
      <c r="D668" s="9"/>
      <c r="H668" s="89"/>
      <c r="I668" s="10"/>
      <c r="J668" s="1"/>
      <c r="K668" s="1"/>
      <c r="L668" s="11"/>
      <c r="M668" s="11"/>
    </row>
    <row r="669" spans="1:13" ht="18.600000000000001">
      <c r="A669" s="89"/>
      <c r="B669" s="90"/>
      <c r="C669" s="91"/>
      <c r="D669" s="9"/>
      <c r="H669" s="89"/>
      <c r="I669" s="10"/>
      <c r="J669" s="1"/>
      <c r="K669" s="1"/>
      <c r="L669" s="11"/>
      <c r="M669" s="11"/>
    </row>
    <row r="670" spans="1:13" ht="18.600000000000001">
      <c r="A670" s="89"/>
      <c r="B670" s="90"/>
      <c r="C670" s="91"/>
      <c r="D670" s="9"/>
      <c r="H670" s="89"/>
      <c r="I670" s="10"/>
      <c r="J670" s="1"/>
      <c r="K670" s="1"/>
      <c r="L670" s="11"/>
      <c r="M670" s="11"/>
    </row>
    <row r="671" spans="1:13" ht="18.600000000000001">
      <c r="A671" s="89"/>
      <c r="B671" s="90"/>
      <c r="C671" s="91"/>
      <c r="D671" s="9"/>
      <c r="H671" s="89"/>
      <c r="I671" s="10"/>
      <c r="J671" s="1"/>
      <c r="K671" s="1"/>
      <c r="L671" s="11"/>
      <c r="M671" s="11"/>
    </row>
    <row r="672" spans="1:13" ht="18.600000000000001">
      <c r="A672" s="89"/>
      <c r="B672" s="90"/>
      <c r="C672" s="91"/>
      <c r="D672" s="9"/>
      <c r="H672" s="89"/>
      <c r="I672" s="10"/>
      <c r="J672" s="1"/>
      <c r="K672" s="1"/>
      <c r="L672" s="11"/>
      <c r="M672" s="11"/>
    </row>
    <row r="673" spans="1:13" ht="18.600000000000001">
      <c r="A673" s="89"/>
      <c r="B673" s="90"/>
      <c r="C673" s="91"/>
      <c r="D673" s="9"/>
      <c r="H673" s="89"/>
      <c r="I673" s="10"/>
      <c r="J673" s="1"/>
      <c r="K673" s="1"/>
      <c r="L673" s="11"/>
      <c r="M673" s="11"/>
    </row>
    <row r="674" spans="1:13" ht="18.600000000000001">
      <c r="A674" s="89"/>
      <c r="B674" s="90"/>
      <c r="C674" s="91"/>
      <c r="D674" s="9"/>
      <c r="H674" s="89"/>
      <c r="I674" s="10"/>
      <c r="J674" s="1"/>
      <c r="K674" s="1"/>
      <c r="L674" s="11"/>
      <c r="M674" s="11"/>
    </row>
    <row r="675" spans="1:13" ht="18.600000000000001">
      <c r="A675" s="89"/>
      <c r="B675" s="90"/>
      <c r="C675" s="91"/>
      <c r="D675" s="9"/>
      <c r="H675" s="89"/>
      <c r="I675" s="10"/>
      <c r="J675" s="1"/>
      <c r="K675" s="1"/>
      <c r="L675" s="11"/>
      <c r="M675" s="11"/>
    </row>
    <row r="676" spans="1:13" ht="18.600000000000001">
      <c r="A676" s="89"/>
      <c r="B676" s="90"/>
      <c r="C676" s="91"/>
      <c r="D676" s="9"/>
      <c r="H676" s="89"/>
      <c r="I676" s="10"/>
      <c r="J676" s="1"/>
      <c r="K676" s="1"/>
      <c r="L676" s="11"/>
      <c r="M676" s="11"/>
    </row>
    <row r="677" spans="1:13" ht="18.600000000000001">
      <c r="A677" s="89"/>
      <c r="B677" s="90"/>
      <c r="C677" s="91"/>
      <c r="D677" s="9"/>
      <c r="H677" s="89"/>
      <c r="I677" s="10"/>
      <c r="J677" s="1"/>
      <c r="K677" s="1"/>
      <c r="L677" s="11"/>
      <c r="M677" s="11"/>
    </row>
    <row r="678" spans="1:13" ht="18.600000000000001">
      <c r="A678" s="89"/>
      <c r="B678" s="90"/>
      <c r="C678" s="91"/>
      <c r="D678" s="9"/>
      <c r="H678" s="89"/>
      <c r="I678" s="10"/>
      <c r="J678" s="1"/>
      <c r="K678" s="1"/>
      <c r="L678" s="11"/>
      <c r="M678" s="11"/>
    </row>
    <row r="679" spans="1:13" ht="18.600000000000001">
      <c r="A679" s="89"/>
      <c r="B679" s="90"/>
      <c r="C679" s="91"/>
      <c r="D679" s="9"/>
      <c r="H679" s="89"/>
      <c r="I679" s="10"/>
      <c r="J679" s="1"/>
      <c r="K679" s="1"/>
      <c r="L679" s="11"/>
      <c r="M679" s="11"/>
    </row>
    <row r="680" spans="1:13" ht="18.600000000000001">
      <c r="A680" s="89"/>
      <c r="B680" s="90"/>
      <c r="C680" s="91"/>
      <c r="D680" s="9"/>
      <c r="H680" s="89"/>
      <c r="I680" s="10"/>
      <c r="J680" s="1"/>
      <c r="K680" s="1"/>
      <c r="L680" s="11"/>
      <c r="M680" s="11"/>
    </row>
    <row r="681" spans="1:13" ht="18.600000000000001">
      <c r="A681" s="89"/>
      <c r="B681" s="90"/>
      <c r="C681" s="91"/>
      <c r="D681" s="9"/>
      <c r="H681" s="89"/>
      <c r="I681" s="10"/>
      <c r="J681" s="1"/>
      <c r="K681" s="1"/>
      <c r="L681" s="11"/>
      <c r="M681" s="11"/>
    </row>
    <row r="682" spans="1:13" ht="18.600000000000001">
      <c r="A682" s="89"/>
      <c r="B682" s="90"/>
      <c r="C682" s="91"/>
      <c r="D682" s="9"/>
      <c r="H682" s="89"/>
      <c r="I682" s="10"/>
      <c r="J682" s="1"/>
      <c r="K682" s="1"/>
      <c r="L682" s="11"/>
      <c r="M682" s="11"/>
    </row>
    <row r="683" spans="1:13" ht="18.600000000000001">
      <c r="A683" s="89"/>
      <c r="B683" s="90"/>
      <c r="C683" s="91"/>
      <c r="D683" s="9"/>
      <c r="H683" s="89"/>
      <c r="I683" s="10"/>
      <c r="J683" s="1"/>
      <c r="K683" s="1"/>
      <c r="L683" s="11"/>
      <c r="M683" s="11"/>
    </row>
    <row r="684" spans="1:13" ht="18.600000000000001">
      <c r="A684" s="89"/>
      <c r="B684" s="90"/>
      <c r="C684" s="91"/>
      <c r="D684" s="9"/>
      <c r="H684" s="89"/>
      <c r="I684" s="10"/>
      <c r="J684" s="1"/>
      <c r="K684" s="1"/>
      <c r="L684" s="11"/>
      <c r="M684" s="11"/>
    </row>
    <row r="685" spans="1:13" ht="18.600000000000001">
      <c r="A685" s="89"/>
      <c r="B685" s="90"/>
      <c r="C685" s="91"/>
      <c r="D685" s="9"/>
      <c r="H685" s="89"/>
      <c r="I685" s="10"/>
      <c r="J685" s="1"/>
      <c r="K685" s="1"/>
      <c r="L685" s="11"/>
      <c r="M685" s="11"/>
    </row>
    <row r="686" spans="1:13" ht="18.600000000000001">
      <c r="A686" s="89"/>
      <c r="B686" s="90"/>
      <c r="C686" s="91"/>
      <c r="D686" s="9"/>
      <c r="H686" s="89"/>
      <c r="I686" s="10"/>
      <c r="J686" s="1"/>
      <c r="K686" s="1"/>
      <c r="L686" s="11"/>
      <c r="M686" s="11"/>
    </row>
    <row r="687" spans="1:13" ht="18.600000000000001">
      <c r="A687" s="89"/>
      <c r="B687" s="90"/>
      <c r="C687" s="91"/>
      <c r="D687" s="9"/>
      <c r="H687" s="89"/>
      <c r="I687" s="10"/>
      <c r="J687" s="1"/>
      <c r="K687" s="1"/>
      <c r="L687" s="11"/>
      <c r="M687" s="11"/>
    </row>
    <row r="688" spans="1:13" ht="18.600000000000001">
      <c r="A688" s="89"/>
      <c r="B688" s="90"/>
      <c r="C688" s="91"/>
      <c r="D688" s="9"/>
      <c r="H688" s="89"/>
      <c r="I688" s="10"/>
      <c r="J688" s="1"/>
      <c r="K688" s="1"/>
      <c r="L688" s="11"/>
      <c r="M688" s="11"/>
    </row>
    <row r="689" spans="1:13" ht="18.600000000000001">
      <c r="A689" s="89"/>
      <c r="B689" s="90"/>
      <c r="C689" s="91"/>
      <c r="D689" s="9"/>
      <c r="H689" s="89"/>
      <c r="I689" s="10"/>
      <c r="J689" s="1"/>
      <c r="K689" s="1"/>
      <c r="L689" s="11"/>
      <c r="M689" s="11"/>
    </row>
    <row r="690" spans="1:13" ht="18.600000000000001">
      <c r="A690" s="89"/>
      <c r="B690" s="90"/>
      <c r="C690" s="91"/>
      <c r="D690" s="9"/>
      <c r="H690" s="89"/>
      <c r="I690" s="10"/>
      <c r="J690" s="1"/>
      <c r="K690" s="1"/>
      <c r="L690" s="11"/>
      <c r="M690" s="11"/>
    </row>
    <row r="691" spans="1:13" ht="18.600000000000001">
      <c r="A691" s="89"/>
      <c r="B691" s="90"/>
      <c r="C691" s="91"/>
      <c r="D691" s="9"/>
      <c r="H691" s="89"/>
      <c r="I691" s="10"/>
      <c r="J691" s="1"/>
      <c r="K691" s="1"/>
      <c r="L691" s="11"/>
      <c r="M691" s="11"/>
    </row>
    <row r="692" spans="1:13" ht="18.600000000000001">
      <c r="A692" s="89"/>
      <c r="B692" s="90"/>
      <c r="C692" s="91"/>
      <c r="D692" s="9"/>
      <c r="H692" s="89"/>
      <c r="I692" s="10"/>
      <c r="J692" s="1"/>
      <c r="K692" s="1"/>
      <c r="L692" s="11"/>
      <c r="M692" s="11"/>
    </row>
    <row r="693" spans="1:13" ht="18.600000000000001">
      <c r="A693" s="89"/>
      <c r="B693" s="90"/>
      <c r="C693" s="91"/>
      <c r="D693" s="9"/>
      <c r="H693" s="89"/>
      <c r="I693" s="10"/>
      <c r="J693" s="1"/>
      <c r="K693" s="1"/>
      <c r="L693" s="11"/>
      <c r="M693" s="11"/>
    </row>
    <row r="694" spans="1:13" ht="18.600000000000001">
      <c r="A694" s="89"/>
      <c r="B694" s="90"/>
      <c r="C694" s="91"/>
      <c r="D694" s="9"/>
      <c r="H694" s="89"/>
      <c r="I694" s="10"/>
      <c r="J694" s="1"/>
      <c r="K694" s="1"/>
      <c r="L694" s="11"/>
      <c r="M694" s="11"/>
    </row>
    <row r="695" spans="1:13" ht="18.600000000000001">
      <c r="A695" s="89"/>
      <c r="B695" s="90"/>
      <c r="C695" s="91"/>
      <c r="D695" s="9"/>
      <c r="H695" s="89"/>
      <c r="I695" s="10"/>
      <c r="J695" s="1"/>
      <c r="K695" s="1"/>
      <c r="L695" s="11"/>
      <c r="M695" s="11"/>
    </row>
    <row r="696" spans="1:13" ht="18.600000000000001">
      <c r="A696" s="89"/>
      <c r="B696" s="90"/>
      <c r="C696" s="91"/>
      <c r="D696" s="9"/>
      <c r="H696" s="89"/>
      <c r="I696" s="10"/>
      <c r="J696" s="1"/>
      <c r="K696" s="1"/>
      <c r="L696" s="11"/>
      <c r="M696" s="11"/>
    </row>
    <row r="697" spans="1:13" ht="18.600000000000001">
      <c r="A697" s="89"/>
      <c r="B697" s="90"/>
      <c r="C697" s="91"/>
      <c r="D697" s="9"/>
      <c r="H697" s="89"/>
      <c r="I697" s="10"/>
      <c r="J697" s="1"/>
      <c r="K697" s="1"/>
      <c r="L697" s="11"/>
      <c r="M697" s="11"/>
    </row>
    <row r="698" spans="1:13" ht="18.600000000000001">
      <c r="A698" s="89"/>
      <c r="B698" s="90"/>
      <c r="C698" s="91"/>
      <c r="D698" s="9"/>
      <c r="H698" s="89"/>
      <c r="I698" s="10"/>
      <c r="J698" s="1"/>
      <c r="K698" s="1"/>
      <c r="L698" s="11"/>
      <c r="M698" s="11"/>
    </row>
    <row r="699" spans="1:13" ht="18.600000000000001">
      <c r="A699" s="89"/>
      <c r="B699" s="90"/>
      <c r="C699" s="91"/>
      <c r="D699" s="9"/>
      <c r="H699" s="89"/>
      <c r="I699" s="10"/>
      <c r="J699" s="1"/>
      <c r="K699" s="1"/>
      <c r="L699" s="11"/>
      <c r="M699" s="11"/>
    </row>
    <row r="700" spans="1:13" ht="18.600000000000001">
      <c r="A700" s="89"/>
      <c r="B700" s="90"/>
      <c r="C700" s="91"/>
      <c r="D700" s="9"/>
      <c r="H700" s="89"/>
      <c r="I700" s="10"/>
      <c r="J700" s="1"/>
      <c r="K700" s="1"/>
      <c r="L700" s="11"/>
      <c r="M700" s="11"/>
    </row>
    <row r="701" spans="1:13" ht="18.600000000000001">
      <c r="A701" s="89"/>
      <c r="B701" s="90"/>
      <c r="C701" s="91"/>
      <c r="D701" s="9"/>
      <c r="H701" s="89"/>
      <c r="I701" s="10"/>
      <c r="J701" s="1"/>
      <c r="K701" s="1"/>
      <c r="L701" s="11"/>
      <c r="M701" s="11"/>
    </row>
    <row r="702" spans="1:13" ht="18.600000000000001">
      <c r="A702" s="89"/>
      <c r="B702" s="90"/>
      <c r="C702" s="91"/>
      <c r="D702" s="9"/>
      <c r="H702" s="89"/>
      <c r="I702" s="10"/>
      <c r="J702" s="1"/>
      <c r="K702" s="1"/>
      <c r="L702" s="11"/>
      <c r="M702" s="11"/>
    </row>
    <row r="703" spans="1:13" ht="18.600000000000001">
      <c r="A703" s="89"/>
      <c r="B703" s="90"/>
      <c r="C703" s="91"/>
      <c r="D703" s="9"/>
      <c r="H703" s="89"/>
      <c r="I703" s="10"/>
      <c r="J703" s="1"/>
      <c r="K703" s="1"/>
      <c r="L703" s="11"/>
      <c r="M703" s="11"/>
    </row>
    <row r="704" spans="1:13" ht="18.600000000000001">
      <c r="A704" s="89"/>
      <c r="B704" s="90"/>
      <c r="C704" s="91"/>
      <c r="D704" s="9"/>
      <c r="H704" s="89"/>
      <c r="I704" s="10"/>
      <c r="J704" s="1"/>
      <c r="K704" s="1"/>
      <c r="L704" s="11"/>
      <c r="M704" s="11"/>
    </row>
    <row r="705" spans="1:13" ht="18.600000000000001">
      <c r="A705" s="89"/>
      <c r="B705" s="90"/>
      <c r="C705" s="91"/>
      <c r="D705" s="9"/>
      <c r="H705" s="89"/>
      <c r="I705" s="10"/>
      <c r="J705" s="1"/>
      <c r="K705" s="1"/>
      <c r="L705" s="11"/>
      <c r="M705" s="11"/>
    </row>
    <row r="706" spans="1:13" ht="18.600000000000001">
      <c r="A706" s="89"/>
      <c r="B706" s="90"/>
      <c r="C706" s="91"/>
      <c r="D706" s="9"/>
      <c r="H706" s="89"/>
      <c r="I706" s="10"/>
      <c r="J706" s="1"/>
      <c r="K706" s="1"/>
      <c r="L706" s="11"/>
      <c r="M706" s="11"/>
    </row>
    <row r="707" spans="1:13" ht="18.600000000000001">
      <c r="A707" s="89"/>
      <c r="B707" s="90"/>
      <c r="C707" s="91"/>
      <c r="D707" s="9"/>
      <c r="H707" s="89"/>
      <c r="I707" s="10"/>
      <c r="J707" s="1"/>
      <c r="K707" s="1"/>
      <c r="L707" s="11"/>
      <c r="M707" s="11"/>
    </row>
    <row r="708" spans="1:13" ht="18.600000000000001">
      <c r="A708" s="89"/>
      <c r="B708" s="90"/>
      <c r="C708" s="91"/>
      <c r="D708" s="9"/>
      <c r="H708" s="89"/>
      <c r="I708" s="10"/>
      <c r="J708" s="1"/>
      <c r="K708" s="1"/>
      <c r="L708" s="11"/>
      <c r="M708" s="11"/>
    </row>
    <row r="709" spans="1:13" ht="18.600000000000001">
      <c r="A709" s="89"/>
      <c r="B709" s="90"/>
      <c r="C709" s="91"/>
      <c r="D709" s="9"/>
      <c r="H709" s="89"/>
      <c r="I709" s="10"/>
      <c r="J709" s="1"/>
      <c r="K709" s="1"/>
      <c r="L709" s="11"/>
      <c r="M709" s="11"/>
    </row>
    <row r="710" spans="1:13" ht="18.600000000000001">
      <c r="A710" s="89"/>
      <c r="B710" s="90"/>
      <c r="C710" s="91"/>
      <c r="D710" s="9"/>
      <c r="H710" s="89"/>
      <c r="I710" s="10"/>
      <c r="J710" s="1"/>
      <c r="K710" s="1"/>
      <c r="L710" s="11"/>
      <c r="M710" s="11"/>
    </row>
    <row r="711" spans="1:13" ht="18.600000000000001">
      <c r="A711" s="89"/>
      <c r="B711" s="90"/>
      <c r="C711" s="91"/>
      <c r="D711" s="9"/>
      <c r="H711" s="89"/>
      <c r="I711" s="10"/>
      <c r="J711" s="1"/>
      <c r="K711" s="1"/>
      <c r="L711" s="11"/>
      <c r="M711" s="11"/>
    </row>
    <row r="712" spans="1:13" ht="18.600000000000001">
      <c r="A712" s="89"/>
      <c r="B712" s="90"/>
      <c r="C712" s="91"/>
      <c r="D712" s="9"/>
      <c r="H712" s="89"/>
      <c r="I712" s="10"/>
      <c r="J712" s="1"/>
      <c r="K712" s="1"/>
      <c r="L712" s="11"/>
      <c r="M712" s="11"/>
    </row>
    <row r="713" spans="1:13" ht="18.600000000000001">
      <c r="A713" s="89"/>
      <c r="B713" s="90"/>
      <c r="C713" s="91"/>
      <c r="D713" s="9"/>
      <c r="H713" s="89"/>
      <c r="I713" s="10"/>
      <c r="J713" s="1"/>
      <c r="K713" s="1"/>
      <c r="L713" s="11"/>
      <c r="M713" s="11"/>
    </row>
    <row r="714" spans="1:13" ht="18.600000000000001">
      <c r="A714" s="89"/>
      <c r="B714" s="90"/>
      <c r="C714" s="91"/>
      <c r="D714" s="9"/>
      <c r="H714" s="89"/>
      <c r="I714" s="10"/>
      <c r="J714" s="1"/>
      <c r="K714" s="1"/>
      <c r="L714" s="11"/>
      <c r="M714" s="11"/>
    </row>
    <row r="715" spans="1:13" ht="18.600000000000001">
      <c r="A715" s="89"/>
      <c r="B715" s="90"/>
      <c r="C715" s="91"/>
      <c r="D715" s="9"/>
      <c r="H715" s="89"/>
      <c r="I715" s="10"/>
      <c r="J715" s="1"/>
      <c r="K715" s="1"/>
      <c r="L715" s="11"/>
      <c r="M715" s="11"/>
    </row>
    <row r="716" spans="1:13" ht="18.600000000000001">
      <c r="A716" s="89"/>
      <c r="B716" s="90"/>
      <c r="C716" s="91"/>
      <c r="D716" s="9"/>
      <c r="H716" s="89"/>
      <c r="I716" s="10"/>
      <c r="J716" s="1"/>
      <c r="K716" s="1"/>
      <c r="L716" s="11"/>
      <c r="M716" s="11"/>
    </row>
    <row r="717" spans="1:13" ht="18.600000000000001">
      <c r="A717" s="89"/>
      <c r="B717" s="90"/>
      <c r="C717" s="91"/>
      <c r="D717" s="9"/>
      <c r="H717" s="89"/>
      <c r="I717" s="10"/>
      <c r="J717" s="1"/>
      <c r="K717" s="1"/>
      <c r="L717" s="11"/>
      <c r="M717" s="11"/>
    </row>
    <row r="718" spans="1:13" ht="18.600000000000001">
      <c r="A718" s="89"/>
      <c r="B718" s="90"/>
      <c r="C718" s="91"/>
      <c r="D718" s="9"/>
      <c r="H718" s="89"/>
      <c r="I718" s="10"/>
      <c r="J718" s="1"/>
      <c r="K718" s="1"/>
      <c r="L718" s="11"/>
      <c r="M718" s="11"/>
    </row>
    <row r="719" spans="1:13" ht="18.600000000000001">
      <c r="A719" s="89"/>
      <c r="B719" s="90"/>
      <c r="C719" s="91"/>
      <c r="D719" s="9"/>
      <c r="H719" s="89"/>
      <c r="I719" s="10"/>
      <c r="J719" s="1"/>
      <c r="K719" s="1"/>
      <c r="L719" s="11"/>
      <c r="M719" s="11"/>
    </row>
    <row r="720" spans="1:13" ht="18.600000000000001">
      <c r="A720" s="89"/>
      <c r="B720" s="90"/>
      <c r="C720" s="91"/>
      <c r="D720" s="9"/>
      <c r="H720" s="89"/>
      <c r="I720" s="10"/>
      <c r="J720" s="1"/>
      <c r="K720" s="1"/>
      <c r="L720" s="11"/>
      <c r="M720" s="11"/>
    </row>
    <row r="721" spans="1:13" ht="18.600000000000001">
      <c r="A721" s="89"/>
      <c r="B721" s="90"/>
      <c r="C721" s="91"/>
      <c r="D721" s="9"/>
      <c r="H721" s="89"/>
      <c r="I721" s="10"/>
      <c r="J721" s="1"/>
      <c r="K721" s="1"/>
      <c r="L721" s="11"/>
      <c r="M721" s="11"/>
    </row>
    <row r="722" spans="1:13" ht="18.600000000000001">
      <c r="A722" s="89"/>
      <c r="B722" s="90"/>
      <c r="C722" s="91"/>
      <c r="D722" s="9"/>
      <c r="H722" s="89"/>
      <c r="I722" s="10"/>
      <c r="J722" s="1"/>
      <c r="K722" s="1"/>
      <c r="L722" s="11"/>
      <c r="M722" s="11"/>
    </row>
    <row r="723" spans="1:13" ht="18.600000000000001">
      <c r="A723" s="89"/>
      <c r="B723" s="90"/>
      <c r="C723" s="91"/>
      <c r="D723" s="9"/>
      <c r="H723" s="89"/>
      <c r="I723" s="10"/>
      <c r="J723" s="1"/>
      <c r="K723" s="1"/>
      <c r="L723" s="11"/>
      <c r="M723" s="11"/>
    </row>
    <row r="724" spans="1:13" ht="18.600000000000001">
      <c r="A724" s="89"/>
      <c r="B724" s="90"/>
      <c r="C724" s="91"/>
      <c r="D724" s="9"/>
      <c r="H724" s="89"/>
      <c r="I724" s="10"/>
      <c r="J724" s="1"/>
      <c r="K724" s="1"/>
      <c r="L724" s="11"/>
      <c r="M724" s="11"/>
    </row>
    <row r="725" spans="1:13" ht="18.600000000000001">
      <c r="A725" s="89"/>
      <c r="B725" s="90"/>
      <c r="C725" s="91"/>
      <c r="D725" s="9"/>
      <c r="H725" s="89"/>
      <c r="I725" s="10"/>
      <c r="J725" s="1"/>
      <c r="K725" s="1"/>
      <c r="L725" s="11"/>
      <c r="M725" s="11"/>
    </row>
    <row r="726" spans="1:13" ht="18.600000000000001">
      <c r="A726" s="89"/>
      <c r="B726" s="90"/>
      <c r="C726" s="91"/>
      <c r="D726" s="9"/>
      <c r="H726" s="89"/>
      <c r="I726" s="10"/>
      <c r="J726" s="1"/>
      <c r="K726" s="1"/>
      <c r="L726" s="11"/>
      <c r="M726" s="11"/>
    </row>
    <row r="727" spans="1:13" ht="18.600000000000001">
      <c r="A727" s="89"/>
      <c r="B727" s="90"/>
      <c r="C727" s="91"/>
      <c r="D727" s="9"/>
      <c r="H727" s="89"/>
      <c r="I727" s="10"/>
      <c r="J727" s="1"/>
      <c r="K727" s="1"/>
      <c r="L727" s="11"/>
      <c r="M727" s="11"/>
    </row>
    <row r="728" spans="1:13" ht="18.600000000000001">
      <c r="A728" s="89"/>
      <c r="B728" s="90"/>
      <c r="C728" s="91"/>
      <c r="D728" s="9"/>
      <c r="H728" s="89"/>
      <c r="I728" s="10"/>
      <c r="J728" s="1"/>
      <c r="K728" s="1"/>
      <c r="L728" s="11"/>
      <c r="M728" s="11"/>
    </row>
    <row r="729" spans="1:13" ht="18.600000000000001">
      <c r="A729" s="89"/>
      <c r="B729" s="90"/>
      <c r="C729" s="91"/>
      <c r="D729" s="9"/>
      <c r="H729" s="89"/>
      <c r="I729" s="10"/>
      <c r="J729" s="1"/>
      <c r="K729" s="1"/>
      <c r="L729" s="11"/>
      <c r="M729" s="11"/>
    </row>
    <row r="730" spans="1:13" ht="18.600000000000001">
      <c r="A730" s="89"/>
      <c r="B730" s="90"/>
      <c r="C730" s="91"/>
      <c r="D730" s="9"/>
      <c r="H730" s="89"/>
      <c r="I730" s="10"/>
      <c r="J730" s="1"/>
      <c r="K730" s="1"/>
      <c r="L730" s="11"/>
      <c r="M730" s="11"/>
    </row>
    <row r="731" spans="1:13" ht="18.600000000000001">
      <c r="A731" s="89"/>
      <c r="B731" s="90"/>
      <c r="C731" s="91"/>
      <c r="D731" s="9"/>
      <c r="H731" s="89"/>
      <c r="I731" s="10"/>
      <c r="J731" s="1"/>
      <c r="K731" s="1"/>
      <c r="L731" s="11"/>
      <c r="M731" s="11"/>
    </row>
    <row r="732" spans="1:13" ht="18.600000000000001">
      <c r="A732" s="89"/>
      <c r="B732" s="90"/>
      <c r="C732" s="91"/>
      <c r="D732" s="9"/>
      <c r="H732" s="89"/>
      <c r="I732" s="10"/>
      <c r="J732" s="1"/>
      <c r="K732" s="1"/>
      <c r="L732" s="11"/>
      <c r="M732" s="11"/>
    </row>
    <row r="733" spans="1:13" ht="18.600000000000001">
      <c r="A733" s="89"/>
      <c r="B733" s="90"/>
      <c r="C733" s="91"/>
      <c r="D733" s="9"/>
      <c r="H733" s="89"/>
      <c r="I733" s="10"/>
      <c r="J733" s="1"/>
      <c r="K733" s="1"/>
      <c r="L733" s="11"/>
      <c r="M733" s="11"/>
    </row>
    <row r="734" spans="1:13" ht="18.600000000000001">
      <c r="A734" s="89"/>
      <c r="B734" s="90"/>
      <c r="C734" s="91"/>
      <c r="D734" s="9"/>
      <c r="H734" s="89"/>
      <c r="I734" s="10"/>
      <c r="J734" s="1"/>
      <c r="K734" s="1"/>
      <c r="L734" s="11"/>
      <c r="M734" s="11"/>
    </row>
    <row r="735" spans="1:13" ht="18.600000000000001">
      <c r="A735" s="89"/>
      <c r="B735" s="90"/>
      <c r="C735" s="91"/>
      <c r="D735" s="9"/>
      <c r="H735" s="89"/>
      <c r="I735" s="10"/>
      <c r="J735" s="1"/>
      <c r="K735" s="1"/>
      <c r="L735" s="11"/>
      <c r="M735" s="11"/>
    </row>
    <row r="736" spans="1:13" ht="18.600000000000001">
      <c r="A736" s="89"/>
      <c r="B736" s="90"/>
      <c r="C736" s="91"/>
      <c r="D736" s="9"/>
      <c r="H736" s="89"/>
      <c r="I736" s="10"/>
      <c r="J736" s="1"/>
      <c r="K736" s="1"/>
      <c r="L736" s="11"/>
      <c r="M736" s="11"/>
    </row>
    <row r="737" spans="1:13" ht="18.600000000000001">
      <c r="A737" s="89"/>
      <c r="B737" s="90"/>
      <c r="C737" s="91"/>
      <c r="D737" s="9"/>
      <c r="H737" s="89"/>
      <c r="I737" s="10"/>
      <c r="J737" s="1"/>
      <c r="K737" s="1"/>
      <c r="L737" s="11"/>
      <c r="M737" s="11"/>
    </row>
    <row r="738" spans="1:13" ht="18.600000000000001">
      <c r="A738" s="89"/>
      <c r="B738" s="90"/>
      <c r="C738" s="91"/>
      <c r="D738" s="9"/>
      <c r="H738" s="89"/>
      <c r="I738" s="10"/>
      <c r="J738" s="1"/>
      <c r="K738" s="1"/>
      <c r="L738" s="11"/>
      <c r="M738" s="11"/>
    </row>
    <row r="739" spans="1:13" ht="18.600000000000001">
      <c r="A739" s="89"/>
      <c r="B739" s="90"/>
      <c r="C739" s="91"/>
      <c r="D739" s="9"/>
      <c r="H739" s="89"/>
      <c r="I739" s="10"/>
      <c r="J739" s="1"/>
      <c r="K739" s="1"/>
      <c r="L739" s="11"/>
      <c r="M739" s="11"/>
    </row>
    <row r="740" spans="1:13" ht="18.600000000000001">
      <c r="A740" s="89"/>
      <c r="B740" s="90"/>
      <c r="C740" s="91"/>
      <c r="D740" s="9"/>
      <c r="H740" s="89"/>
      <c r="I740" s="10"/>
      <c r="J740" s="1"/>
      <c r="K740" s="1"/>
      <c r="L740" s="11"/>
      <c r="M740" s="11"/>
    </row>
    <row r="741" spans="1:13" ht="18.600000000000001">
      <c r="A741" s="89"/>
      <c r="B741" s="90"/>
      <c r="C741" s="91"/>
      <c r="D741" s="9"/>
      <c r="H741" s="89"/>
      <c r="I741" s="10"/>
      <c r="J741" s="1"/>
      <c r="K741" s="1"/>
      <c r="L741" s="11"/>
      <c r="M741" s="11"/>
    </row>
    <row r="742" spans="1:13" ht="18.600000000000001">
      <c r="A742" s="89"/>
      <c r="B742" s="90"/>
      <c r="C742" s="91"/>
      <c r="D742" s="9"/>
      <c r="H742" s="89"/>
      <c r="I742" s="10"/>
      <c r="J742" s="1"/>
      <c r="K742" s="1"/>
      <c r="L742" s="11"/>
      <c r="M742" s="11"/>
    </row>
    <row r="743" spans="1:13" ht="18.600000000000001">
      <c r="A743" s="89"/>
      <c r="B743" s="90"/>
      <c r="C743" s="91"/>
      <c r="D743" s="9"/>
      <c r="H743" s="89"/>
      <c r="I743" s="10"/>
      <c r="J743" s="1"/>
      <c r="K743" s="1"/>
      <c r="L743" s="11"/>
      <c r="M743" s="11"/>
    </row>
    <row r="744" spans="1:13" ht="18.600000000000001">
      <c r="A744" s="89"/>
      <c r="B744" s="90"/>
      <c r="C744" s="91"/>
      <c r="D744" s="9"/>
      <c r="H744" s="89"/>
      <c r="I744" s="10"/>
      <c r="J744" s="1"/>
      <c r="K744" s="1"/>
      <c r="L744" s="11"/>
      <c r="M744" s="11"/>
    </row>
    <row r="745" spans="1:13" ht="18.600000000000001">
      <c r="A745" s="89"/>
      <c r="B745" s="90"/>
      <c r="C745" s="91"/>
      <c r="D745" s="9"/>
      <c r="H745" s="89"/>
      <c r="I745" s="10"/>
      <c r="J745" s="1"/>
      <c r="K745" s="1"/>
      <c r="L745" s="11"/>
      <c r="M745" s="11"/>
    </row>
    <row r="746" spans="1:13" ht="18.600000000000001">
      <c r="A746" s="89"/>
      <c r="B746" s="90"/>
      <c r="C746" s="91"/>
      <c r="D746" s="9"/>
      <c r="H746" s="89"/>
      <c r="I746" s="10"/>
      <c r="J746" s="1"/>
      <c r="K746" s="1"/>
      <c r="L746" s="11"/>
      <c r="M746" s="11"/>
    </row>
    <row r="747" spans="1:13" ht="18.600000000000001">
      <c r="A747" s="89"/>
      <c r="B747" s="90"/>
      <c r="C747" s="91"/>
      <c r="D747" s="9"/>
      <c r="H747" s="89"/>
      <c r="I747" s="10"/>
      <c r="J747" s="1"/>
      <c r="K747" s="1"/>
      <c r="L747" s="11"/>
      <c r="M747" s="11"/>
    </row>
    <row r="748" spans="1:13" ht="18.600000000000001">
      <c r="A748" s="89"/>
      <c r="B748" s="90"/>
      <c r="C748" s="91"/>
      <c r="D748" s="9"/>
      <c r="H748" s="89"/>
      <c r="I748" s="10"/>
      <c r="J748" s="1"/>
      <c r="K748" s="1"/>
      <c r="L748" s="11"/>
      <c r="M748" s="11"/>
    </row>
    <row r="749" spans="1:13" ht="18.600000000000001">
      <c r="A749" s="89"/>
      <c r="B749" s="90"/>
      <c r="C749" s="91"/>
      <c r="D749" s="9"/>
      <c r="H749" s="89"/>
      <c r="I749" s="10"/>
      <c r="J749" s="1"/>
      <c r="K749" s="1"/>
      <c r="L749" s="11"/>
      <c r="M749" s="11"/>
    </row>
    <row r="750" spans="1:13" ht="18.600000000000001">
      <c r="A750" s="89"/>
      <c r="B750" s="90"/>
      <c r="C750" s="91"/>
      <c r="D750" s="9"/>
      <c r="H750" s="89"/>
      <c r="I750" s="10"/>
      <c r="J750" s="1"/>
      <c r="K750" s="1"/>
      <c r="L750" s="11"/>
      <c r="M750" s="11"/>
    </row>
    <row r="751" spans="1:13" ht="18.600000000000001">
      <c r="A751" s="89"/>
      <c r="B751" s="90"/>
      <c r="C751" s="91"/>
      <c r="D751" s="9"/>
      <c r="H751" s="89"/>
      <c r="I751" s="10"/>
      <c r="J751" s="1"/>
      <c r="K751" s="1"/>
      <c r="L751" s="11"/>
      <c r="M751" s="11"/>
    </row>
    <row r="752" spans="1:13" ht="18.600000000000001">
      <c r="A752" s="89"/>
      <c r="B752" s="90"/>
      <c r="C752" s="91"/>
      <c r="D752" s="9"/>
      <c r="H752" s="89"/>
      <c r="I752" s="10"/>
      <c r="J752" s="1"/>
      <c r="K752" s="1"/>
      <c r="L752" s="11"/>
      <c r="M752" s="11"/>
    </row>
    <row r="753" spans="1:13" ht="18.600000000000001">
      <c r="A753" s="89"/>
      <c r="B753" s="90"/>
      <c r="C753" s="91"/>
      <c r="D753" s="9"/>
      <c r="H753" s="89"/>
      <c r="I753" s="10"/>
      <c r="J753" s="1"/>
      <c r="K753" s="1"/>
      <c r="L753" s="11"/>
      <c r="M753" s="11"/>
    </row>
    <row r="754" spans="1:13" ht="18.600000000000001">
      <c r="A754" s="89"/>
      <c r="B754" s="90"/>
      <c r="C754" s="91"/>
      <c r="D754" s="9"/>
      <c r="H754" s="89"/>
      <c r="I754" s="10"/>
      <c r="J754" s="1"/>
      <c r="K754" s="1"/>
      <c r="L754" s="11"/>
      <c r="M754" s="11"/>
    </row>
    <row r="755" spans="1:13" ht="18.600000000000001">
      <c r="A755" s="89"/>
      <c r="B755" s="90"/>
      <c r="C755" s="91"/>
      <c r="D755" s="9"/>
      <c r="H755" s="89"/>
      <c r="I755" s="10"/>
      <c r="J755" s="1"/>
      <c r="K755" s="1"/>
      <c r="L755" s="11"/>
      <c r="M755" s="11"/>
    </row>
    <row r="756" spans="1:13" ht="18.600000000000001">
      <c r="A756" s="89"/>
      <c r="B756" s="90"/>
      <c r="C756" s="91"/>
      <c r="D756" s="9"/>
      <c r="H756" s="89"/>
      <c r="I756" s="10"/>
      <c r="J756" s="1"/>
      <c r="K756" s="1"/>
      <c r="L756" s="11"/>
      <c r="M756" s="11"/>
    </row>
    <row r="757" spans="1:13" ht="18.600000000000001">
      <c r="A757" s="89"/>
      <c r="B757" s="90"/>
      <c r="C757" s="91"/>
      <c r="D757" s="9"/>
      <c r="H757" s="89"/>
      <c r="I757" s="10"/>
      <c r="J757" s="1"/>
      <c r="K757" s="1"/>
      <c r="L757" s="11"/>
      <c r="M757" s="11"/>
    </row>
    <row r="758" spans="1:13" ht="18.600000000000001">
      <c r="A758" s="89"/>
      <c r="B758" s="90"/>
      <c r="C758" s="91"/>
      <c r="D758" s="9"/>
      <c r="H758" s="89"/>
      <c r="I758" s="10"/>
      <c r="J758" s="1"/>
      <c r="K758" s="1"/>
      <c r="L758" s="11"/>
      <c r="M758" s="11"/>
    </row>
    <row r="759" spans="1:13" ht="18.600000000000001">
      <c r="A759" s="89"/>
      <c r="B759" s="90"/>
      <c r="C759" s="91"/>
      <c r="D759" s="9"/>
      <c r="H759" s="89"/>
      <c r="I759" s="10"/>
      <c r="J759" s="1"/>
      <c r="K759" s="1"/>
      <c r="L759" s="11"/>
      <c r="M759" s="11"/>
    </row>
    <row r="760" spans="1:13" ht="18.600000000000001">
      <c r="A760" s="89"/>
      <c r="B760" s="90"/>
      <c r="C760" s="91"/>
      <c r="D760" s="9"/>
      <c r="H760" s="89"/>
      <c r="I760" s="10"/>
      <c r="J760" s="1"/>
      <c r="K760" s="1"/>
      <c r="L760" s="11"/>
      <c r="M760" s="11"/>
    </row>
    <row r="761" spans="1:13" ht="18.600000000000001">
      <c r="A761" s="89"/>
      <c r="B761" s="90"/>
      <c r="C761" s="91"/>
      <c r="D761" s="9"/>
      <c r="H761" s="89"/>
      <c r="I761" s="10"/>
      <c r="J761" s="1"/>
      <c r="K761" s="1"/>
      <c r="L761" s="11"/>
      <c r="M761" s="11"/>
    </row>
    <row r="762" spans="1:13" ht="18.600000000000001">
      <c r="A762" s="89"/>
      <c r="B762" s="90"/>
      <c r="C762" s="91"/>
      <c r="D762" s="9"/>
      <c r="H762" s="89"/>
      <c r="I762" s="10"/>
      <c r="J762" s="1"/>
      <c r="K762" s="1"/>
      <c r="L762" s="11"/>
      <c r="M762" s="11"/>
    </row>
    <row r="763" spans="1:13" ht="18.600000000000001">
      <c r="A763" s="89"/>
      <c r="B763" s="90"/>
      <c r="C763" s="91"/>
      <c r="D763" s="9"/>
      <c r="H763" s="89"/>
      <c r="I763" s="10"/>
      <c r="J763" s="1"/>
      <c r="K763" s="1"/>
      <c r="L763" s="11"/>
      <c r="M763" s="11"/>
    </row>
    <row r="764" spans="1:13" ht="18.600000000000001">
      <c r="A764" s="89"/>
      <c r="B764" s="90"/>
      <c r="C764" s="91"/>
      <c r="D764" s="9"/>
      <c r="H764" s="89"/>
      <c r="I764" s="10"/>
      <c r="J764" s="1"/>
      <c r="K764" s="1"/>
      <c r="L764" s="11"/>
      <c r="M764" s="11"/>
    </row>
    <row r="765" spans="1:13" ht="18.600000000000001">
      <c r="A765" s="89"/>
      <c r="B765" s="90"/>
      <c r="C765" s="91"/>
      <c r="D765" s="9"/>
      <c r="H765" s="89"/>
      <c r="I765" s="10"/>
      <c r="J765" s="1"/>
      <c r="K765" s="1"/>
      <c r="L765" s="11"/>
      <c r="M765" s="11"/>
    </row>
    <row r="766" spans="1:13" ht="18.600000000000001">
      <c r="A766" s="89"/>
      <c r="B766" s="90"/>
      <c r="C766" s="91"/>
      <c r="D766" s="9"/>
      <c r="H766" s="89"/>
      <c r="I766" s="10"/>
      <c r="J766" s="1"/>
      <c r="K766" s="1"/>
      <c r="L766" s="11"/>
      <c r="M766" s="11"/>
    </row>
    <row r="767" spans="1:13" ht="18.600000000000001">
      <c r="A767" s="89"/>
      <c r="B767" s="90"/>
      <c r="C767" s="91"/>
      <c r="D767" s="9"/>
      <c r="H767" s="89"/>
      <c r="I767" s="10"/>
      <c r="J767" s="1"/>
      <c r="K767" s="1"/>
      <c r="L767" s="11"/>
      <c r="M767" s="11"/>
    </row>
    <row r="768" spans="1:13" ht="18.600000000000001">
      <c r="A768" s="89"/>
      <c r="B768" s="90"/>
      <c r="C768" s="91"/>
      <c r="D768" s="9"/>
      <c r="H768" s="89"/>
      <c r="I768" s="10"/>
      <c r="J768" s="1"/>
      <c r="K768" s="1"/>
      <c r="L768" s="11"/>
      <c r="M768" s="11"/>
    </row>
    <row r="769" spans="1:13" ht="18.600000000000001">
      <c r="A769" s="89"/>
      <c r="B769" s="90"/>
      <c r="C769" s="91"/>
      <c r="D769" s="9"/>
      <c r="H769" s="89"/>
      <c r="I769" s="10"/>
      <c r="J769" s="1"/>
      <c r="K769" s="1"/>
      <c r="L769" s="11"/>
      <c r="M769" s="11"/>
    </row>
    <row r="770" spans="1:13" ht="18.600000000000001">
      <c r="A770" s="89"/>
      <c r="B770" s="90"/>
      <c r="C770" s="91"/>
      <c r="D770" s="9"/>
      <c r="H770" s="89"/>
      <c r="I770" s="10"/>
      <c r="J770" s="1"/>
      <c r="K770" s="1"/>
      <c r="L770" s="11"/>
      <c r="M770" s="11"/>
    </row>
    <row r="771" spans="1:13" ht="18.600000000000001">
      <c r="A771" s="89"/>
      <c r="B771" s="90"/>
      <c r="C771" s="91"/>
      <c r="D771" s="9"/>
      <c r="H771" s="89"/>
      <c r="I771" s="10"/>
      <c r="J771" s="1"/>
      <c r="K771" s="1"/>
      <c r="L771" s="11"/>
      <c r="M771" s="11"/>
    </row>
    <row r="772" spans="1:13" ht="18.600000000000001">
      <c r="A772" s="89"/>
      <c r="B772" s="90"/>
      <c r="C772" s="91"/>
      <c r="D772" s="9"/>
      <c r="H772" s="89"/>
      <c r="I772" s="10"/>
      <c r="J772" s="1"/>
      <c r="K772" s="1"/>
      <c r="L772" s="11"/>
      <c r="M772" s="11"/>
    </row>
    <row r="773" spans="1:13" ht="18.600000000000001">
      <c r="A773" s="89"/>
      <c r="B773" s="90"/>
      <c r="C773" s="91"/>
      <c r="D773" s="9"/>
      <c r="H773" s="89"/>
      <c r="I773" s="10"/>
      <c r="J773" s="1"/>
      <c r="K773" s="1"/>
      <c r="L773" s="11"/>
      <c r="M773" s="11"/>
    </row>
    <row r="774" spans="1:13" ht="18.600000000000001">
      <c r="A774" s="89"/>
      <c r="B774" s="90"/>
      <c r="C774" s="91"/>
      <c r="D774" s="9"/>
      <c r="H774" s="89"/>
      <c r="I774" s="10"/>
      <c r="J774" s="1"/>
      <c r="K774" s="1"/>
      <c r="L774" s="11"/>
      <c r="M774" s="11"/>
    </row>
    <row r="775" spans="1:13" ht="18.600000000000001">
      <c r="A775" s="89"/>
      <c r="B775" s="90"/>
      <c r="C775" s="91"/>
      <c r="D775" s="9"/>
      <c r="H775" s="89"/>
      <c r="I775" s="10"/>
      <c r="J775" s="1"/>
      <c r="K775" s="1"/>
      <c r="L775" s="11"/>
      <c r="M775" s="11"/>
    </row>
    <row r="776" spans="1:13" ht="18.600000000000001">
      <c r="A776" s="89"/>
      <c r="B776" s="90"/>
      <c r="C776" s="91"/>
      <c r="D776" s="9"/>
      <c r="H776" s="89"/>
      <c r="I776" s="10"/>
      <c r="J776" s="1"/>
      <c r="K776" s="1"/>
      <c r="L776" s="11"/>
      <c r="M776" s="11"/>
    </row>
    <row r="777" spans="1:13" ht="18.600000000000001">
      <c r="A777" s="89"/>
      <c r="B777" s="90"/>
      <c r="C777" s="91"/>
      <c r="D777" s="9"/>
      <c r="H777" s="89"/>
      <c r="I777" s="10"/>
      <c r="J777" s="1"/>
      <c r="K777" s="1"/>
      <c r="L777" s="11"/>
      <c r="M777" s="11"/>
    </row>
    <row r="778" spans="1:13" ht="18.600000000000001">
      <c r="A778" s="89"/>
      <c r="B778" s="90"/>
      <c r="C778" s="91"/>
      <c r="D778" s="9"/>
      <c r="H778" s="89"/>
      <c r="I778" s="10"/>
      <c r="J778" s="1"/>
      <c r="K778" s="1"/>
      <c r="L778" s="11"/>
      <c r="M778" s="11"/>
    </row>
    <row r="779" spans="1:13" ht="18.600000000000001">
      <c r="A779" s="89"/>
      <c r="B779" s="90"/>
      <c r="C779" s="91"/>
      <c r="D779" s="9"/>
      <c r="H779" s="89"/>
      <c r="I779" s="10"/>
      <c r="J779" s="1"/>
      <c r="K779" s="1"/>
      <c r="L779" s="11"/>
      <c r="M779" s="11"/>
    </row>
    <row r="780" spans="1:13" ht="18.600000000000001">
      <c r="A780" s="89"/>
      <c r="B780" s="90"/>
      <c r="C780" s="91"/>
      <c r="D780" s="9"/>
      <c r="H780" s="89"/>
      <c r="I780" s="10"/>
      <c r="J780" s="1"/>
      <c r="K780" s="1"/>
      <c r="L780" s="11"/>
      <c r="M780" s="11"/>
    </row>
    <row r="781" spans="1:13" ht="18.600000000000001">
      <c r="A781" s="89"/>
      <c r="B781" s="90"/>
      <c r="C781" s="91"/>
      <c r="D781" s="9"/>
      <c r="H781" s="89"/>
      <c r="I781" s="10"/>
      <c r="J781" s="1"/>
      <c r="K781" s="1"/>
      <c r="L781" s="11"/>
      <c r="M781" s="11"/>
    </row>
    <row r="782" spans="1:13" ht="18.600000000000001">
      <c r="A782" s="89"/>
      <c r="B782" s="90"/>
      <c r="C782" s="91"/>
      <c r="D782" s="9"/>
      <c r="H782" s="89"/>
      <c r="I782" s="10"/>
      <c r="J782" s="1"/>
      <c r="K782" s="1"/>
      <c r="L782" s="11"/>
      <c r="M782" s="11"/>
    </row>
    <row r="783" spans="1:13" ht="18.600000000000001">
      <c r="A783" s="89"/>
      <c r="B783" s="90"/>
      <c r="C783" s="91"/>
      <c r="D783" s="9"/>
      <c r="H783" s="89"/>
      <c r="I783" s="10"/>
      <c r="J783" s="1"/>
      <c r="K783" s="1"/>
      <c r="L783" s="11"/>
      <c r="M783" s="11"/>
    </row>
    <row r="784" spans="1:13" ht="18.600000000000001">
      <c r="A784" s="89"/>
      <c r="B784" s="90"/>
      <c r="C784" s="91"/>
      <c r="D784" s="9"/>
      <c r="H784" s="89"/>
      <c r="I784" s="10"/>
      <c r="J784" s="1"/>
      <c r="K784" s="1"/>
      <c r="L784" s="11"/>
      <c r="M784" s="11"/>
    </row>
    <row r="785" spans="1:13" ht="18.600000000000001">
      <c r="A785" s="89"/>
      <c r="B785" s="90"/>
      <c r="C785" s="91"/>
      <c r="D785" s="9"/>
      <c r="H785" s="89"/>
      <c r="I785" s="10"/>
      <c r="J785" s="1"/>
      <c r="K785" s="1"/>
      <c r="L785" s="11"/>
      <c r="M785" s="11"/>
    </row>
    <row r="786" spans="1:13" ht="18.600000000000001">
      <c r="A786" s="89"/>
      <c r="B786" s="90"/>
      <c r="C786" s="91"/>
      <c r="D786" s="9"/>
      <c r="H786" s="89"/>
      <c r="I786" s="10"/>
      <c r="J786" s="1"/>
      <c r="K786" s="1"/>
      <c r="L786" s="11"/>
      <c r="M786" s="11"/>
    </row>
    <row r="787" spans="1:13" ht="18.600000000000001">
      <c r="A787" s="89"/>
      <c r="B787" s="90"/>
      <c r="C787" s="91"/>
      <c r="D787" s="9"/>
      <c r="H787" s="89"/>
      <c r="I787" s="10"/>
      <c r="J787" s="1"/>
      <c r="K787" s="1"/>
      <c r="L787" s="11"/>
      <c r="M787" s="11"/>
    </row>
    <row r="788" spans="1:13" ht="18.600000000000001">
      <c r="A788" s="89"/>
      <c r="B788" s="90"/>
      <c r="C788" s="91"/>
      <c r="D788" s="9"/>
      <c r="H788" s="89"/>
      <c r="I788" s="10"/>
      <c r="J788" s="1"/>
      <c r="K788" s="1"/>
      <c r="L788" s="11"/>
      <c r="M788" s="11"/>
    </row>
    <row r="789" spans="1:13" ht="18.600000000000001">
      <c r="A789" s="89"/>
      <c r="B789" s="90"/>
      <c r="C789" s="91"/>
      <c r="D789" s="9"/>
      <c r="H789" s="89"/>
      <c r="I789" s="10"/>
      <c r="J789" s="1"/>
      <c r="K789" s="1"/>
      <c r="L789" s="11"/>
      <c r="M789" s="11"/>
    </row>
    <row r="790" spans="1:13" ht="18.600000000000001">
      <c r="A790" s="89"/>
      <c r="B790" s="90"/>
      <c r="C790" s="91"/>
      <c r="D790" s="9"/>
      <c r="H790" s="89"/>
      <c r="I790" s="10"/>
      <c r="J790" s="1"/>
      <c r="K790" s="1"/>
      <c r="L790" s="11"/>
      <c r="M790" s="11"/>
    </row>
    <row r="791" spans="1:13" ht="18.600000000000001">
      <c r="A791" s="89"/>
      <c r="B791" s="90"/>
      <c r="C791" s="91"/>
      <c r="D791" s="9"/>
      <c r="H791" s="89"/>
      <c r="I791" s="10"/>
      <c r="J791" s="1"/>
      <c r="K791" s="1"/>
      <c r="L791" s="11"/>
      <c r="M791" s="11"/>
    </row>
    <row r="792" spans="1:13" ht="18.600000000000001">
      <c r="A792" s="89"/>
      <c r="B792" s="90"/>
      <c r="C792" s="91"/>
      <c r="D792" s="9"/>
      <c r="H792" s="89"/>
      <c r="I792" s="10"/>
      <c r="J792" s="1"/>
      <c r="K792" s="1"/>
      <c r="L792" s="11"/>
      <c r="M792" s="11"/>
    </row>
    <row r="793" spans="1:13" ht="18.600000000000001">
      <c r="A793" s="89"/>
      <c r="B793" s="90"/>
      <c r="C793" s="91"/>
      <c r="D793" s="9"/>
      <c r="H793" s="89"/>
      <c r="I793" s="10"/>
      <c r="J793" s="1"/>
      <c r="K793" s="1"/>
      <c r="L793" s="11"/>
      <c r="M793" s="11"/>
    </row>
    <row r="794" spans="1:13" ht="18.600000000000001">
      <c r="A794" s="89"/>
      <c r="B794" s="90"/>
      <c r="C794" s="91"/>
      <c r="D794" s="9"/>
      <c r="H794" s="89"/>
      <c r="I794" s="10"/>
      <c r="J794" s="1"/>
      <c r="K794" s="1"/>
      <c r="L794" s="11"/>
      <c r="M794" s="11"/>
    </row>
    <row r="795" spans="1:13" ht="18.600000000000001">
      <c r="A795" s="89"/>
      <c r="B795" s="90"/>
      <c r="C795" s="91"/>
      <c r="D795" s="9"/>
      <c r="H795" s="89"/>
      <c r="I795" s="10"/>
      <c r="J795" s="1"/>
      <c r="K795" s="1"/>
      <c r="L795" s="11"/>
      <c r="M795" s="11"/>
    </row>
    <row r="796" spans="1:13" ht="18.600000000000001">
      <c r="A796" s="89"/>
      <c r="B796" s="90"/>
      <c r="C796" s="91"/>
      <c r="D796" s="9"/>
      <c r="H796" s="89"/>
      <c r="I796" s="10"/>
      <c r="J796" s="1"/>
      <c r="K796" s="1"/>
      <c r="L796" s="11"/>
      <c r="M796" s="11"/>
    </row>
    <row r="797" spans="1:13" ht="18.600000000000001">
      <c r="A797" s="89"/>
      <c r="B797" s="90"/>
      <c r="C797" s="91"/>
      <c r="D797" s="9"/>
      <c r="H797" s="89"/>
      <c r="I797" s="10"/>
      <c r="J797" s="1"/>
      <c r="K797" s="1"/>
      <c r="L797" s="11"/>
      <c r="M797" s="11"/>
    </row>
    <row r="798" spans="1:13" ht="18.600000000000001">
      <c r="A798" s="89"/>
      <c r="B798" s="90"/>
      <c r="C798" s="91"/>
      <c r="D798" s="9"/>
      <c r="H798" s="89"/>
      <c r="I798" s="10"/>
      <c r="J798" s="1"/>
      <c r="K798" s="1"/>
      <c r="L798" s="11"/>
      <c r="M798" s="11"/>
    </row>
    <row r="799" spans="1:13" ht="18.600000000000001">
      <c r="A799" s="89"/>
      <c r="B799" s="90"/>
      <c r="C799" s="91"/>
      <c r="D799" s="9"/>
      <c r="H799" s="89"/>
      <c r="I799" s="10"/>
      <c r="J799" s="1"/>
      <c r="K799" s="1"/>
      <c r="L799" s="11"/>
      <c r="M799" s="11"/>
    </row>
    <row r="800" spans="1:13" ht="18.600000000000001">
      <c r="A800" s="89"/>
      <c r="B800" s="90"/>
      <c r="C800" s="91"/>
      <c r="D800" s="9"/>
      <c r="H800" s="89"/>
      <c r="I800" s="10"/>
      <c r="J800" s="1"/>
      <c r="K800" s="1"/>
      <c r="L800" s="11"/>
      <c r="M800" s="11"/>
    </row>
    <row r="801" spans="1:13" ht="18.600000000000001">
      <c r="A801" s="89"/>
      <c r="B801" s="90"/>
      <c r="C801" s="91"/>
      <c r="D801" s="9"/>
      <c r="H801" s="89"/>
      <c r="I801" s="10"/>
      <c r="J801" s="1"/>
      <c r="K801" s="1"/>
      <c r="L801" s="11"/>
      <c r="M801" s="11"/>
    </row>
    <row r="802" spans="1:13" ht="18.600000000000001">
      <c r="A802" s="89"/>
      <c r="B802" s="90"/>
      <c r="C802" s="91"/>
      <c r="D802" s="9"/>
      <c r="H802" s="89"/>
      <c r="I802" s="10"/>
      <c r="J802" s="1"/>
      <c r="K802" s="1"/>
      <c r="L802" s="11"/>
      <c r="M802" s="11"/>
    </row>
    <row r="803" spans="1:13" ht="18.600000000000001">
      <c r="A803" s="89"/>
      <c r="B803" s="90"/>
      <c r="C803" s="91"/>
      <c r="D803" s="9"/>
      <c r="H803" s="89"/>
      <c r="I803" s="10"/>
      <c r="J803" s="1"/>
      <c r="K803" s="1"/>
      <c r="L803" s="11"/>
      <c r="M803" s="11"/>
    </row>
    <row r="804" spans="1:13" ht="18.600000000000001">
      <c r="A804" s="89"/>
      <c r="B804" s="90"/>
      <c r="C804" s="91"/>
      <c r="D804" s="9"/>
      <c r="H804" s="89"/>
      <c r="I804" s="10"/>
      <c r="J804" s="1"/>
      <c r="K804" s="1"/>
      <c r="L804" s="11"/>
      <c r="M804" s="11"/>
    </row>
    <row r="805" spans="1:13" ht="18.600000000000001">
      <c r="A805" s="89"/>
      <c r="B805" s="90"/>
      <c r="C805" s="91"/>
      <c r="D805" s="9"/>
      <c r="H805" s="89"/>
      <c r="I805" s="10"/>
      <c r="J805" s="1"/>
      <c r="K805" s="1"/>
      <c r="L805" s="11"/>
      <c r="M805" s="11"/>
    </row>
    <row r="806" spans="1:13" ht="18.600000000000001">
      <c r="A806" s="89"/>
      <c r="B806" s="90"/>
      <c r="C806" s="91"/>
      <c r="D806" s="9"/>
      <c r="H806" s="89"/>
      <c r="I806" s="10"/>
      <c r="J806" s="1"/>
      <c r="K806" s="1"/>
      <c r="L806" s="11"/>
      <c r="M806" s="11"/>
    </row>
    <row r="807" spans="1:13" ht="18.600000000000001">
      <c r="A807" s="89"/>
      <c r="B807" s="90"/>
      <c r="C807" s="91"/>
      <c r="D807" s="9"/>
      <c r="H807" s="89"/>
      <c r="I807" s="10"/>
      <c r="J807" s="1"/>
      <c r="K807" s="1"/>
      <c r="L807" s="11"/>
      <c r="M807" s="11"/>
    </row>
    <row r="808" spans="1:13" ht="18.600000000000001">
      <c r="A808" s="89"/>
      <c r="B808" s="90"/>
      <c r="C808" s="91"/>
      <c r="D808" s="9"/>
      <c r="H808" s="89"/>
      <c r="I808" s="10"/>
      <c r="J808" s="1"/>
      <c r="K808" s="1"/>
      <c r="L808" s="11"/>
      <c r="M808" s="11"/>
    </row>
    <row r="809" spans="1:13" ht="18.600000000000001">
      <c r="A809" s="89"/>
      <c r="B809" s="90"/>
      <c r="C809" s="91"/>
      <c r="D809" s="9"/>
      <c r="H809" s="89"/>
      <c r="I809" s="10"/>
      <c r="J809" s="1"/>
      <c r="K809" s="1"/>
      <c r="L809" s="11"/>
      <c r="M809" s="11"/>
    </row>
    <row r="810" spans="1:13" ht="18.600000000000001">
      <c r="A810" s="89"/>
      <c r="B810" s="90"/>
      <c r="C810" s="91"/>
      <c r="D810" s="9"/>
      <c r="H810" s="89"/>
      <c r="I810" s="10"/>
      <c r="J810" s="1"/>
      <c r="K810" s="1"/>
      <c r="L810" s="11"/>
      <c r="M810" s="11"/>
    </row>
    <row r="811" spans="1:13" ht="18.600000000000001">
      <c r="A811" s="89"/>
      <c r="B811" s="90"/>
      <c r="C811" s="91"/>
      <c r="D811" s="9"/>
      <c r="H811" s="89"/>
      <c r="I811" s="10"/>
      <c r="J811" s="1"/>
      <c r="K811" s="1"/>
      <c r="L811" s="11"/>
      <c r="M811" s="11"/>
    </row>
    <row r="812" spans="1:13" ht="18.600000000000001">
      <c r="A812" s="89"/>
      <c r="B812" s="90"/>
      <c r="C812" s="91"/>
      <c r="D812" s="9"/>
      <c r="H812" s="89"/>
      <c r="I812" s="10"/>
      <c r="J812" s="1"/>
      <c r="K812" s="1"/>
      <c r="L812" s="11"/>
      <c r="M812" s="11"/>
    </row>
    <row r="813" spans="1:13" ht="18.600000000000001">
      <c r="A813" s="89"/>
      <c r="B813" s="90"/>
      <c r="C813" s="91"/>
      <c r="D813" s="9"/>
      <c r="H813" s="89"/>
      <c r="I813" s="10"/>
      <c r="J813" s="1"/>
      <c r="K813" s="1"/>
      <c r="L813" s="11"/>
      <c r="M813" s="11"/>
    </row>
    <row r="814" spans="1:13" ht="18.600000000000001">
      <c r="A814" s="89"/>
      <c r="B814" s="90"/>
      <c r="C814" s="91"/>
      <c r="D814" s="9"/>
      <c r="H814" s="89"/>
      <c r="I814" s="10"/>
      <c r="J814" s="1"/>
      <c r="K814" s="1"/>
      <c r="L814" s="11"/>
      <c r="M814" s="11"/>
    </row>
    <row r="815" spans="1:13" ht="18.600000000000001">
      <c r="A815" s="89"/>
      <c r="B815" s="90"/>
      <c r="C815" s="91"/>
      <c r="D815" s="9"/>
      <c r="H815" s="89"/>
      <c r="I815" s="10"/>
      <c r="J815" s="1"/>
      <c r="K815" s="1"/>
      <c r="L815" s="11"/>
      <c r="M815" s="11"/>
    </row>
    <row r="816" spans="1:13" ht="18.600000000000001">
      <c r="A816" s="89"/>
      <c r="B816" s="90"/>
      <c r="C816" s="91"/>
      <c r="D816" s="9"/>
      <c r="H816" s="89"/>
      <c r="I816" s="10"/>
      <c r="J816" s="1"/>
      <c r="K816" s="1"/>
      <c r="L816" s="11"/>
      <c r="M816" s="11"/>
    </row>
    <row r="817" spans="1:13" ht="18.600000000000001">
      <c r="A817" s="89"/>
      <c r="B817" s="90"/>
      <c r="C817" s="91"/>
      <c r="D817" s="9"/>
      <c r="H817" s="89"/>
      <c r="I817" s="10"/>
      <c r="J817" s="1"/>
      <c r="K817" s="1"/>
      <c r="L817" s="11"/>
      <c r="M817" s="11"/>
    </row>
    <row r="818" spans="1:13" ht="18.600000000000001">
      <c r="A818" s="89"/>
      <c r="B818" s="90"/>
      <c r="C818" s="91"/>
      <c r="D818" s="9"/>
      <c r="H818" s="89"/>
      <c r="I818" s="10"/>
      <c r="J818" s="1"/>
      <c r="K818" s="1"/>
      <c r="L818" s="11"/>
      <c r="M818" s="11"/>
    </row>
    <row r="819" spans="1:13" ht="18.600000000000001">
      <c r="A819" s="89"/>
      <c r="B819" s="90"/>
      <c r="C819" s="91"/>
      <c r="D819" s="9"/>
      <c r="H819" s="89"/>
      <c r="I819" s="10"/>
      <c r="J819" s="1"/>
      <c r="K819" s="1"/>
      <c r="L819" s="11"/>
      <c r="M819" s="11"/>
    </row>
    <row r="820" spans="1:13" ht="18.600000000000001">
      <c r="A820" s="89"/>
      <c r="B820" s="90"/>
      <c r="C820" s="91"/>
      <c r="D820" s="9"/>
      <c r="H820" s="89"/>
      <c r="I820" s="10"/>
      <c r="J820" s="1"/>
      <c r="K820" s="1"/>
      <c r="L820" s="11"/>
      <c r="M820" s="11"/>
    </row>
    <row r="821" spans="1:13" ht="18.600000000000001">
      <c r="A821" s="89"/>
      <c r="B821" s="90"/>
      <c r="C821" s="91"/>
      <c r="D821" s="9"/>
      <c r="H821" s="89"/>
      <c r="I821" s="10"/>
      <c r="J821" s="1"/>
      <c r="K821" s="1"/>
      <c r="L821" s="11"/>
      <c r="M821" s="11"/>
    </row>
    <row r="822" spans="1:13" ht="18.600000000000001">
      <c r="A822" s="89"/>
      <c r="B822" s="90"/>
      <c r="C822" s="91"/>
      <c r="D822" s="9"/>
      <c r="H822" s="89"/>
      <c r="I822" s="10"/>
      <c r="J822" s="1"/>
      <c r="K822" s="1"/>
      <c r="L822" s="11"/>
      <c r="M822" s="11"/>
    </row>
    <row r="823" spans="1:13" ht="18.600000000000001">
      <c r="A823" s="89"/>
      <c r="B823" s="90"/>
      <c r="C823" s="91"/>
      <c r="D823" s="9"/>
      <c r="H823" s="89"/>
      <c r="I823" s="10"/>
      <c r="J823" s="1"/>
      <c r="K823" s="1"/>
      <c r="L823" s="11"/>
      <c r="M823" s="11"/>
    </row>
    <row r="824" spans="1:13" ht="18.600000000000001">
      <c r="A824" s="89"/>
      <c r="B824" s="90"/>
      <c r="C824" s="91"/>
      <c r="D824" s="9"/>
      <c r="H824" s="89"/>
      <c r="I824" s="10"/>
      <c r="J824" s="1"/>
      <c r="K824" s="1"/>
      <c r="L824" s="11"/>
      <c r="M824" s="11"/>
    </row>
    <row r="825" spans="1:13" ht="18.600000000000001">
      <c r="A825" s="89"/>
      <c r="B825" s="90"/>
      <c r="C825" s="91"/>
      <c r="D825" s="9"/>
      <c r="H825" s="89"/>
      <c r="I825" s="10"/>
      <c r="J825" s="1"/>
      <c r="K825" s="1"/>
      <c r="L825" s="11"/>
      <c r="M825" s="11"/>
    </row>
    <row r="826" spans="1:13" ht="18.600000000000001">
      <c r="A826" s="89"/>
      <c r="B826" s="90"/>
      <c r="C826" s="91"/>
      <c r="D826" s="9"/>
      <c r="H826" s="89"/>
      <c r="I826" s="10"/>
      <c r="J826" s="1"/>
      <c r="K826" s="1"/>
      <c r="L826" s="11"/>
      <c r="M826" s="11"/>
    </row>
    <row r="827" spans="1:13" ht="18.600000000000001">
      <c r="A827" s="89"/>
      <c r="B827" s="90"/>
      <c r="C827" s="91"/>
      <c r="D827" s="9"/>
      <c r="H827" s="89"/>
      <c r="I827" s="10"/>
      <c r="J827" s="1"/>
      <c r="K827" s="1"/>
      <c r="L827" s="11"/>
      <c r="M827" s="11"/>
    </row>
    <row r="828" spans="1:13" ht="18.600000000000001">
      <c r="A828" s="89"/>
      <c r="B828" s="90"/>
      <c r="C828" s="91"/>
      <c r="D828" s="9"/>
      <c r="H828" s="89"/>
      <c r="I828" s="10"/>
      <c r="J828" s="1"/>
      <c r="K828" s="1"/>
      <c r="L828" s="11"/>
      <c r="M828" s="11"/>
    </row>
    <row r="829" spans="1:13" ht="18.600000000000001">
      <c r="A829" s="89"/>
      <c r="B829" s="90"/>
      <c r="C829" s="91"/>
      <c r="D829" s="9"/>
      <c r="H829" s="89"/>
      <c r="I829" s="10"/>
      <c r="J829" s="1"/>
      <c r="K829" s="1"/>
      <c r="L829" s="11"/>
      <c r="M829" s="11"/>
    </row>
    <row r="830" spans="1:13" ht="18.600000000000001">
      <c r="A830" s="89"/>
      <c r="B830" s="90"/>
      <c r="C830" s="91"/>
      <c r="D830" s="9"/>
      <c r="H830" s="89"/>
      <c r="I830" s="10"/>
      <c r="J830" s="1"/>
      <c r="K830" s="1"/>
      <c r="L830" s="11"/>
      <c r="M830" s="11"/>
    </row>
    <row r="831" spans="1:13" ht="18.600000000000001">
      <c r="A831" s="89"/>
      <c r="B831" s="90"/>
      <c r="C831" s="91"/>
      <c r="D831" s="9"/>
      <c r="H831" s="89"/>
      <c r="I831" s="10"/>
      <c r="J831" s="1"/>
      <c r="K831" s="1"/>
      <c r="L831" s="11"/>
      <c r="M831" s="11"/>
    </row>
    <row r="832" spans="1:13" ht="18.600000000000001">
      <c r="A832" s="89"/>
      <c r="B832" s="90"/>
      <c r="C832" s="91"/>
      <c r="D832" s="9"/>
      <c r="H832" s="89"/>
      <c r="I832" s="10"/>
      <c r="J832" s="1"/>
      <c r="K832" s="1"/>
      <c r="L832" s="11"/>
      <c r="M832" s="11"/>
    </row>
    <row r="833" spans="1:13" ht="18.600000000000001">
      <c r="A833" s="89"/>
      <c r="B833" s="90"/>
      <c r="C833" s="91"/>
      <c r="D833" s="9"/>
      <c r="H833" s="89"/>
      <c r="I833" s="10"/>
      <c r="J833" s="1"/>
      <c r="K833" s="1"/>
      <c r="L833" s="11"/>
      <c r="M833" s="11"/>
    </row>
    <row r="834" spans="1:13" ht="18.600000000000001">
      <c r="A834" s="89"/>
      <c r="B834" s="90"/>
      <c r="C834" s="91"/>
      <c r="D834" s="9"/>
      <c r="H834" s="89"/>
      <c r="I834" s="10"/>
      <c r="J834" s="1"/>
      <c r="K834" s="1"/>
      <c r="L834" s="11"/>
      <c r="M834" s="11"/>
    </row>
    <row r="835" spans="1:13" ht="18.600000000000001">
      <c r="A835" s="89"/>
      <c r="B835" s="90"/>
      <c r="C835" s="91"/>
      <c r="D835" s="9"/>
      <c r="H835" s="89"/>
      <c r="I835" s="10"/>
      <c r="J835" s="1"/>
      <c r="K835" s="1"/>
      <c r="L835" s="11"/>
      <c r="M835" s="11"/>
    </row>
    <row r="836" spans="1:13" ht="18.600000000000001">
      <c r="A836" s="89"/>
      <c r="B836" s="90"/>
      <c r="C836" s="91"/>
      <c r="D836" s="9"/>
      <c r="H836" s="89"/>
      <c r="I836" s="10"/>
      <c r="J836" s="1"/>
      <c r="K836" s="1"/>
      <c r="L836" s="11"/>
      <c r="M836" s="11"/>
    </row>
    <row r="837" spans="1:13" ht="18.600000000000001">
      <c r="A837" s="89"/>
      <c r="B837" s="90"/>
      <c r="C837" s="91"/>
      <c r="D837" s="9"/>
      <c r="H837" s="89"/>
      <c r="I837" s="10"/>
      <c r="J837" s="1"/>
      <c r="K837" s="1"/>
      <c r="L837" s="11"/>
      <c r="M837" s="11"/>
    </row>
    <row r="838" spans="1:13" ht="18.600000000000001">
      <c r="A838" s="89"/>
      <c r="B838" s="90"/>
      <c r="C838" s="91"/>
      <c r="D838" s="9"/>
      <c r="H838" s="89"/>
      <c r="I838" s="10"/>
      <c r="J838" s="1"/>
      <c r="K838" s="1"/>
      <c r="L838" s="11"/>
      <c r="M838" s="11"/>
    </row>
    <row r="839" spans="1:13" ht="18.600000000000001">
      <c r="A839" s="89"/>
      <c r="B839" s="90"/>
      <c r="C839" s="91"/>
      <c r="D839" s="9"/>
      <c r="H839" s="89"/>
      <c r="I839" s="10"/>
      <c r="J839" s="1"/>
      <c r="K839" s="1"/>
      <c r="L839" s="11"/>
      <c r="M839" s="11"/>
    </row>
    <row r="840" spans="1:13" ht="18.600000000000001">
      <c r="A840" s="89"/>
      <c r="B840" s="90"/>
      <c r="C840" s="91"/>
      <c r="D840" s="9"/>
      <c r="H840" s="89"/>
      <c r="I840" s="10"/>
      <c r="J840" s="1"/>
      <c r="K840" s="1"/>
      <c r="L840" s="11"/>
      <c r="M840" s="11"/>
    </row>
    <row r="841" spans="1:13" ht="18.600000000000001">
      <c r="A841" s="89"/>
      <c r="B841" s="90"/>
      <c r="C841" s="91"/>
      <c r="D841" s="9"/>
      <c r="H841" s="89"/>
      <c r="I841" s="10"/>
      <c r="J841" s="1"/>
      <c r="K841" s="1"/>
      <c r="L841" s="11"/>
      <c r="M841" s="11"/>
    </row>
    <row r="842" spans="1:13" ht="18.600000000000001">
      <c r="A842" s="89"/>
      <c r="B842" s="90"/>
      <c r="C842" s="91"/>
      <c r="D842" s="9"/>
      <c r="H842" s="89"/>
      <c r="I842" s="10"/>
      <c r="J842" s="1"/>
      <c r="K842" s="1"/>
      <c r="L842" s="11"/>
      <c r="M842" s="11"/>
    </row>
    <row r="843" spans="1:13" ht="18.600000000000001">
      <c r="A843" s="89"/>
      <c r="B843" s="90"/>
      <c r="C843" s="91"/>
      <c r="D843" s="9"/>
      <c r="H843" s="89"/>
      <c r="I843" s="10"/>
      <c r="J843" s="1"/>
      <c r="K843" s="1"/>
      <c r="L843" s="11"/>
      <c r="M843" s="11"/>
    </row>
    <row r="844" spans="1:13" ht="18.600000000000001">
      <c r="A844" s="89"/>
      <c r="B844" s="90"/>
      <c r="C844" s="91"/>
      <c r="D844" s="9"/>
      <c r="H844" s="89"/>
      <c r="I844" s="10"/>
      <c r="J844" s="1"/>
      <c r="K844" s="1"/>
      <c r="L844" s="11"/>
      <c r="M844" s="11"/>
    </row>
    <row r="845" spans="1:13" ht="18.600000000000001">
      <c r="A845" s="89"/>
      <c r="B845" s="90"/>
      <c r="C845" s="91"/>
      <c r="D845" s="9"/>
      <c r="H845" s="89"/>
      <c r="I845" s="10"/>
      <c r="J845" s="1"/>
      <c r="K845" s="1"/>
      <c r="L845" s="11"/>
      <c r="M845" s="11"/>
    </row>
    <row r="846" spans="1:13" ht="18.600000000000001">
      <c r="A846" s="89"/>
      <c r="B846" s="90"/>
      <c r="C846" s="91"/>
      <c r="D846" s="9"/>
      <c r="H846" s="89"/>
      <c r="I846" s="10"/>
      <c r="J846" s="1"/>
      <c r="K846" s="1"/>
      <c r="L846" s="11"/>
      <c r="M846" s="11"/>
    </row>
    <row r="847" spans="1:13" ht="18.600000000000001">
      <c r="A847" s="89"/>
      <c r="B847" s="90"/>
      <c r="C847" s="91"/>
      <c r="D847" s="9"/>
      <c r="H847" s="89"/>
      <c r="I847" s="10"/>
      <c r="J847" s="1"/>
      <c r="K847" s="1"/>
      <c r="L847" s="11"/>
      <c r="M847" s="11"/>
    </row>
    <row r="848" spans="1:13" ht="18.600000000000001">
      <c r="A848" s="89"/>
      <c r="B848" s="90"/>
      <c r="C848" s="91"/>
      <c r="D848" s="9"/>
      <c r="H848" s="89"/>
      <c r="I848" s="10"/>
      <c r="J848" s="1"/>
      <c r="K848" s="1"/>
      <c r="L848" s="11"/>
      <c r="M848" s="11"/>
    </row>
    <row r="849" spans="1:13" ht="18.600000000000001">
      <c r="A849" s="89"/>
      <c r="B849" s="90"/>
      <c r="C849" s="91"/>
      <c r="D849" s="9"/>
      <c r="H849" s="89"/>
      <c r="I849" s="10"/>
      <c r="J849" s="1"/>
      <c r="K849" s="1"/>
      <c r="L849" s="11"/>
      <c r="M849" s="11"/>
    </row>
    <row r="850" spans="1:13" ht="18.600000000000001">
      <c r="A850" s="89"/>
      <c r="B850" s="90"/>
      <c r="C850" s="91"/>
      <c r="D850" s="9"/>
      <c r="H850" s="89"/>
      <c r="I850" s="10"/>
      <c r="J850" s="1"/>
      <c r="K850" s="1"/>
      <c r="L850" s="11"/>
      <c r="M850" s="11"/>
    </row>
    <row r="851" spans="1:13" ht="18.600000000000001">
      <c r="A851" s="89"/>
      <c r="B851" s="90"/>
      <c r="C851" s="91"/>
      <c r="D851" s="9"/>
      <c r="H851" s="89"/>
      <c r="I851" s="10"/>
      <c r="J851" s="1"/>
      <c r="K851" s="1"/>
      <c r="L851" s="11"/>
      <c r="M851" s="11"/>
    </row>
    <row r="852" spans="1:13" ht="18.600000000000001">
      <c r="A852" s="89"/>
      <c r="B852" s="90"/>
      <c r="C852" s="91"/>
      <c r="D852" s="9"/>
      <c r="H852" s="89"/>
      <c r="I852" s="10"/>
      <c r="J852" s="1"/>
      <c r="K852" s="1"/>
      <c r="L852" s="11"/>
      <c r="M852" s="11"/>
    </row>
    <row r="853" spans="1:13" ht="18.600000000000001">
      <c r="A853" s="89"/>
      <c r="B853" s="90"/>
      <c r="C853" s="91"/>
      <c r="D853" s="9"/>
      <c r="H853" s="89"/>
      <c r="I853" s="10"/>
      <c r="J853" s="1"/>
      <c r="K853" s="1"/>
      <c r="L853" s="11"/>
      <c r="M853" s="11"/>
    </row>
    <row r="854" spans="1:13" ht="18.600000000000001">
      <c r="A854" s="89"/>
      <c r="B854" s="90"/>
      <c r="C854" s="91"/>
      <c r="D854" s="9"/>
      <c r="H854" s="89"/>
      <c r="I854" s="10"/>
      <c r="J854" s="1"/>
      <c r="K854" s="1"/>
      <c r="L854" s="11"/>
      <c r="M854" s="11"/>
    </row>
    <row r="855" spans="1:13" ht="18.600000000000001">
      <c r="A855" s="89"/>
      <c r="B855" s="90"/>
      <c r="C855" s="91"/>
      <c r="D855" s="9"/>
      <c r="H855" s="89"/>
      <c r="I855" s="10"/>
      <c r="J855" s="1"/>
      <c r="K855" s="1"/>
      <c r="L855" s="11"/>
      <c r="M855" s="11"/>
    </row>
    <row r="856" spans="1:13" ht="18.600000000000001">
      <c r="A856" s="89"/>
      <c r="B856" s="90"/>
      <c r="C856" s="91"/>
      <c r="D856" s="9"/>
      <c r="H856" s="89"/>
      <c r="I856" s="10"/>
      <c r="J856" s="1"/>
      <c r="K856" s="1"/>
      <c r="L856" s="11"/>
      <c r="M856" s="11"/>
    </row>
    <row r="857" spans="1:13" ht="18.600000000000001">
      <c r="A857" s="89"/>
      <c r="B857" s="90"/>
      <c r="C857" s="91"/>
      <c r="D857" s="9"/>
      <c r="H857" s="89"/>
      <c r="I857" s="10"/>
      <c r="J857" s="1"/>
      <c r="K857" s="1"/>
      <c r="L857" s="11"/>
      <c r="M857" s="11"/>
    </row>
    <row r="858" spans="1:13" ht="18.600000000000001">
      <c r="A858" s="89"/>
      <c r="B858" s="90"/>
      <c r="C858" s="91"/>
      <c r="D858" s="9"/>
      <c r="H858" s="89"/>
      <c r="I858" s="10"/>
      <c r="J858" s="1"/>
      <c r="K858" s="1"/>
      <c r="L858" s="11"/>
      <c r="M858" s="11"/>
    </row>
    <row r="859" spans="1:13" ht="18.600000000000001">
      <c r="A859" s="89"/>
      <c r="B859" s="90"/>
      <c r="C859" s="91"/>
      <c r="D859" s="9"/>
      <c r="H859" s="89"/>
      <c r="I859" s="10"/>
      <c r="J859" s="1"/>
      <c r="K859" s="1"/>
      <c r="L859" s="11"/>
      <c r="M859" s="11"/>
    </row>
    <row r="860" spans="1:13" ht="18.600000000000001">
      <c r="A860" s="89"/>
      <c r="B860" s="90"/>
      <c r="C860" s="91"/>
      <c r="D860" s="9"/>
      <c r="H860" s="89"/>
      <c r="I860" s="10"/>
      <c r="J860" s="1"/>
      <c r="K860" s="1"/>
      <c r="L860" s="11"/>
      <c r="M860" s="11"/>
    </row>
    <row r="861" spans="1:13" ht="18.600000000000001">
      <c r="A861" s="89"/>
      <c r="B861" s="90"/>
      <c r="C861" s="91"/>
      <c r="D861" s="9"/>
      <c r="H861" s="89"/>
      <c r="I861" s="10"/>
      <c r="J861" s="1"/>
      <c r="K861" s="1"/>
      <c r="L861" s="11"/>
      <c r="M861" s="11"/>
    </row>
    <row r="862" spans="1:13" ht="18.600000000000001">
      <c r="A862" s="89"/>
      <c r="B862" s="90"/>
      <c r="C862" s="91"/>
      <c r="D862" s="9"/>
      <c r="H862" s="89"/>
      <c r="I862" s="10"/>
      <c r="J862" s="1"/>
      <c r="K862" s="1"/>
      <c r="L862" s="11"/>
      <c r="M862" s="11"/>
    </row>
    <row r="863" spans="1:13" ht="18.600000000000001">
      <c r="A863" s="89"/>
      <c r="B863" s="90"/>
      <c r="C863" s="91"/>
      <c r="D863" s="9"/>
      <c r="H863" s="89"/>
      <c r="I863" s="10"/>
      <c r="J863" s="1"/>
      <c r="K863" s="1"/>
      <c r="L863" s="11"/>
      <c r="M863" s="11"/>
    </row>
    <row r="864" spans="1:13" ht="18.600000000000001">
      <c r="A864" s="89"/>
      <c r="B864" s="90"/>
      <c r="C864" s="91"/>
      <c r="D864" s="9"/>
      <c r="H864" s="89"/>
      <c r="I864" s="10"/>
      <c r="J864" s="1"/>
      <c r="K864" s="1"/>
      <c r="L864" s="11"/>
      <c r="M864" s="11"/>
    </row>
    <row r="865" spans="1:13" ht="18.600000000000001">
      <c r="A865" s="89"/>
      <c r="B865" s="90"/>
      <c r="C865" s="91"/>
      <c r="D865" s="9"/>
      <c r="H865" s="89"/>
      <c r="I865" s="10"/>
      <c r="J865" s="1"/>
      <c r="K865" s="1"/>
      <c r="L865" s="11"/>
      <c r="M865" s="11"/>
    </row>
    <row r="866" spans="1:13" ht="18.600000000000001">
      <c r="A866" s="89"/>
      <c r="B866" s="90"/>
      <c r="C866" s="91"/>
      <c r="D866" s="9"/>
      <c r="H866" s="89"/>
      <c r="I866" s="10"/>
      <c r="J866" s="1"/>
      <c r="K866" s="1"/>
      <c r="L866" s="11"/>
      <c r="M866" s="11"/>
    </row>
    <row r="867" spans="1:13" ht="18.600000000000001">
      <c r="A867" s="89"/>
      <c r="B867" s="90"/>
      <c r="C867" s="91"/>
      <c r="D867" s="9"/>
      <c r="H867" s="89"/>
      <c r="I867" s="10"/>
      <c r="J867" s="1"/>
      <c r="K867" s="1"/>
      <c r="L867" s="11"/>
      <c r="M867" s="11"/>
    </row>
    <row r="868" spans="1:13" ht="18.600000000000001">
      <c r="A868" s="89"/>
      <c r="B868" s="90"/>
      <c r="C868" s="91"/>
      <c r="D868" s="9"/>
      <c r="H868" s="89"/>
      <c r="I868" s="10"/>
      <c r="J868" s="1"/>
      <c r="K868" s="1"/>
      <c r="L868" s="11"/>
      <c r="M868" s="11"/>
    </row>
    <row r="869" spans="1:13" ht="18.600000000000001">
      <c r="A869" s="89"/>
      <c r="B869" s="90"/>
      <c r="C869" s="91"/>
      <c r="D869" s="9"/>
      <c r="H869" s="89"/>
      <c r="I869" s="10"/>
      <c r="J869" s="1"/>
      <c r="K869" s="1"/>
      <c r="L869" s="11"/>
      <c r="M869" s="11"/>
    </row>
    <row r="870" spans="1:13" ht="18.600000000000001">
      <c r="A870" s="89"/>
      <c r="B870" s="90"/>
      <c r="C870" s="91"/>
      <c r="D870" s="9"/>
      <c r="H870" s="89"/>
      <c r="I870" s="10"/>
      <c r="J870" s="1"/>
      <c r="K870" s="1"/>
      <c r="L870" s="11"/>
      <c r="M870" s="11"/>
    </row>
    <row r="871" spans="1:13" ht="18.600000000000001">
      <c r="A871" s="89"/>
      <c r="B871" s="90"/>
      <c r="C871" s="91"/>
      <c r="D871" s="9"/>
      <c r="H871" s="89"/>
      <c r="I871" s="10"/>
      <c r="J871" s="1"/>
      <c r="K871" s="1"/>
      <c r="L871" s="11"/>
      <c r="M871" s="11"/>
    </row>
    <row r="872" spans="1:13" ht="18.600000000000001">
      <c r="A872" s="89"/>
      <c r="B872" s="90"/>
      <c r="C872" s="91"/>
      <c r="D872" s="9"/>
      <c r="H872" s="89"/>
      <c r="I872" s="10"/>
      <c r="J872" s="1"/>
      <c r="K872" s="1"/>
      <c r="L872" s="11"/>
      <c r="M872" s="11"/>
    </row>
    <row r="873" spans="1:13" ht="18.600000000000001">
      <c r="A873" s="89"/>
      <c r="B873" s="90"/>
      <c r="C873" s="91"/>
      <c r="D873" s="9"/>
      <c r="H873" s="89"/>
      <c r="I873" s="10"/>
      <c r="J873" s="1"/>
      <c r="K873" s="1"/>
      <c r="L873" s="11"/>
      <c r="M873" s="11"/>
    </row>
    <row r="874" spans="1:13" ht="18.600000000000001">
      <c r="A874" s="89"/>
      <c r="B874" s="90"/>
      <c r="C874" s="91"/>
      <c r="D874" s="9"/>
      <c r="H874" s="89"/>
      <c r="I874" s="10"/>
      <c r="J874" s="1"/>
      <c r="K874" s="1"/>
      <c r="L874" s="11"/>
      <c r="M874" s="11"/>
    </row>
    <row r="875" spans="1:13" ht="18.600000000000001">
      <c r="A875" s="89"/>
      <c r="B875" s="90"/>
      <c r="C875" s="91"/>
      <c r="D875" s="9"/>
      <c r="H875" s="89"/>
      <c r="I875" s="10"/>
      <c r="J875" s="1"/>
      <c r="K875" s="1"/>
      <c r="L875" s="11"/>
      <c r="M875" s="11"/>
    </row>
    <row r="876" spans="1:13" ht="18.600000000000001">
      <c r="A876" s="89"/>
      <c r="B876" s="90"/>
      <c r="C876" s="91"/>
      <c r="D876" s="9"/>
      <c r="H876" s="89"/>
      <c r="I876" s="10"/>
      <c r="J876" s="1"/>
      <c r="K876" s="1"/>
      <c r="L876" s="11"/>
      <c r="M876" s="11"/>
    </row>
    <row r="877" spans="1:13" ht="18.600000000000001">
      <c r="A877" s="89"/>
      <c r="B877" s="90"/>
      <c r="C877" s="91"/>
      <c r="D877" s="9"/>
      <c r="H877" s="89"/>
      <c r="I877" s="10"/>
      <c r="J877" s="1"/>
      <c r="K877" s="1"/>
      <c r="L877" s="11"/>
      <c r="M877" s="11"/>
    </row>
    <row r="878" spans="1:13" ht="18.600000000000001">
      <c r="A878" s="89"/>
      <c r="B878" s="90"/>
      <c r="C878" s="91"/>
      <c r="D878" s="9"/>
      <c r="H878" s="89"/>
      <c r="I878" s="10"/>
      <c r="J878" s="1"/>
      <c r="K878" s="1"/>
      <c r="L878" s="11"/>
      <c r="M878" s="11"/>
    </row>
    <row r="879" spans="1:13" ht="18.600000000000001">
      <c r="A879" s="89"/>
      <c r="B879" s="90"/>
      <c r="C879" s="91"/>
      <c r="D879" s="9"/>
      <c r="H879" s="89"/>
      <c r="I879" s="10"/>
      <c r="J879" s="1"/>
      <c r="K879" s="1"/>
      <c r="L879" s="11"/>
      <c r="M879" s="11"/>
    </row>
    <row r="880" spans="1:13" ht="18.600000000000001">
      <c r="A880" s="89"/>
      <c r="B880" s="90"/>
      <c r="C880" s="91"/>
      <c r="D880" s="9"/>
      <c r="H880" s="89"/>
      <c r="I880" s="10"/>
      <c r="J880" s="1"/>
      <c r="K880" s="1"/>
      <c r="L880" s="11"/>
      <c r="M880" s="11"/>
    </row>
    <row r="881" spans="1:13" ht="18.600000000000001">
      <c r="A881" s="89"/>
      <c r="B881" s="90"/>
      <c r="C881" s="91"/>
      <c r="D881" s="9"/>
      <c r="H881" s="89"/>
      <c r="I881" s="10"/>
      <c r="J881" s="1"/>
      <c r="K881" s="1"/>
      <c r="L881" s="11"/>
      <c r="M881" s="11"/>
    </row>
    <row r="882" spans="1:13" ht="18.600000000000001">
      <c r="A882" s="89"/>
      <c r="B882" s="90"/>
      <c r="C882" s="91"/>
      <c r="D882" s="9"/>
      <c r="H882" s="89"/>
      <c r="I882" s="10"/>
      <c r="J882" s="1"/>
      <c r="K882" s="1"/>
      <c r="L882" s="11"/>
      <c r="M882" s="11"/>
    </row>
    <row r="883" spans="1:13" ht="18.600000000000001">
      <c r="A883" s="89"/>
      <c r="B883" s="90"/>
      <c r="C883" s="91"/>
      <c r="D883" s="9"/>
      <c r="H883" s="89"/>
      <c r="I883" s="10"/>
      <c r="J883" s="1"/>
      <c r="K883" s="1"/>
      <c r="L883" s="11"/>
      <c r="M883" s="11"/>
    </row>
    <row r="884" spans="1:13" ht="18.600000000000001">
      <c r="A884" s="89"/>
      <c r="B884" s="90"/>
      <c r="C884" s="91"/>
      <c r="D884" s="9"/>
      <c r="H884" s="89"/>
      <c r="I884" s="10"/>
      <c r="J884" s="1"/>
      <c r="K884" s="1"/>
      <c r="L884" s="11"/>
      <c r="M884" s="11"/>
    </row>
    <row r="885" spans="1:13" ht="18.600000000000001">
      <c r="A885" s="89"/>
      <c r="B885" s="90"/>
      <c r="C885" s="91"/>
      <c r="D885" s="9"/>
      <c r="H885" s="89"/>
      <c r="I885" s="10"/>
      <c r="J885" s="1"/>
      <c r="K885" s="1"/>
      <c r="L885" s="11"/>
      <c r="M885" s="11"/>
    </row>
    <row r="886" spans="1:13" ht="18.600000000000001">
      <c r="A886" s="89"/>
      <c r="B886" s="90"/>
      <c r="C886" s="91"/>
      <c r="D886" s="9"/>
      <c r="H886" s="89"/>
      <c r="I886" s="10"/>
      <c r="J886" s="1"/>
      <c r="K886" s="1"/>
      <c r="L886" s="11"/>
      <c r="M886" s="11"/>
    </row>
    <row r="887" spans="1:13" ht="18.600000000000001">
      <c r="A887" s="89"/>
      <c r="B887" s="90"/>
      <c r="C887" s="91"/>
      <c r="D887" s="9"/>
      <c r="H887" s="89"/>
      <c r="I887" s="10"/>
      <c r="J887" s="1"/>
      <c r="K887" s="1"/>
      <c r="L887" s="11"/>
      <c r="M887" s="11"/>
    </row>
    <row r="888" spans="1:13" ht="18.600000000000001">
      <c r="A888" s="89"/>
      <c r="B888" s="90"/>
      <c r="C888" s="91"/>
      <c r="D888" s="9"/>
      <c r="H888" s="89"/>
      <c r="I888" s="10"/>
      <c r="J888" s="1"/>
      <c r="K888" s="1"/>
      <c r="L888" s="11"/>
      <c r="M888" s="11"/>
    </row>
    <row r="889" spans="1:13" ht="18.600000000000001">
      <c r="A889" s="89"/>
      <c r="B889" s="90"/>
      <c r="C889" s="91"/>
      <c r="D889" s="9"/>
      <c r="H889" s="89"/>
      <c r="I889" s="10"/>
      <c r="J889" s="1"/>
      <c r="K889" s="1"/>
      <c r="L889" s="11"/>
      <c r="M889" s="11"/>
    </row>
    <row r="890" spans="1:13" ht="18.600000000000001">
      <c r="A890" s="89"/>
      <c r="B890" s="90"/>
      <c r="C890" s="91"/>
      <c r="D890" s="9"/>
      <c r="H890" s="89"/>
      <c r="I890" s="10"/>
      <c r="J890" s="1"/>
      <c r="K890" s="1"/>
      <c r="L890" s="11"/>
      <c r="M890" s="11"/>
    </row>
    <row r="891" spans="1:13" ht="18.600000000000001">
      <c r="A891" s="89"/>
      <c r="B891" s="90"/>
      <c r="C891" s="91"/>
      <c r="D891" s="9"/>
      <c r="H891" s="89"/>
      <c r="I891" s="10"/>
      <c r="J891" s="1"/>
      <c r="K891" s="1"/>
      <c r="L891" s="11"/>
      <c r="M891" s="11"/>
    </row>
    <row r="892" spans="1:13" ht="18.600000000000001">
      <c r="A892" s="89"/>
      <c r="B892" s="90"/>
      <c r="C892" s="91"/>
      <c r="D892" s="9"/>
      <c r="H892" s="89"/>
      <c r="I892" s="10"/>
      <c r="J892" s="1"/>
      <c r="K892" s="1"/>
      <c r="L892" s="11"/>
      <c r="M892" s="11"/>
    </row>
    <row r="893" spans="1:13" ht="18.600000000000001">
      <c r="A893" s="89"/>
      <c r="B893" s="90"/>
      <c r="C893" s="91"/>
      <c r="D893" s="9"/>
      <c r="H893" s="89"/>
      <c r="I893" s="10"/>
      <c r="J893" s="1"/>
      <c r="K893" s="1"/>
      <c r="L893" s="11"/>
      <c r="M893" s="11"/>
    </row>
    <row r="894" spans="1:13" ht="18.600000000000001">
      <c r="A894" s="89"/>
      <c r="B894" s="90"/>
      <c r="C894" s="91"/>
      <c r="D894" s="9"/>
      <c r="H894" s="89"/>
      <c r="I894" s="10"/>
      <c r="J894" s="1"/>
      <c r="K894" s="1"/>
      <c r="L894" s="11"/>
      <c r="M894" s="11"/>
    </row>
    <row r="895" spans="1:13" ht="18.600000000000001">
      <c r="A895" s="89"/>
      <c r="B895" s="90"/>
      <c r="C895" s="91"/>
      <c r="D895" s="9"/>
      <c r="H895" s="89"/>
      <c r="I895" s="10"/>
      <c r="J895" s="1"/>
      <c r="K895" s="1"/>
      <c r="L895" s="11"/>
      <c r="M895" s="11"/>
    </row>
    <row r="896" spans="1:13" ht="18.600000000000001">
      <c r="A896" s="89"/>
      <c r="B896" s="90"/>
      <c r="C896" s="91"/>
      <c r="D896" s="9"/>
      <c r="H896" s="89"/>
      <c r="I896" s="10"/>
      <c r="J896" s="1"/>
      <c r="K896" s="1"/>
      <c r="L896" s="11"/>
      <c r="M896" s="11"/>
    </row>
    <row r="897" spans="1:13" ht="18.600000000000001">
      <c r="A897" s="89"/>
      <c r="B897" s="90"/>
      <c r="C897" s="91"/>
      <c r="D897" s="9"/>
      <c r="H897" s="89"/>
      <c r="I897" s="10"/>
      <c r="J897" s="1"/>
      <c r="K897" s="1"/>
      <c r="L897" s="11"/>
      <c r="M897" s="11"/>
    </row>
    <row r="898" spans="1:13" ht="18.600000000000001">
      <c r="A898" s="89"/>
      <c r="B898" s="90"/>
      <c r="C898" s="91"/>
      <c r="D898" s="9"/>
      <c r="H898" s="89"/>
      <c r="I898" s="10"/>
      <c r="J898" s="1"/>
      <c r="K898" s="1"/>
      <c r="L898" s="11"/>
      <c r="M898" s="11"/>
    </row>
    <row r="899" spans="1:13" ht="18.600000000000001">
      <c r="A899" s="89"/>
      <c r="B899" s="90"/>
      <c r="C899" s="91"/>
      <c r="D899" s="9"/>
      <c r="H899" s="89"/>
      <c r="I899" s="10"/>
      <c r="J899" s="1"/>
      <c r="K899" s="1"/>
      <c r="L899" s="11"/>
      <c r="M899" s="11"/>
    </row>
    <row r="900" spans="1:13" ht="18.600000000000001">
      <c r="A900" s="89"/>
      <c r="B900" s="90"/>
      <c r="C900" s="91"/>
      <c r="D900" s="9"/>
      <c r="H900" s="89"/>
      <c r="I900" s="10"/>
      <c r="J900" s="1"/>
      <c r="K900" s="1"/>
      <c r="L900" s="11"/>
      <c r="M900" s="11"/>
    </row>
    <row r="901" spans="1:13" ht="18.600000000000001">
      <c r="A901" s="89"/>
      <c r="B901" s="90"/>
      <c r="C901" s="91"/>
      <c r="D901" s="9"/>
      <c r="H901" s="89"/>
      <c r="I901" s="10"/>
      <c r="J901" s="1"/>
      <c r="K901" s="1"/>
      <c r="L901" s="11"/>
      <c r="M901" s="11"/>
    </row>
    <row r="902" spans="1:13" ht="18.600000000000001">
      <c r="A902" s="89"/>
      <c r="B902" s="90"/>
      <c r="C902" s="91"/>
      <c r="D902" s="9"/>
      <c r="H902" s="89"/>
      <c r="I902" s="10"/>
      <c r="J902" s="1"/>
      <c r="K902" s="1"/>
      <c r="L902" s="11"/>
      <c r="M902" s="11"/>
    </row>
    <row r="903" spans="1:13" ht="18.600000000000001">
      <c r="A903" s="89"/>
      <c r="B903" s="90"/>
      <c r="C903" s="91"/>
      <c r="D903" s="9"/>
      <c r="H903" s="89"/>
      <c r="I903" s="10"/>
      <c r="J903" s="1"/>
      <c r="K903" s="1"/>
      <c r="L903" s="11"/>
      <c r="M903" s="11"/>
    </row>
    <row r="904" spans="1:13" ht="18.600000000000001">
      <c r="A904" s="89"/>
      <c r="B904" s="90"/>
      <c r="C904" s="91"/>
      <c r="D904" s="9"/>
      <c r="H904" s="89"/>
      <c r="I904" s="10"/>
      <c r="J904" s="1"/>
      <c r="K904" s="1"/>
      <c r="L904" s="11"/>
      <c r="M904" s="11"/>
    </row>
    <row r="905" spans="1:13" ht="18.600000000000001">
      <c r="A905" s="89"/>
      <c r="B905" s="90"/>
      <c r="C905" s="91"/>
      <c r="D905" s="9"/>
      <c r="H905" s="89"/>
      <c r="I905" s="10"/>
      <c r="J905" s="1"/>
      <c r="K905" s="1"/>
      <c r="L905" s="11"/>
      <c r="M905" s="11"/>
    </row>
    <row r="906" spans="1:13" ht="18.600000000000001">
      <c r="A906" s="89"/>
      <c r="B906" s="90"/>
      <c r="C906" s="91"/>
      <c r="D906" s="9"/>
      <c r="H906" s="89"/>
      <c r="I906" s="10"/>
      <c r="J906" s="1"/>
      <c r="K906" s="1"/>
      <c r="L906" s="11"/>
      <c r="M906" s="11"/>
    </row>
    <row r="907" spans="1:13" ht="18.600000000000001">
      <c r="A907" s="89"/>
      <c r="B907" s="90"/>
      <c r="C907" s="91"/>
      <c r="D907" s="9"/>
      <c r="H907" s="89"/>
      <c r="I907" s="10"/>
      <c r="J907" s="1"/>
      <c r="K907" s="1"/>
      <c r="L907" s="11"/>
      <c r="M907" s="11"/>
    </row>
    <row r="908" spans="1:13" ht="18.600000000000001">
      <c r="A908" s="89"/>
      <c r="B908" s="90"/>
      <c r="C908" s="91"/>
      <c r="D908" s="9"/>
      <c r="H908" s="89"/>
      <c r="I908" s="10"/>
      <c r="J908" s="1"/>
      <c r="K908" s="1"/>
      <c r="L908" s="11"/>
      <c r="M908" s="11"/>
    </row>
    <row r="909" spans="1:13" ht="18.600000000000001">
      <c r="A909" s="89"/>
      <c r="B909" s="90"/>
      <c r="C909" s="91"/>
      <c r="D909" s="9"/>
      <c r="H909" s="89"/>
      <c r="I909" s="10"/>
      <c r="J909" s="1"/>
      <c r="K909" s="1"/>
      <c r="L909" s="11"/>
      <c r="M909" s="11"/>
    </row>
    <row r="910" spans="1:13" ht="18.600000000000001">
      <c r="A910" s="89"/>
      <c r="B910" s="90"/>
      <c r="C910" s="91"/>
      <c r="D910" s="9"/>
      <c r="H910" s="89"/>
      <c r="I910" s="10"/>
      <c r="J910" s="1"/>
      <c r="K910" s="1"/>
      <c r="L910" s="11"/>
      <c r="M910" s="11"/>
    </row>
    <row r="911" spans="1:13" ht="18.600000000000001">
      <c r="A911" s="89"/>
      <c r="B911" s="90"/>
      <c r="C911" s="91"/>
      <c r="D911" s="9"/>
      <c r="H911" s="89"/>
      <c r="I911" s="10"/>
      <c r="J911" s="1"/>
      <c r="K911" s="1"/>
      <c r="L911" s="11"/>
      <c r="M911" s="11"/>
    </row>
    <row r="912" spans="1:13" ht="18.600000000000001">
      <c r="A912" s="89"/>
      <c r="B912" s="90"/>
      <c r="C912" s="91"/>
      <c r="D912" s="9"/>
      <c r="H912" s="89"/>
      <c r="I912" s="10"/>
      <c r="J912" s="1"/>
      <c r="K912" s="1"/>
      <c r="L912" s="11"/>
      <c r="M912" s="11"/>
    </row>
    <row r="913" spans="1:13" ht="18.600000000000001">
      <c r="A913" s="89"/>
      <c r="B913" s="90"/>
      <c r="C913" s="91"/>
      <c r="D913" s="9"/>
      <c r="H913" s="89"/>
      <c r="I913" s="10"/>
      <c r="J913" s="1"/>
      <c r="K913" s="1"/>
      <c r="L913" s="11"/>
      <c r="M913" s="11"/>
    </row>
    <row r="914" spans="1:13" ht="18.600000000000001">
      <c r="A914" s="89"/>
      <c r="B914" s="90"/>
      <c r="C914" s="91"/>
      <c r="D914" s="9"/>
      <c r="H914" s="89"/>
      <c r="I914" s="10"/>
      <c r="J914" s="1"/>
      <c r="K914" s="1"/>
      <c r="L914" s="11"/>
      <c r="M914" s="11"/>
    </row>
    <row r="915" spans="1:13" ht="18.600000000000001">
      <c r="A915" s="89"/>
      <c r="B915" s="90"/>
      <c r="C915" s="91"/>
      <c r="D915" s="9"/>
      <c r="H915" s="89"/>
      <c r="I915" s="10"/>
      <c r="J915" s="1"/>
      <c r="K915" s="1"/>
      <c r="L915" s="11"/>
      <c r="M915" s="11"/>
    </row>
    <row r="916" spans="1:13" ht="18.600000000000001">
      <c r="A916" s="89"/>
      <c r="B916" s="90"/>
      <c r="C916" s="91"/>
      <c r="D916" s="9"/>
      <c r="H916" s="89"/>
      <c r="I916" s="10"/>
      <c r="J916" s="1"/>
      <c r="K916" s="1"/>
      <c r="L916" s="11"/>
      <c r="M916" s="11"/>
    </row>
    <row r="917" spans="1:13" ht="18.600000000000001">
      <c r="A917" s="89"/>
      <c r="B917" s="90"/>
      <c r="C917" s="91"/>
      <c r="D917" s="9"/>
      <c r="H917" s="89"/>
      <c r="I917" s="10"/>
      <c r="J917" s="1"/>
      <c r="K917" s="1"/>
      <c r="L917" s="11"/>
      <c r="M917" s="11"/>
    </row>
    <row r="918" spans="1:13" ht="18.600000000000001">
      <c r="A918" s="89"/>
      <c r="B918" s="90"/>
      <c r="C918" s="91"/>
      <c r="D918" s="9"/>
      <c r="H918" s="89"/>
      <c r="I918" s="10"/>
      <c r="J918" s="1"/>
      <c r="K918" s="1"/>
      <c r="L918" s="11"/>
      <c r="M918" s="11"/>
    </row>
    <row r="919" spans="1:13" ht="18.600000000000001">
      <c r="A919" s="89"/>
      <c r="B919" s="90"/>
      <c r="C919" s="91"/>
      <c r="D919" s="9"/>
      <c r="H919" s="89"/>
      <c r="I919" s="10"/>
      <c r="J919" s="1"/>
      <c r="K919" s="1"/>
      <c r="L919" s="11"/>
      <c r="M919" s="11"/>
    </row>
    <row r="920" spans="1:13" ht="18.600000000000001">
      <c r="A920" s="89"/>
      <c r="B920" s="90"/>
      <c r="C920" s="91"/>
      <c r="D920" s="9"/>
      <c r="H920" s="89"/>
      <c r="I920" s="10"/>
      <c r="J920" s="1"/>
      <c r="K920" s="1"/>
      <c r="L920" s="11"/>
      <c r="M920" s="11"/>
    </row>
    <row r="921" spans="1:13" ht="18.600000000000001">
      <c r="A921" s="89"/>
      <c r="B921" s="90"/>
      <c r="C921" s="91"/>
      <c r="D921" s="9"/>
      <c r="H921" s="89"/>
      <c r="I921" s="10"/>
      <c r="J921" s="1"/>
      <c r="K921" s="1"/>
      <c r="L921" s="11"/>
      <c r="M921" s="11"/>
    </row>
    <row r="922" spans="1:13" ht="18.600000000000001">
      <c r="A922" s="89"/>
      <c r="B922" s="90"/>
      <c r="C922" s="91"/>
      <c r="D922" s="9"/>
      <c r="H922" s="89"/>
      <c r="I922" s="10"/>
      <c r="J922" s="1"/>
      <c r="K922" s="1"/>
      <c r="L922" s="11"/>
      <c r="M922" s="11"/>
    </row>
    <row r="923" spans="1:13" ht="18.600000000000001">
      <c r="A923" s="89"/>
      <c r="B923" s="90"/>
      <c r="C923" s="91"/>
      <c r="D923" s="9"/>
      <c r="H923" s="89"/>
      <c r="I923" s="10"/>
      <c r="J923" s="1"/>
      <c r="K923" s="1"/>
      <c r="L923" s="11"/>
      <c r="M923" s="11"/>
    </row>
    <row r="924" spans="1:13" ht="18.600000000000001">
      <c r="A924" s="89"/>
      <c r="B924" s="90"/>
      <c r="C924" s="91"/>
      <c r="D924" s="9"/>
      <c r="H924" s="89"/>
      <c r="I924" s="10"/>
      <c r="J924" s="1"/>
      <c r="K924" s="1"/>
      <c r="L924" s="11"/>
      <c r="M924" s="11"/>
    </row>
    <row r="925" spans="1:13" ht="18.600000000000001">
      <c r="A925" s="89"/>
      <c r="B925" s="90"/>
      <c r="C925" s="91"/>
      <c r="D925" s="9"/>
      <c r="H925" s="89"/>
      <c r="I925" s="10"/>
      <c r="J925" s="1"/>
      <c r="K925" s="1"/>
      <c r="L925" s="11"/>
      <c r="M925" s="11"/>
    </row>
    <row r="926" spans="1:13" ht="18.600000000000001">
      <c r="A926" s="89"/>
      <c r="B926" s="90"/>
      <c r="C926" s="91"/>
      <c r="D926" s="9"/>
      <c r="H926" s="89"/>
      <c r="I926" s="10"/>
      <c r="J926" s="1"/>
      <c r="K926" s="1"/>
      <c r="L926" s="11"/>
      <c r="M926" s="11"/>
    </row>
    <row r="927" spans="1:13" ht="18.600000000000001">
      <c r="A927" s="89"/>
      <c r="B927" s="90"/>
      <c r="C927" s="91"/>
      <c r="D927" s="9"/>
      <c r="H927" s="89"/>
      <c r="I927" s="10"/>
      <c r="J927" s="1"/>
      <c r="K927" s="1"/>
      <c r="L927" s="11"/>
      <c r="M927" s="11"/>
    </row>
    <row r="928" spans="1:13" ht="18.600000000000001">
      <c r="A928" s="89"/>
      <c r="B928" s="90"/>
      <c r="C928" s="91"/>
      <c r="D928" s="9"/>
      <c r="H928" s="89"/>
      <c r="I928" s="10"/>
      <c r="J928" s="1"/>
      <c r="K928" s="1"/>
      <c r="L928" s="11"/>
      <c r="M928" s="11"/>
    </row>
    <row r="929" spans="1:13" ht="18.600000000000001">
      <c r="A929" s="89"/>
      <c r="B929" s="90"/>
      <c r="C929" s="91"/>
      <c r="D929" s="9"/>
      <c r="H929" s="89"/>
      <c r="I929" s="10"/>
      <c r="J929" s="1"/>
      <c r="K929" s="1"/>
      <c r="L929" s="11"/>
      <c r="M929" s="11"/>
    </row>
    <row r="930" spans="1:13" ht="18.600000000000001">
      <c r="A930" s="89"/>
      <c r="B930" s="90"/>
      <c r="C930" s="91"/>
      <c r="D930" s="9"/>
      <c r="H930" s="89"/>
      <c r="I930" s="10"/>
      <c r="J930" s="1"/>
      <c r="K930" s="1"/>
      <c r="L930" s="11"/>
      <c r="M930" s="11"/>
    </row>
    <row r="931" spans="1:13" ht="18.600000000000001">
      <c r="A931" s="89"/>
      <c r="B931" s="90"/>
      <c r="C931" s="91"/>
      <c r="D931" s="9"/>
      <c r="H931" s="89"/>
      <c r="I931" s="10"/>
      <c r="J931" s="1"/>
      <c r="K931" s="1"/>
      <c r="L931" s="11"/>
      <c r="M931" s="11"/>
    </row>
    <row r="932" spans="1:13" ht="18.600000000000001">
      <c r="A932" s="89"/>
      <c r="B932" s="90"/>
      <c r="C932" s="91"/>
      <c r="D932" s="9"/>
      <c r="H932" s="89"/>
      <c r="I932" s="10"/>
      <c r="J932" s="1"/>
      <c r="K932" s="1"/>
      <c r="L932" s="11"/>
      <c r="M932" s="11"/>
    </row>
    <row r="933" spans="1:13" ht="18.600000000000001">
      <c r="A933" s="89"/>
      <c r="B933" s="90"/>
      <c r="C933" s="91"/>
      <c r="D933" s="9"/>
      <c r="H933" s="89"/>
      <c r="I933" s="10"/>
      <c r="J933" s="1"/>
      <c r="K933" s="1"/>
      <c r="L933" s="11"/>
      <c r="M933" s="11"/>
    </row>
    <row r="934" spans="1:13" ht="18.600000000000001">
      <c r="A934" s="89"/>
      <c r="B934" s="90"/>
      <c r="C934" s="91"/>
      <c r="D934" s="9"/>
      <c r="H934" s="89"/>
      <c r="I934" s="10"/>
      <c r="J934" s="1"/>
      <c r="K934" s="1"/>
      <c r="L934" s="11"/>
      <c r="M934" s="11"/>
    </row>
    <row r="935" spans="1:13" ht="18.600000000000001">
      <c r="A935" s="89"/>
      <c r="B935" s="90"/>
      <c r="C935" s="91"/>
      <c r="D935" s="9"/>
      <c r="H935" s="89"/>
      <c r="I935" s="10"/>
      <c r="J935" s="1"/>
      <c r="K935" s="1"/>
      <c r="L935" s="11"/>
      <c r="M935" s="11"/>
    </row>
    <row r="936" spans="1:13" ht="18.600000000000001">
      <c r="A936" s="89"/>
      <c r="B936" s="90"/>
      <c r="C936" s="91"/>
      <c r="D936" s="9"/>
      <c r="H936" s="89"/>
      <c r="I936" s="10"/>
      <c r="J936" s="1"/>
      <c r="K936" s="1"/>
      <c r="L936" s="11"/>
      <c r="M936" s="11"/>
    </row>
    <row r="937" spans="1:13" ht="18.600000000000001">
      <c r="A937" s="89"/>
      <c r="B937" s="90"/>
      <c r="C937" s="91"/>
      <c r="D937" s="9"/>
      <c r="H937" s="89"/>
      <c r="I937" s="10"/>
      <c r="J937" s="1"/>
      <c r="K937" s="1"/>
      <c r="L937" s="11"/>
      <c r="M937" s="11"/>
    </row>
    <row r="938" spans="1:13" ht="18.600000000000001">
      <c r="A938" s="89"/>
      <c r="B938" s="90"/>
      <c r="C938" s="91"/>
      <c r="D938" s="9"/>
      <c r="H938" s="89"/>
      <c r="I938" s="10"/>
      <c r="J938" s="1"/>
      <c r="K938" s="1"/>
      <c r="L938" s="11"/>
      <c r="M938" s="11"/>
    </row>
    <row r="939" spans="1:13" ht="18.600000000000001">
      <c r="A939" s="89"/>
      <c r="B939" s="90"/>
      <c r="C939" s="91"/>
      <c r="D939" s="9"/>
      <c r="H939" s="89"/>
      <c r="I939" s="10"/>
      <c r="J939" s="1"/>
      <c r="K939" s="1"/>
      <c r="L939" s="11"/>
      <c r="M939" s="11"/>
    </row>
    <row r="940" spans="1:13" ht="18.600000000000001">
      <c r="A940" s="89"/>
      <c r="B940" s="90"/>
      <c r="C940" s="91"/>
      <c r="D940" s="9"/>
      <c r="H940" s="89"/>
      <c r="I940" s="10"/>
      <c r="J940" s="1"/>
      <c r="K940" s="1"/>
      <c r="L940" s="11"/>
      <c r="M940" s="11"/>
    </row>
    <row r="941" spans="1:13" ht="18.600000000000001">
      <c r="A941" s="89"/>
      <c r="B941" s="90"/>
      <c r="C941" s="91"/>
      <c r="D941" s="9"/>
      <c r="H941" s="89"/>
      <c r="I941" s="10"/>
      <c r="J941" s="1"/>
      <c r="K941" s="1"/>
      <c r="L941" s="11"/>
      <c r="M941" s="11"/>
    </row>
    <row r="942" spans="1:13" ht="18.600000000000001">
      <c r="A942" s="89"/>
      <c r="B942" s="90"/>
      <c r="C942" s="91"/>
      <c r="D942" s="9"/>
      <c r="H942" s="89"/>
      <c r="I942" s="10"/>
      <c r="J942" s="1"/>
      <c r="K942" s="1"/>
      <c r="L942" s="11"/>
      <c r="M942" s="11"/>
    </row>
    <row r="943" spans="1:13" ht="18.600000000000001">
      <c r="A943" s="89"/>
      <c r="B943" s="90"/>
      <c r="C943" s="91"/>
      <c r="D943" s="9"/>
      <c r="H943" s="89"/>
      <c r="I943" s="10"/>
      <c r="J943" s="1"/>
      <c r="K943" s="1"/>
      <c r="L943" s="11"/>
      <c r="M943" s="11"/>
    </row>
    <row r="944" spans="1:13" ht="18.600000000000001">
      <c r="A944" s="89"/>
      <c r="B944" s="90"/>
      <c r="C944" s="91"/>
      <c r="D944" s="9"/>
      <c r="H944" s="89"/>
      <c r="I944" s="10"/>
      <c r="J944" s="1"/>
      <c r="K944" s="1"/>
      <c r="L944" s="11"/>
      <c r="M944" s="11"/>
    </row>
    <row r="945" spans="1:13" ht="18.600000000000001">
      <c r="A945" s="89"/>
      <c r="B945" s="90"/>
      <c r="C945" s="91"/>
      <c r="D945" s="9"/>
      <c r="H945" s="89"/>
      <c r="I945" s="10"/>
      <c r="J945" s="1"/>
      <c r="K945" s="1"/>
      <c r="L945" s="11"/>
      <c r="M945" s="11"/>
    </row>
    <row r="946" spans="1:13" ht="18.600000000000001">
      <c r="A946" s="89"/>
      <c r="B946" s="90"/>
      <c r="C946" s="91"/>
      <c r="D946" s="9"/>
      <c r="H946" s="89"/>
      <c r="I946" s="10"/>
      <c r="J946" s="1"/>
      <c r="K946" s="1"/>
      <c r="L946" s="11"/>
      <c r="M946" s="11"/>
    </row>
    <row r="947" spans="1:13" ht="18.600000000000001">
      <c r="A947" s="89"/>
      <c r="B947" s="90"/>
      <c r="C947" s="91"/>
      <c r="D947" s="9"/>
      <c r="H947" s="89"/>
      <c r="I947" s="10"/>
      <c r="J947" s="1"/>
      <c r="K947" s="1"/>
      <c r="L947" s="11"/>
      <c r="M947" s="11"/>
    </row>
    <row r="948" spans="1:13" ht="18.600000000000001">
      <c r="A948" s="89"/>
      <c r="B948" s="90"/>
      <c r="C948" s="91"/>
      <c r="D948" s="9"/>
      <c r="H948" s="89"/>
      <c r="I948" s="10"/>
      <c r="J948" s="1"/>
      <c r="K948" s="1"/>
      <c r="L948" s="11"/>
      <c r="M948" s="11"/>
    </row>
    <row r="949" spans="1:13" ht="18.600000000000001">
      <c r="A949" s="89"/>
      <c r="B949" s="90"/>
      <c r="C949" s="91"/>
      <c r="D949" s="9"/>
      <c r="H949" s="89"/>
      <c r="I949" s="10"/>
      <c r="J949" s="1"/>
      <c r="K949" s="1"/>
      <c r="L949" s="11"/>
      <c r="M949" s="11"/>
    </row>
    <row r="950" spans="1:13" ht="18.600000000000001">
      <c r="A950" s="89"/>
      <c r="B950" s="90"/>
      <c r="C950" s="91"/>
      <c r="D950" s="9"/>
      <c r="H950" s="89"/>
      <c r="I950" s="10"/>
      <c r="J950" s="1"/>
      <c r="K950" s="1"/>
      <c r="L950" s="11"/>
      <c r="M950" s="11"/>
    </row>
    <row r="951" spans="1:13" ht="18.600000000000001">
      <c r="A951" s="89"/>
      <c r="B951" s="90"/>
      <c r="C951" s="91"/>
      <c r="D951" s="9"/>
      <c r="H951" s="89"/>
      <c r="I951" s="10"/>
      <c r="J951" s="1"/>
      <c r="K951" s="1"/>
      <c r="L951" s="11"/>
      <c r="M951" s="11"/>
    </row>
    <row r="952" spans="1:13" ht="18.600000000000001">
      <c r="A952" s="89"/>
      <c r="B952" s="90"/>
      <c r="C952" s="91"/>
      <c r="D952" s="9"/>
      <c r="H952" s="89"/>
      <c r="I952" s="10"/>
      <c r="J952" s="1"/>
      <c r="K952" s="1"/>
      <c r="L952" s="11"/>
      <c r="M952" s="11"/>
    </row>
    <row r="953" spans="1:13" ht="18.600000000000001">
      <c r="A953" s="89"/>
      <c r="B953" s="90"/>
      <c r="C953" s="91"/>
      <c r="D953" s="9"/>
      <c r="H953" s="89"/>
      <c r="I953" s="10"/>
      <c r="J953" s="1"/>
      <c r="K953" s="1"/>
      <c r="L953" s="11"/>
      <c r="M953" s="11"/>
    </row>
    <row r="954" spans="1:13" ht="18.600000000000001">
      <c r="A954" s="89"/>
      <c r="B954" s="90"/>
      <c r="C954" s="91"/>
      <c r="D954" s="9"/>
      <c r="H954" s="89"/>
      <c r="I954" s="10"/>
      <c r="J954" s="1"/>
      <c r="K954" s="1"/>
      <c r="L954" s="11"/>
      <c r="M954" s="11"/>
    </row>
    <row r="955" spans="1:13" ht="18.600000000000001">
      <c r="A955" s="89"/>
      <c r="B955" s="90"/>
      <c r="C955" s="91"/>
      <c r="D955" s="9"/>
      <c r="H955" s="89"/>
      <c r="I955" s="10"/>
      <c r="J955" s="1"/>
      <c r="K955" s="1"/>
      <c r="L955" s="11"/>
      <c r="M955" s="11"/>
    </row>
    <row r="956" spans="1:13" ht="18.600000000000001">
      <c r="A956" s="89"/>
      <c r="B956" s="90"/>
      <c r="C956" s="91"/>
      <c r="D956" s="9"/>
      <c r="H956" s="89"/>
      <c r="I956" s="10"/>
      <c r="J956" s="1"/>
      <c r="K956" s="1"/>
      <c r="L956" s="11"/>
      <c r="M956" s="11"/>
    </row>
    <row r="957" spans="1:13" ht="18.600000000000001">
      <c r="A957" s="89"/>
      <c r="B957" s="90"/>
      <c r="C957" s="91"/>
      <c r="D957" s="9"/>
      <c r="H957" s="89"/>
      <c r="I957" s="10"/>
      <c r="J957" s="1"/>
      <c r="K957" s="1"/>
      <c r="L957" s="11"/>
      <c r="M957" s="11"/>
    </row>
    <row r="958" spans="1:13" ht="18.600000000000001">
      <c r="A958" s="89"/>
      <c r="B958" s="90"/>
      <c r="C958" s="91"/>
      <c r="D958" s="9"/>
      <c r="H958" s="89"/>
      <c r="I958" s="10"/>
      <c r="J958" s="1"/>
      <c r="K958" s="1"/>
      <c r="L958" s="11"/>
      <c r="M958" s="11"/>
    </row>
    <row r="959" spans="1:13" ht="18.600000000000001">
      <c r="A959" s="89"/>
      <c r="B959" s="90"/>
      <c r="C959" s="91"/>
      <c r="D959" s="9"/>
      <c r="H959" s="89"/>
      <c r="I959" s="10"/>
      <c r="J959" s="1"/>
      <c r="K959" s="1"/>
      <c r="L959" s="11"/>
      <c r="M959" s="11"/>
    </row>
    <row r="960" spans="1:13" ht="18.600000000000001">
      <c r="A960" s="89"/>
      <c r="B960" s="90"/>
      <c r="C960" s="91"/>
      <c r="D960" s="9"/>
      <c r="H960" s="89"/>
      <c r="I960" s="10"/>
      <c r="J960" s="1"/>
      <c r="K960" s="1"/>
      <c r="L960" s="11"/>
      <c r="M960" s="11"/>
    </row>
    <row r="961" spans="1:13" ht="18.600000000000001">
      <c r="A961" s="89"/>
      <c r="B961" s="90"/>
      <c r="C961" s="91"/>
      <c r="D961" s="9"/>
      <c r="H961" s="89"/>
      <c r="I961" s="10"/>
      <c r="J961" s="1"/>
      <c r="K961" s="1"/>
      <c r="L961" s="11"/>
      <c r="M961" s="11"/>
    </row>
    <row r="962" spans="1:13" ht="18.600000000000001">
      <c r="A962" s="89"/>
      <c r="B962" s="90"/>
      <c r="C962" s="91"/>
      <c r="D962" s="9"/>
      <c r="H962" s="89"/>
      <c r="I962" s="10"/>
      <c r="J962" s="1"/>
      <c r="K962" s="1"/>
      <c r="L962" s="11"/>
      <c r="M962" s="11"/>
    </row>
    <row r="963" spans="1:13" ht="18.600000000000001">
      <c r="A963" s="89"/>
      <c r="B963" s="90"/>
      <c r="C963" s="91"/>
      <c r="D963" s="9"/>
      <c r="H963" s="89"/>
      <c r="I963" s="10"/>
      <c r="J963" s="1"/>
      <c r="K963" s="1"/>
      <c r="L963" s="11"/>
      <c r="M963" s="11"/>
    </row>
    <row r="964" spans="1:13" ht="18.600000000000001">
      <c r="A964" s="89"/>
      <c r="B964" s="90"/>
      <c r="C964" s="91"/>
      <c r="D964" s="9"/>
      <c r="H964" s="89"/>
      <c r="I964" s="10"/>
      <c r="J964" s="1"/>
      <c r="K964" s="1"/>
      <c r="L964" s="11"/>
      <c r="M964" s="11"/>
    </row>
    <row r="965" spans="1:13" ht="18.600000000000001">
      <c r="A965" s="89"/>
      <c r="B965" s="90"/>
      <c r="C965" s="91"/>
      <c r="D965" s="9"/>
      <c r="H965" s="89"/>
      <c r="I965" s="10"/>
      <c r="J965" s="1"/>
      <c r="K965" s="1"/>
      <c r="L965" s="11"/>
      <c r="M965" s="11"/>
    </row>
    <row r="966" spans="1:13" ht="18.600000000000001">
      <c r="A966" s="89"/>
      <c r="B966" s="90"/>
      <c r="C966" s="91"/>
      <c r="D966" s="9"/>
      <c r="H966" s="89"/>
      <c r="I966" s="10"/>
      <c r="J966" s="1"/>
      <c r="K966" s="1"/>
      <c r="L966" s="11"/>
      <c r="M966" s="11"/>
    </row>
    <row r="967" spans="1:13" ht="18.600000000000001">
      <c r="A967" s="89"/>
      <c r="B967" s="90"/>
      <c r="C967" s="91"/>
      <c r="D967" s="9"/>
      <c r="H967" s="89"/>
      <c r="I967" s="10"/>
      <c r="J967" s="1"/>
      <c r="K967" s="1"/>
      <c r="L967" s="11"/>
      <c r="M967" s="11"/>
    </row>
    <row r="968" spans="1:13" ht="18.600000000000001">
      <c r="A968" s="89"/>
      <c r="B968" s="90"/>
      <c r="C968" s="91"/>
      <c r="D968" s="9"/>
      <c r="H968" s="89"/>
      <c r="I968" s="10"/>
      <c r="J968" s="1"/>
      <c r="K968" s="1"/>
      <c r="L968" s="11"/>
      <c r="M968" s="11"/>
    </row>
    <row r="969" spans="1:13" ht="18.600000000000001">
      <c r="A969" s="89"/>
      <c r="B969" s="90"/>
      <c r="C969" s="91"/>
      <c r="D969" s="9"/>
      <c r="H969" s="89"/>
      <c r="I969" s="10"/>
      <c r="J969" s="1"/>
      <c r="K969" s="1"/>
      <c r="L969" s="11"/>
      <c r="M969" s="11"/>
    </row>
    <row r="970" spans="1:13" ht="18.600000000000001">
      <c r="A970" s="89"/>
      <c r="B970" s="90"/>
      <c r="C970" s="91"/>
      <c r="D970" s="9"/>
      <c r="H970" s="89"/>
      <c r="I970" s="10"/>
      <c r="J970" s="1"/>
      <c r="K970" s="1"/>
      <c r="L970" s="11"/>
      <c r="M970" s="11"/>
    </row>
    <row r="971" spans="1:13" ht="18.600000000000001">
      <c r="A971" s="89"/>
      <c r="B971" s="90"/>
      <c r="C971" s="91"/>
      <c r="D971" s="9"/>
      <c r="H971" s="89"/>
      <c r="I971" s="10"/>
      <c r="J971" s="1"/>
      <c r="K971" s="1"/>
      <c r="L971" s="11"/>
      <c r="M971" s="11"/>
    </row>
    <row r="972" spans="1:13" ht="18.600000000000001">
      <c r="A972" s="89"/>
      <c r="B972" s="90"/>
      <c r="C972" s="91"/>
      <c r="D972" s="9"/>
      <c r="H972" s="89"/>
      <c r="I972" s="10"/>
      <c r="J972" s="1"/>
      <c r="K972" s="1"/>
      <c r="L972" s="11"/>
      <c r="M972" s="11"/>
    </row>
    <row r="973" spans="1:13" ht="18.600000000000001">
      <c r="A973" s="89"/>
      <c r="B973" s="90"/>
      <c r="C973" s="91"/>
      <c r="D973" s="9"/>
      <c r="H973" s="89"/>
      <c r="I973" s="10"/>
      <c r="J973" s="1"/>
      <c r="K973" s="1"/>
      <c r="L973" s="11"/>
      <c r="M973" s="11"/>
    </row>
    <row r="974" spans="1:13" ht="18.600000000000001">
      <c r="A974" s="89"/>
      <c r="B974" s="90"/>
      <c r="C974" s="91"/>
      <c r="D974" s="9"/>
      <c r="H974" s="89"/>
      <c r="I974" s="10"/>
      <c r="J974" s="1"/>
      <c r="K974" s="1"/>
      <c r="L974" s="11"/>
      <c r="M974" s="11"/>
    </row>
    <row r="975" spans="1:13" ht="18.600000000000001">
      <c r="A975" s="89"/>
      <c r="B975" s="90"/>
      <c r="C975" s="91"/>
      <c r="D975" s="9"/>
      <c r="H975" s="89"/>
      <c r="I975" s="10"/>
      <c r="J975" s="1"/>
      <c r="K975" s="1"/>
      <c r="L975" s="11"/>
      <c r="M975" s="11"/>
    </row>
    <row r="976" spans="1:13" ht="18.600000000000001">
      <c r="A976" s="89"/>
      <c r="B976" s="90"/>
      <c r="C976" s="91"/>
      <c r="D976" s="9"/>
      <c r="H976" s="89"/>
      <c r="I976" s="10"/>
      <c r="J976" s="1"/>
      <c r="K976" s="1"/>
      <c r="L976" s="11"/>
      <c r="M976" s="11"/>
    </row>
    <row r="977" spans="1:13" ht="18.600000000000001">
      <c r="A977" s="89"/>
      <c r="B977" s="90"/>
      <c r="C977" s="91"/>
      <c r="D977" s="9"/>
      <c r="H977" s="89"/>
      <c r="I977" s="10"/>
      <c r="J977" s="1"/>
      <c r="K977" s="1"/>
      <c r="L977" s="11"/>
      <c r="M977" s="11"/>
    </row>
    <row r="978" spans="1:13" ht="18.600000000000001">
      <c r="A978" s="89"/>
      <c r="B978" s="90"/>
      <c r="C978" s="91"/>
      <c r="D978" s="9"/>
      <c r="H978" s="89"/>
      <c r="I978" s="10"/>
      <c r="J978" s="1"/>
      <c r="K978" s="1"/>
      <c r="L978" s="11"/>
      <c r="M978" s="11"/>
    </row>
    <row r="979" spans="1:13" ht="18.600000000000001">
      <c r="A979" s="89"/>
      <c r="B979" s="90"/>
      <c r="C979" s="91"/>
      <c r="D979" s="9"/>
      <c r="H979" s="89"/>
      <c r="I979" s="10"/>
      <c r="J979" s="1"/>
      <c r="K979" s="1"/>
      <c r="L979" s="11"/>
      <c r="M979" s="11"/>
    </row>
    <row r="980" spans="1:13" ht="18.600000000000001">
      <c r="A980" s="89"/>
      <c r="B980" s="90"/>
      <c r="C980" s="91"/>
      <c r="D980" s="9"/>
      <c r="H980" s="89"/>
      <c r="I980" s="10"/>
      <c r="J980" s="1"/>
      <c r="K980" s="1"/>
      <c r="L980" s="11"/>
      <c r="M980" s="11"/>
    </row>
    <row r="981" spans="1:13" ht="18.600000000000001">
      <c r="A981" s="89"/>
      <c r="B981" s="90"/>
      <c r="C981" s="91"/>
      <c r="D981" s="9"/>
      <c r="H981" s="89"/>
      <c r="I981" s="10"/>
      <c r="J981" s="1"/>
      <c r="K981" s="1"/>
      <c r="L981" s="11"/>
      <c r="M981" s="11"/>
    </row>
    <row r="982" spans="1:13" ht="18.600000000000001">
      <c r="A982" s="89"/>
      <c r="B982" s="90"/>
      <c r="C982" s="91"/>
      <c r="D982" s="9"/>
      <c r="H982" s="89"/>
      <c r="I982" s="10"/>
      <c r="J982" s="1"/>
      <c r="K982" s="1"/>
      <c r="L982" s="11"/>
      <c r="M982" s="11"/>
    </row>
    <row r="983" spans="1:13" ht="18.600000000000001">
      <c r="A983" s="89"/>
      <c r="B983" s="90"/>
      <c r="C983" s="91"/>
      <c r="D983" s="9"/>
      <c r="H983" s="89"/>
      <c r="I983" s="10"/>
      <c r="J983" s="1"/>
      <c r="K983" s="1"/>
      <c r="L983" s="11"/>
      <c r="M983" s="11"/>
    </row>
    <row r="984" spans="1:13" ht="18.600000000000001">
      <c r="A984" s="89"/>
      <c r="B984" s="90"/>
      <c r="C984" s="91"/>
      <c r="D984" s="9"/>
      <c r="H984" s="89"/>
      <c r="I984" s="10"/>
      <c r="J984" s="1"/>
      <c r="K984" s="1"/>
      <c r="L984" s="11"/>
      <c r="M984" s="11"/>
    </row>
    <row r="985" spans="1:13" ht="18.600000000000001">
      <c r="A985" s="89"/>
      <c r="B985" s="90"/>
      <c r="C985" s="91"/>
      <c r="D985" s="9"/>
      <c r="H985" s="89"/>
      <c r="I985" s="10"/>
      <c r="J985" s="1"/>
      <c r="K985" s="1"/>
      <c r="L985" s="11"/>
      <c r="M985" s="11"/>
    </row>
    <row r="986" spans="1:13" ht="18.600000000000001">
      <c r="A986" s="89"/>
      <c r="B986" s="90"/>
      <c r="C986" s="91"/>
      <c r="D986" s="9"/>
      <c r="H986" s="89"/>
      <c r="I986" s="10"/>
      <c r="J986" s="1"/>
      <c r="K986" s="1"/>
      <c r="L986" s="11"/>
      <c r="M986" s="11"/>
    </row>
    <row r="987" spans="1:13" ht="18.600000000000001">
      <c r="A987" s="89"/>
      <c r="B987" s="90"/>
      <c r="C987" s="91"/>
      <c r="D987" s="9"/>
      <c r="H987" s="89"/>
      <c r="I987" s="10"/>
      <c r="J987" s="1"/>
      <c r="K987" s="1"/>
      <c r="L987" s="11"/>
      <c r="M987" s="11"/>
    </row>
    <row r="988" spans="1:13" ht="18.600000000000001">
      <c r="A988" s="89"/>
      <c r="B988" s="90"/>
      <c r="C988" s="91"/>
      <c r="D988" s="9"/>
      <c r="H988" s="89"/>
      <c r="I988" s="10"/>
      <c r="J988" s="1"/>
      <c r="K988" s="1"/>
      <c r="L988" s="11"/>
      <c r="M988" s="11"/>
    </row>
    <row r="989" spans="1:13" ht="18.600000000000001">
      <c r="A989" s="89"/>
      <c r="B989" s="90"/>
      <c r="C989" s="91"/>
      <c r="D989" s="9"/>
      <c r="H989" s="89"/>
      <c r="I989" s="10"/>
      <c r="J989" s="1"/>
      <c r="K989" s="1"/>
      <c r="L989" s="11"/>
      <c r="M989" s="11"/>
    </row>
    <row r="990" spans="1:13" ht="18.600000000000001">
      <c r="A990" s="89"/>
      <c r="B990" s="90"/>
      <c r="C990" s="91"/>
      <c r="D990" s="9"/>
      <c r="H990" s="89"/>
      <c r="I990" s="10"/>
      <c r="J990" s="1"/>
      <c r="K990" s="1"/>
      <c r="L990" s="11"/>
      <c r="M990" s="11"/>
    </row>
    <row r="991" spans="1:13" ht="18.600000000000001">
      <c r="A991" s="89"/>
      <c r="B991" s="90"/>
      <c r="C991" s="91"/>
      <c r="D991" s="9"/>
      <c r="H991" s="89"/>
      <c r="I991" s="10"/>
      <c r="J991" s="1"/>
      <c r="K991" s="1"/>
      <c r="L991" s="11"/>
      <c r="M991" s="11"/>
    </row>
    <row r="992" spans="1:13" ht="18.600000000000001">
      <c r="A992" s="89"/>
      <c r="B992" s="90"/>
      <c r="C992" s="91"/>
      <c r="D992" s="9"/>
      <c r="H992" s="89"/>
      <c r="I992" s="10"/>
      <c r="J992" s="1"/>
      <c r="K992" s="1"/>
      <c r="L992" s="11"/>
      <c r="M992" s="11"/>
    </row>
    <row r="993" spans="1:13" ht="18.600000000000001">
      <c r="A993" s="89"/>
      <c r="B993" s="90"/>
      <c r="C993" s="91"/>
      <c r="D993" s="9"/>
      <c r="H993" s="89"/>
      <c r="I993" s="10"/>
      <c r="J993" s="1"/>
      <c r="K993" s="1"/>
      <c r="L993" s="11"/>
      <c r="M993" s="11"/>
    </row>
    <row r="994" spans="1:13" ht="18.600000000000001">
      <c r="A994" s="89"/>
      <c r="B994" s="90"/>
      <c r="C994" s="91"/>
      <c r="D994" s="9"/>
      <c r="H994" s="89"/>
      <c r="I994" s="10"/>
      <c r="J994" s="1"/>
      <c r="K994" s="1"/>
      <c r="L994" s="11"/>
      <c r="M994" s="11"/>
    </row>
    <row r="995" spans="1:13" ht="18.600000000000001">
      <c r="A995" s="89"/>
      <c r="B995" s="90"/>
      <c r="C995" s="91"/>
      <c r="D995" s="9"/>
      <c r="H995" s="89"/>
      <c r="I995" s="10"/>
      <c r="J995" s="1"/>
      <c r="K995" s="1"/>
      <c r="L995" s="11"/>
      <c r="M995" s="11"/>
    </row>
    <row r="996" spans="1:13" ht="18.600000000000001">
      <c r="A996" s="89"/>
      <c r="B996" s="90"/>
      <c r="C996" s="91"/>
      <c r="D996" s="9"/>
      <c r="H996" s="89"/>
      <c r="I996" s="10"/>
      <c r="J996" s="1"/>
      <c r="K996" s="1"/>
      <c r="L996" s="11"/>
      <c r="M996" s="11"/>
    </row>
    <row r="997" spans="1:13" ht="18.600000000000001">
      <c r="A997" s="89"/>
      <c r="B997" s="90"/>
      <c r="C997" s="91"/>
      <c r="D997" s="9"/>
      <c r="H997" s="89"/>
      <c r="I997" s="10"/>
      <c r="J997" s="1"/>
      <c r="K997" s="1"/>
      <c r="L997" s="11"/>
      <c r="M997" s="11"/>
    </row>
    <row r="998" spans="1:13" ht="18.600000000000001">
      <c r="A998" s="89"/>
      <c r="B998" s="90"/>
      <c r="C998" s="91"/>
      <c r="D998" s="9"/>
      <c r="H998" s="89"/>
      <c r="I998" s="10"/>
      <c r="J998" s="1"/>
      <c r="K998" s="1"/>
      <c r="L998" s="11"/>
      <c r="M998" s="11"/>
    </row>
    <row r="999" spans="1:13" ht="18.600000000000001">
      <c r="A999" s="89"/>
      <c r="B999" s="90"/>
      <c r="C999" s="91"/>
      <c r="D999" s="9"/>
      <c r="H999" s="89"/>
      <c r="I999" s="10"/>
      <c r="J999" s="1"/>
      <c r="K999" s="1"/>
      <c r="L999" s="11"/>
      <c r="M999" s="11"/>
    </row>
    <row r="1000" spans="1:13" ht="18.600000000000001">
      <c r="A1000" s="89"/>
      <c r="B1000" s="90"/>
      <c r="C1000" s="91"/>
      <c r="D1000" s="9"/>
      <c r="H1000" s="89"/>
      <c r="I1000" s="10"/>
      <c r="J1000" s="1"/>
      <c r="K1000" s="1"/>
      <c r="L1000" s="11"/>
      <c r="M1000" s="11"/>
    </row>
    <row r="1001" spans="1:13" ht="18.600000000000001">
      <c r="A1001" s="89"/>
      <c r="B1001" s="90"/>
      <c r="C1001" s="91"/>
      <c r="D1001" s="9"/>
      <c r="H1001" s="89"/>
      <c r="I1001" s="10"/>
      <c r="J1001" s="1"/>
      <c r="K1001" s="1"/>
      <c r="L1001" s="11"/>
      <c r="M1001" s="11"/>
    </row>
    <row r="1002" spans="1:13" ht="18.600000000000001">
      <c r="A1002" s="89"/>
      <c r="B1002" s="90"/>
      <c r="C1002" s="91"/>
      <c r="D1002" s="9"/>
      <c r="H1002" s="89"/>
      <c r="I1002" s="10"/>
      <c r="J1002" s="1"/>
      <c r="K1002" s="1"/>
      <c r="L1002" s="11"/>
      <c r="M1002" s="11"/>
    </row>
    <row r="1003" spans="1:13" ht="18.600000000000001">
      <c r="A1003" s="89"/>
      <c r="B1003" s="90"/>
      <c r="C1003" s="91"/>
      <c r="D1003" s="9"/>
      <c r="H1003" s="89"/>
      <c r="I1003" s="10"/>
      <c r="J1003" s="1"/>
      <c r="K1003" s="1"/>
      <c r="L1003" s="11"/>
      <c r="M1003" s="11"/>
    </row>
    <row r="1004" spans="1:13" ht="18.600000000000001">
      <c r="A1004" s="89"/>
      <c r="B1004" s="90"/>
      <c r="C1004" s="91"/>
      <c r="D1004" s="9"/>
      <c r="H1004" s="89"/>
      <c r="I1004" s="10"/>
      <c r="J1004" s="1"/>
      <c r="K1004" s="1"/>
      <c r="L1004" s="11"/>
      <c r="M1004" s="11"/>
    </row>
    <row r="1005" spans="1:13" ht="18.600000000000001">
      <c r="A1005" s="89"/>
      <c r="B1005" s="90"/>
      <c r="C1005" s="91"/>
      <c r="D1005" s="9"/>
      <c r="H1005" s="89"/>
      <c r="I1005" s="10"/>
      <c r="J1005" s="1"/>
      <c r="K1005" s="1"/>
      <c r="L1005" s="11"/>
      <c r="M1005" s="11"/>
    </row>
    <row r="1006" spans="1:13" ht="18.600000000000001">
      <c r="A1006" s="89"/>
      <c r="B1006" s="90"/>
      <c r="C1006" s="91"/>
      <c r="D1006" s="9"/>
      <c r="H1006" s="89"/>
      <c r="I1006" s="10"/>
      <c r="J1006" s="1"/>
      <c r="K1006" s="1"/>
      <c r="L1006" s="11"/>
      <c r="M1006" s="11"/>
    </row>
    <row r="1007" spans="1:13" ht="18.600000000000001">
      <c r="A1007" s="89"/>
      <c r="B1007" s="90"/>
      <c r="C1007" s="91"/>
      <c r="D1007" s="9"/>
      <c r="H1007" s="89"/>
      <c r="I1007" s="10"/>
      <c r="J1007" s="1"/>
      <c r="K1007" s="1"/>
      <c r="L1007" s="11"/>
      <c r="M1007" s="11"/>
    </row>
    <row r="1008" spans="1:13" ht="18.600000000000001">
      <c r="A1008" s="89"/>
      <c r="B1008" s="90"/>
      <c r="C1008" s="91"/>
      <c r="D1008" s="9"/>
      <c r="H1008" s="89"/>
      <c r="I1008" s="10"/>
      <c r="J1008" s="1"/>
      <c r="K1008" s="1"/>
      <c r="L1008" s="11"/>
      <c r="M1008" s="11"/>
    </row>
    <row r="1009" spans="1:13" ht="18.600000000000001">
      <c r="A1009" s="89"/>
      <c r="B1009" s="90"/>
      <c r="C1009" s="91"/>
      <c r="D1009" s="9"/>
      <c r="H1009" s="89"/>
      <c r="I1009" s="10"/>
      <c r="J1009" s="1"/>
      <c r="K1009" s="1"/>
      <c r="L1009" s="11"/>
      <c r="M1009" s="11"/>
    </row>
    <row r="1010" spans="1:13" ht="18.600000000000001">
      <c r="A1010" s="89"/>
      <c r="B1010" s="90"/>
      <c r="C1010" s="91"/>
      <c r="D1010" s="9"/>
      <c r="H1010" s="89"/>
      <c r="I1010" s="10"/>
      <c r="J1010" s="1"/>
      <c r="K1010" s="1"/>
      <c r="L1010" s="11"/>
      <c r="M1010" s="11"/>
    </row>
    <row r="1011" spans="1:13" ht="18.600000000000001">
      <c r="A1011" s="89"/>
      <c r="B1011" s="90"/>
      <c r="C1011" s="91"/>
      <c r="D1011" s="9"/>
      <c r="H1011" s="89"/>
      <c r="I1011" s="10"/>
      <c r="J1011" s="1"/>
      <c r="K1011" s="1"/>
      <c r="L1011" s="11"/>
      <c r="M1011" s="11"/>
    </row>
    <row r="1012" spans="1:13" ht="18.600000000000001">
      <c r="A1012" s="89"/>
      <c r="B1012" s="90"/>
      <c r="C1012" s="91"/>
      <c r="D1012" s="9"/>
      <c r="H1012" s="89"/>
      <c r="I1012" s="10"/>
      <c r="J1012" s="1"/>
      <c r="K1012" s="1"/>
      <c r="L1012" s="11"/>
      <c r="M1012" s="11"/>
    </row>
    <row r="1013" spans="1:13" ht="18.600000000000001">
      <c r="A1013" s="89"/>
      <c r="B1013" s="90"/>
      <c r="C1013" s="91"/>
      <c r="D1013" s="9"/>
      <c r="H1013" s="89"/>
      <c r="I1013" s="10"/>
      <c r="J1013" s="1"/>
      <c r="K1013" s="1"/>
      <c r="L1013" s="11"/>
      <c r="M1013" s="11"/>
    </row>
    <row r="1014" spans="1:13" ht="18.600000000000001">
      <c r="A1014" s="89"/>
      <c r="B1014" s="90"/>
      <c r="C1014" s="91"/>
      <c r="D1014" s="9"/>
      <c r="H1014" s="89"/>
      <c r="I1014" s="10"/>
      <c r="J1014" s="1"/>
      <c r="K1014" s="1"/>
      <c r="L1014" s="11"/>
      <c r="M1014" s="11"/>
    </row>
    <row r="1015" spans="1:13" ht="18.600000000000001">
      <c r="A1015" s="89"/>
      <c r="B1015" s="90"/>
      <c r="C1015" s="91"/>
      <c r="D1015" s="9"/>
      <c r="H1015" s="89"/>
      <c r="I1015" s="10"/>
      <c r="J1015" s="1"/>
      <c r="K1015" s="1"/>
      <c r="L1015" s="11"/>
      <c r="M1015" s="11"/>
    </row>
    <row r="1016" spans="1:13" ht="18.600000000000001">
      <c r="A1016" s="89"/>
      <c r="B1016" s="90"/>
      <c r="C1016" s="91"/>
      <c r="D1016" s="9"/>
      <c r="H1016" s="89"/>
      <c r="I1016" s="10"/>
      <c r="J1016" s="1"/>
      <c r="K1016" s="1"/>
      <c r="L1016" s="11"/>
      <c r="M1016" s="11"/>
    </row>
    <row r="1017" spans="1:13" ht="18.600000000000001">
      <c r="A1017" s="89"/>
      <c r="B1017" s="90"/>
      <c r="C1017" s="91"/>
      <c r="D1017" s="9"/>
      <c r="H1017" s="89"/>
      <c r="I1017" s="10"/>
      <c r="J1017" s="1"/>
      <c r="K1017" s="1"/>
      <c r="L1017" s="11"/>
      <c r="M1017" s="11"/>
    </row>
    <row r="1018" spans="1:13" ht="18.600000000000001">
      <c r="A1018" s="89"/>
      <c r="B1018" s="90"/>
      <c r="C1018" s="91"/>
      <c r="D1018" s="9"/>
      <c r="H1018" s="89"/>
      <c r="I1018" s="10"/>
      <c r="J1018" s="1"/>
      <c r="K1018" s="1"/>
      <c r="L1018" s="11"/>
      <c r="M1018" s="11"/>
    </row>
    <row r="1019" spans="1:13" ht="18.600000000000001">
      <c r="A1019" s="89"/>
      <c r="B1019" s="90"/>
      <c r="C1019" s="91"/>
      <c r="D1019" s="9"/>
      <c r="H1019" s="89"/>
      <c r="I1019" s="10"/>
      <c r="J1019" s="1"/>
      <c r="K1019" s="1"/>
      <c r="L1019" s="11"/>
      <c r="M1019" s="11"/>
    </row>
    <row r="1020" spans="1:13" ht="18.600000000000001">
      <c r="A1020" s="89"/>
      <c r="B1020" s="90"/>
      <c r="C1020" s="91"/>
      <c r="D1020" s="9"/>
      <c r="H1020" s="89"/>
      <c r="I1020" s="10"/>
      <c r="J1020" s="1"/>
      <c r="K1020" s="1"/>
      <c r="L1020" s="11"/>
      <c r="M1020" s="11"/>
    </row>
    <row r="1021" spans="1:13" ht="18.600000000000001">
      <c r="A1021" s="89"/>
      <c r="B1021" s="90"/>
      <c r="C1021" s="91"/>
      <c r="D1021" s="9"/>
      <c r="H1021" s="89"/>
      <c r="I1021" s="10"/>
      <c r="J1021" s="1"/>
      <c r="K1021" s="1"/>
      <c r="L1021" s="11"/>
      <c r="M1021" s="11"/>
    </row>
    <row r="1022" spans="1:13" ht="18.600000000000001">
      <c r="A1022" s="89"/>
      <c r="B1022" s="90"/>
      <c r="C1022" s="91"/>
      <c r="D1022" s="9"/>
      <c r="H1022" s="89"/>
      <c r="I1022" s="10"/>
      <c r="J1022" s="1"/>
      <c r="K1022" s="1"/>
      <c r="L1022" s="11"/>
      <c r="M1022" s="11"/>
    </row>
    <row r="1023" spans="1:13" ht="18.600000000000001">
      <c r="A1023" s="89"/>
      <c r="B1023" s="90"/>
      <c r="C1023" s="91"/>
      <c r="D1023" s="9"/>
      <c r="H1023" s="89"/>
      <c r="I1023" s="10"/>
      <c r="J1023" s="1"/>
      <c r="K1023" s="1"/>
      <c r="L1023" s="11"/>
      <c r="M1023" s="11"/>
    </row>
    <row r="1024" spans="1:13" ht="18.600000000000001">
      <c r="A1024" s="89"/>
      <c r="B1024" s="90"/>
      <c r="C1024" s="91"/>
      <c r="D1024" s="9"/>
      <c r="H1024" s="89"/>
      <c r="I1024" s="10"/>
      <c r="J1024" s="1"/>
      <c r="K1024" s="1"/>
      <c r="L1024" s="11"/>
      <c r="M1024" s="11"/>
    </row>
    <row r="1025" spans="1:13" ht="18.600000000000001">
      <c r="A1025" s="89"/>
      <c r="B1025" s="90"/>
      <c r="C1025" s="91"/>
      <c r="D1025" s="9"/>
      <c r="H1025" s="89"/>
      <c r="I1025" s="10"/>
      <c r="J1025" s="1"/>
      <c r="K1025" s="1"/>
      <c r="L1025" s="11"/>
      <c r="M1025" s="11"/>
    </row>
    <row r="1026" spans="1:13" ht="18.600000000000001">
      <c r="A1026" s="89"/>
      <c r="B1026" s="90"/>
      <c r="C1026" s="91"/>
      <c r="D1026" s="9"/>
      <c r="H1026" s="89"/>
      <c r="I1026" s="10"/>
      <c r="J1026" s="1"/>
      <c r="K1026" s="1"/>
      <c r="L1026" s="11"/>
      <c r="M1026" s="11"/>
    </row>
  </sheetData>
  <mergeCells count="17">
    <mergeCell ref="K4:K5"/>
    <mergeCell ref="M4:M5"/>
    <mergeCell ref="N4:N5"/>
    <mergeCell ref="R48:R49"/>
    <mergeCell ref="T48:T49"/>
    <mergeCell ref="A1:L1"/>
    <mergeCell ref="A4:A5"/>
    <mergeCell ref="B4:B5"/>
    <mergeCell ref="C4:C5"/>
    <mergeCell ref="D4:D5"/>
    <mergeCell ref="E4:G4"/>
    <mergeCell ref="H4:H5"/>
    <mergeCell ref="L4:L5"/>
    <mergeCell ref="A6:G6"/>
    <mergeCell ref="I4:I5"/>
    <mergeCell ref="J4:J5"/>
    <mergeCell ref="A48:G48"/>
  </mergeCells>
  <printOptions horizontalCentered="1"/>
  <pageMargins left="0.25" right="0.60114652807209312" top="0.4" bottom="0.5" header="0" footer="0"/>
  <pageSetup paperSize="14" fitToWidth="0" pageOrder="overThenDown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  <pageSetUpPr fitToPage="1"/>
  </sheetPr>
  <dimension ref="A1:V1027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.109375" customWidth="1"/>
    <col min="2" max="2" width="40.109375" customWidth="1"/>
    <col min="3" max="3" width="10.44140625" customWidth="1"/>
    <col min="4" max="6" width="23.109375" customWidth="1"/>
    <col min="7" max="7" width="26.6640625" customWidth="1"/>
    <col min="8" max="8" width="16.6640625" customWidth="1"/>
    <col min="9" max="9" width="17.33203125" customWidth="1"/>
  </cols>
  <sheetData>
    <row r="1" spans="1:14" ht="18.600000000000001">
      <c r="C1" s="8"/>
      <c r="D1" s="9"/>
      <c r="E1" s="9"/>
      <c r="I1" s="11"/>
    </row>
    <row r="2" spans="1:14" ht="18.600000000000001">
      <c r="C2" s="8"/>
      <c r="D2" s="9"/>
      <c r="E2" s="9"/>
      <c r="I2" s="11"/>
    </row>
    <row r="3" spans="1:14" ht="18.600000000000001">
      <c r="A3" s="652"/>
      <c r="B3" s="645" t="s">
        <v>41</v>
      </c>
      <c r="C3" s="653" t="s">
        <v>42</v>
      </c>
      <c r="D3" s="654" t="s">
        <v>531</v>
      </c>
      <c r="E3" s="654" t="s">
        <v>532</v>
      </c>
      <c r="F3" s="655" t="s">
        <v>44</v>
      </c>
      <c r="G3" s="656"/>
      <c r="H3" s="657"/>
      <c r="I3" s="645" t="s">
        <v>48</v>
      </c>
      <c r="J3" s="33" t="s">
        <v>533</v>
      </c>
    </row>
    <row r="4" spans="1:14" ht="18.600000000000001">
      <c r="A4" s="646"/>
      <c r="B4" s="646"/>
      <c r="C4" s="646"/>
      <c r="D4" s="646"/>
      <c r="E4" s="646"/>
      <c r="F4" s="15" t="s">
        <v>53</v>
      </c>
      <c r="G4" s="15" t="s">
        <v>54</v>
      </c>
      <c r="H4" s="15" t="s">
        <v>55</v>
      </c>
      <c r="I4" s="646"/>
      <c r="J4" s="33" t="s">
        <v>534</v>
      </c>
      <c r="K4" s="33" t="s">
        <v>535</v>
      </c>
      <c r="L4" s="33" t="s">
        <v>536</v>
      </c>
      <c r="M4" s="33" t="s">
        <v>537</v>
      </c>
      <c r="N4" s="33" t="s">
        <v>538</v>
      </c>
    </row>
    <row r="5" spans="1:14" ht="18.600000000000001">
      <c r="A5" s="658" t="s">
        <v>58</v>
      </c>
      <c r="B5" s="656"/>
      <c r="C5" s="656"/>
      <c r="D5" s="656"/>
      <c r="E5" s="656"/>
      <c r="F5" s="656"/>
      <c r="G5" s="656"/>
      <c r="H5" s="656"/>
      <c r="I5" s="17"/>
    </row>
    <row r="6" spans="1:14" ht="19.2">
      <c r="A6" s="19">
        <v>1</v>
      </c>
      <c r="B6" s="20" t="s">
        <v>59</v>
      </c>
      <c r="C6" s="19" t="s">
        <v>60</v>
      </c>
      <c r="D6" s="21">
        <v>160469</v>
      </c>
      <c r="E6" s="21">
        <f t="shared" ref="E6:E40" si="0">D6*12</f>
        <v>1925628</v>
      </c>
      <c r="F6" s="22" t="s">
        <v>61</v>
      </c>
      <c r="G6" s="23" t="s">
        <v>62</v>
      </c>
      <c r="H6" s="23" t="s">
        <v>63</v>
      </c>
      <c r="I6" s="28" t="s">
        <v>66</v>
      </c>
      <c r="J6" s="33">
        <v>2000</v>
      </c>
      <c r="K6" s="153">
        <f t="shared" ref="K6:K40" si="1">D6</f>
        <v>160469</v>
      </c>
      <c r="L6" s="153">
        <f t="shared" ref="L6:L40" si="2">K6</f>
        <v>160469</v>
      </c>
      <c r="M6" s="33">
        <v>7000</v>
      </c>
      <c r="N6" s="33">
        <f>20000*12</f>
        <v>240000</v>
      </c>
    </row>
    <row r="7" spans="1:14" ht="19.2">
      <c r="A7" s="19">
        <v>2</v>
      </c>
      <c r="B7" s="34" t="s">
        <v>68</v>
      </c>
      <c r="C7" s="35" t="s">
        <v>69</v>
      </c>
      <c r="D7" s="36">
        <v>98185</v>
      </c>
      <c r="E7" s="21">
        <f t="shared" si="0"/>
        <v>1178220</v>
      </c>
      <c r="F7" s="22" t="s">
        <v>70</v>
      </c>
      <c r="G7" s="23" t="s">
        <v>71</v>
      </c>
      <c r="H7" s="23" t="s">
        <v>72</v>
      </c>
      <c r="I7" s="28" t="s">
        <v>66</v>
      </c>
      <c r="J7" s="33">
        <v>2000</v>
      </c>
      <c r="K7" s="153">
        <f t="shared" si="1"/>
        <v>98185</v>
      </c>
      <c r="L7" s="153">
        <f t="shared" si="2"/>
        <v>98185</v>
      </c>
      <c r="M7" s="33">
        <v>7000</v>
      </c>
      <c r="N7" s="33">
        <f t="shared" ref="N7:N8" si="3">12000*12</f>
        <v>144000</v>
      </c>
    </row>
    <row r="8" spans="1:14" ht="19.2">
      <c r="A8" s="19">
        <v>3</v>
      </c>
      <c r="B8" s="34" t="s">
        <v>74</v>
      </c>
      <c r="C8" s="35" t="s">
        <v>69</v>
      </c>
      <c r="D8" s="36">
        <v>98185</v>
      </c>
      <c r="E8" s="21">
        <f t="shared" si="0"/>
        <v>1178220</v>
      </c>
      <c r="F8" s="22" t="s">
        <v>75</v>
      </c>
      <c r="G8" s="23" t="s">
        <v>76</v>
      </c>
      <c r="H8" s="23" t="s">
        <v>77</v>
      </c>
      <c r="I8" s="28" t="s">
        <v>66</v>
      </c>
      <c r="J8" s="33">
        <v>2000</v>
      </c>
      <c r="K8" s="153">
        <f t="shared" si="1"/>
        <v>98185</v>
      </c>
      <c r="L8" s="153">
        <f t="shared" si="2"/>
        <v>98185</v>
      </c>
      <c r="M8" s="33">
        <v>7000</v>
      </c>
      <c r="N8" s="33">
        <f t="shared" si="3"/>
        <v>144000</v>
      </c>
    </row>
    <row r="9" spans="1:14" ht="19.2">
      <c r="A9" s="19">
        <v>4</v>
      </c>
      <c r="B9" s="34" t="s">
        <v>80</v>
      </c>
      <c r="C9" s="35" t="s">
        <v>81</v>
      </c>
      <c r="D9" s="36">
        <v>78162</v>
      </c>
      <c r="E9" s="21">
        <f t="shared" si="0"/>
        <v>937944</v>
      </c>
      <c r="F9" s="22" t="s">
        <v>82</v>
      </c>
      <c r="G9" s="23" t="s">
        <v>83</v>
      </c>
      <c r="H9" s="23" t="s">
        <v>84</v>
      </c>
      <c r="I9" s="28" t="s">
        <v>66</v>
      </c>
      <c r="J9" s="33">
        <v>2000</v>
      </c>
      <c r="K9" s="153">
        <f t="shared" si="1"/>
        <v>78162</v>
      </c>
      <c r="L9" s="153">
        <f t="shared" si="2"/>
        <v>78162</v>
      </c>
      <c r="M9" s="33">
        <v>7000</v>
      </c>
    </row>
    <row r="10" spans="1:14" ht="19.2">
      <c r="A10" s="19">
        <v>5</v>
      </c>
      <c r="B10" s="34" t="s">
        <v>80</v>
      </c>
      <c r="C10" s="35" t="s">
        <v>81</v>
      </c>
      <c r="D10" s="36">
        <v>78162</v>
      </c>
      <c r="E10" s="21">
        <f t="shared" si="0"/>
        <v>937944</v>
      </c>
      <c r="F10" s="22" t="s">
        <v>87</v>
      </c>
      <c r="G10" s="23" t="s">
        <v>88</v>
      </c>
      <c r="H10" s="23" t="s">
        <v>89</v>
      </c>
      <c r="I10" s="28" t="s">
        <v>66</v>
      </c>
      <c r="J10" s="33">
        <v>2000</v>
      </c>
      <c r="K10" s="153">
        <f t="shared" si="1"/>
        <v>78162</v>
      </c>
      <c r="L10" s="153">
        <f t="shared" si="2"/>
        <v>78162</v>
      </c>
      <c r="M10" s="33">
        <v>7000</v>
      </c>
    </row>
    <row r="11" spans="1:14" ht="19.2">
      <c r="A11" s="19">
        <v>6</v>
      </c>
      <c r="B11" s="34" t="s">
        <v>80</v>
      </c>
      <c r="C11" s="35" t="s">
        <v>81</v>
      </c>
      <c r="D11" s="36">
        <v>78162</v>
      </c>
      <c r="E11" s="21">
        <f t="shared" si="0"/>
        <v>937944</v>
      </c>
      <c r="F11" s="22" t="s">
        <v>92</v>
      </c>
      <c r="G11" s="23" t="s">
        <v>93</v>
      </c>
      <c r="H11" s="23" t="s">
        <v>94</v>
      </c>
      <c r="I11" s="28" t="s">
        <v>66</v>
      </c>
      <c r="J11" s="33">
        <v>2000</v>
      </c>
      <c r="K11" s="153">
        <f t="shared" si="1"/>
        <v>78162</v>
      </c>
      <c r="L11" s="153">
        <f t="shared" si="2"/>
        <v>78162</v>
      </c>
      <c r="M11" s="33">
        <v>7000</v>
      </c>
    </row>
    <row r="12" spans="1:14" ht="19.2">
      <c r="A12" s="19">
        <v>7</v>
      </c>
      <c r="B12" s="20" t="s">
        <v>97</v>
      </c>
      <c r="C12" s="19" t="s">
        <v>98</v>
      </c>
      <c r="D12" s="36">
        <v>56390</v>
      </c>
      <c r="E12" s="21">
        <f t="shared" si="0"/>
        <v>676680</v>
      </c>
      <c r="F12" s="22" t="s">
        <v>99</v>
      </c>
      <c r="G12" s="23" t="s">
        <v>100</v>
      </c>
      <c r="H12" s="23" t="s">
        <v>101</v>
      </c>
      <c r="I12" s="28" t="s">
        <v>66</v>
      </c>
      <c r="J12" s="33">
        <v>2000</v>
      </c>
      <c r="K12" s="153">
        <f t="shared" si="1"/>
        <v>56390</v>
      </c>
      <c r="L12" s="153">
        <f t="shared" si="2"/>
        <v>56390</v>
      </c>
      <c r="M12" s="33">
        <v>7000</v>
      </c>
    </row>
    <row r="13" spans="1:14" ht="19.2">
      <c r="A13" s="19">
        <v>8</v>
      </c>
      <c r="B13" s="34" t="s">
        <v>105</v>
      </c>
      <c r="C13" s="35" t="s">
        <v>98</v>
      </c>
      <c r="D13" s="36">
        <v>56390</v>
      </c>
      <c r="E13" s="21">
        <f t="shared" si="0"/>
        <v>676680</v>
      </c>
      <c r="F13" s="45" t="s">
        <v>106</v>
      </c>
      <c r="G13" s="46" t="s">
        <v>107</v>
      </c>
      <c r="H13" s="46" t="s">
        <v>108</v>
      </c>
      <c r="I13" s="28" t="s">
        <v>66</v>
      </c>
      <c r="J13" s="33">
        <v>2000</v>
      </c>
      <c r="K13" s="153">
        <f t="shared" si="1"/>
        <v>56390</v>
      </c>
      <c r="L13" s="153">
        <f t="shared" si="2"/>
        <v>56390</v>
      </c>
      <c r="M13" s="33">
        <v>7000</v>
      </c>
    </row>
    <row r="14" spans="1:14" ht="19.2">
      <c r="A14" s="19">
        <f t="shared" ref="A14:A40" si="4">A13+1</f>
        <v>9</v>
      </c>
      <c r="B14" s="20" t="s">
        <v>110</v>
      </c>
      <c r="C14" s="35" t="s">
        <v>98</v>
      </c>
      <c r="D14" s="36">
        <v>56390</v>
      </c>
      <c r="E14" s="21">
        <f t="shared" si="0"/>
        <v>676680</v>
      </c>
      <c r="F14" s="22" t="s">
        <v>111</v>
      </c>
      <c r="G14" s="47" t="s">
        <v>112</v>
      </c>
      <c r="H14" s="47" t="s">
        <v>101</v>
      </c>
      <c r="I14" s="28" t="s">
        <v>66</v>
      </c>
      <c r="J14" s="33">
        <v>2000</v>
      </c>
      <c r="K14" s="153">
        <f t="shared" si="1"/>
        <v>56390</v>
      </c>
      <c r="L14" s="153">
        <f t="shared" si="2"/>
        <v>56390</v>
      </c>
      <c r="M14" s="33">
        <v>7000</v>
      </c>
    </row>
    <row r="15" spans="1:14" ht="19.2">
      <c r="A15" s="19">
        <f t="shared" si="4"/>
        <v>10</v>
      </c>
      <c r="B15" s="34" t="s">
        <v>105</v>
      </c>
      <c r="C15" s="35" t="s">
        <v>98</v>
      </c>
      <c r="D15" s="36">
        <v>56390</v>
      </c>
      <c r="E15" s="21">
        <f t="shared" si="0"/>
        <v>676680</v>
      </c>
      <c r="F15" s="51" t="s">
        <v>114</v>
      </c>
      <c r="G15" s="47" t="s">
        <v>115</v>
      </c>
      <c r="H15" s="47" t="s">
        <v>116</v>
      </c>
      <c r="I15" s="28" t="s">
        <v>66</v>
      </c>
      <c r="J15" s="33">
        <v>2000</v>
      </c>
      <c r="K15" s="153">
        <f t="shared" si="1"/>
        <v>56390</v>
      </c>
      <c r="L15" s="153">
        <f t="shared" si="2"/>
        <v>56390</v>
      </c>
      <c r="M15" s="33">
        <v>7000</v>
      </c>
    </row>
    <row r="16" spans="1:14" ht="19.2">
      <c r="A16" s="19">
        <f t="shared" si="4"/>
        <v>11</v>
      </c>
      <c r="B16" s="20" t="s">
        <v>119</v>
      </c>
      <c r="C16" s="19" t="s">
        <v>120</v>
      </c>
      <c r="D16" s="52">
        <v>40208</v>
      </c>
      <c r="E16" s="21">
        <f t="shared" si="0"/>
        <v>482496</v>
      </c>
      <c r="F16" s="53" t="s">
        <v>121</v>
      </c>
      <c r="G16" s="23" t="s">
        <v>122</v>
      </c>
      <c r="H16" s="22" t="s">
        <v>123</v>
      </c>
      <c r="I16" s="28" t="s">
        <v>66</v>
      </c>
      <c r="J16" s="33">
        <v>2000</v>
      </c>
      <c r="K16" s="153">
        <f t="shared" si="1"/>
        <v>40208</v>
      </c>
      <c r="L16" s="153">
        <f t="shared" si="2"/>
        <v>40208</v>
      </c>
      <c r="M16" s="33">
        <v>7000</v>
      </c>
    </row>
    <row r="17" spans="1:13" ht="19.2">
      <c r="A17" s="19">
        <f t="shared" si="4"/>
        <v>12</v>
      </c>
      <c r="B17" s="34" t="s">
        <v>127</v>
      </c>
      <c r="C17" s="54" t="s">
        <v>120</v>
      </c>
      <c r="D17" s="52">
        <v>40208</v>
      </c>
      <c r="E17" s="21">
        <f t="shared" si="0"/>
        <v>482496</v>
      </c>
      <c r="F17" s="22" t="s">
        <v>128</v>
      </c>
      <c r="G17" s="23" t="s">
        <v>129</v>
      </c>
      <c r="H17" s="23" t="s">
        <v>130</v>
      </c>
      <c r="I17" s="28" t="s">
        <v>66</v>
      </c>
      <c r="J17" s="33">
        <v>2000</v>
      </c>
      <c r="K17" s="153">
        <f t="shared" si="1"/>
        <v>40208</v>
      </c>
      <c r="L17" s="153">
        <f t="shared" si="2"/>
        <v>40208</v>
      </c>
      <c r="M17" s="33">
        <v>7000</v>
      </c>
    </row>
    <row r="18" spans="1:13" ht="19.2">
      <c r="A18" s="19">
        <f t="shared" si="4"/>
        <v>13</v>
      </c>
      <c r="B18" s="34" t="s">
        <v>132</v>
      </c>
      <c r="C18" s="54" t="s">
        <v>133</v>
      </c>
      <c r="D18" s="52">
        <v>37024</v>
      </c>
      <c r="E18" s="21">
        <f t="shared" si="0"/>
        <v>444288</v>
      </c>
      <c r="F18" s="6" t="s">
        <v>134</v>
      </c>
      <c r="G18" s="27" t="s">
        <v>135</v>
      </c>
      <c r="H18" s="27" t="s">
        <v>136</v>
      </c>
      <c r="I18" s="28" t="s">
        <v>66</v>
      </c>
      <c r="J18" s="33">
        <v>2000</v>
      </c>
      <c r="K18" s="153">
        <f t="shared" si="1"/>
        <v>37024</v>
      </c>
      <c r="L18" s="153">
        <f t="shared" si="2"/>
        <v>37024</v>
      </c>
      <c r="M18" s="33">
        <v>7000</v>
      </c>
    </row>
    <row r="19" spans="1:13" ht="19.2">
      <c r="A19" s="19">
        <f t="shared" si="4"/>
        <v>14</v>
      </c>
      <c r="B19" s="34" t="s">
        <v>139</v>
      </c>
      <c r="C19" s="54" t="s">
        <v>140</v>
      </c>
      <c r="D19" s="52">
        <v>32245</v>
      </c>
      <c r="E19" s="21">
        <f t="shared" si="0"/>
        <v>386940</v>
      </c>
      <c r="F19" s="51" t="s">
        <v>141</v>
      </c>
      <c r="G19" s="47" t="s">
        <v>142</v>
      </c>
      <c r="H19" s="47" t="s">
        <v>143</v>
      </c>
      <c r="I19" s="28" t="s">
        <v>66</v>
      </c>
      <c r="J19" s="33">
        <v>2000</v>
      </c>
      <c r="K19" s="153">
        <f t="shared" si="1"/>
        <v>32245</v>
      </c>
      <c r="L19" s="153">
        <f t="shared" si="2"/>
        <v>32245</v>
      </c>
      <c r="M19" s="33">
        <v>7000</v>
      </c>
    </row>
    <row r="20" spans="1:13" ht="19.2">
      <c r="A20" s="19">
        <f t="shared" si="4"/>
        <v>15</v>
      </c>
      <c r="B20" s="34" t="s">
        <v>145</v>
      </c>
      <c r="C20" s="54" t="s">
        <v>146</v>
      </c>
      <c r="D20" s="52">
        <v>24558</v>
      </c>
      <c r="E20" s="21">
        <f t="shared" si="0"/>
        <v>294696</v>
      </c>
      <c r="F20" s="6" t="s">
        <v>147</v>
      </c>
      <c r="G20" s="27" t="s">
        <v>148</v>
      </c>
      <c r="H20" s="27" t="s">
        <v>149</v>
      </c>
      <c r="I20" s="28" t="s">
        <v>66</v>
      </c>
      <c r="J20" s="33">
        <v>2000</v>
      </c>
      <c r="K20" s="153">
        <f t="shared" si="1"/>
        <v>24558</v>
      </c>
      <c r="L20" s="153">
        <f t="shared" si="2"/>
        <v>24558</v>
      </c>
      <c r="M20" s="33">
        <v>7000</v>
      </c>
    </row>
    <row r="21" spans="1:13" ht="19.2">
      <c r="A21" s="19">
        <f t="shared" si="4"/>
        <v>16</v>
      </c>
      <c r="B21" s="34" t="s">
        <v>151</v>
      </c>
      <c r="C21" s="35" t="s">
        <v>152</v>
      </c>
      <c r="D21" s="36">
        <v>23978</v>
      </c>
      <c r="E21" s="21">
        <f t="shared" si="0"/>
        <v>287736</v>
      </c>
      <c r="F21" s="22" t="s">
        <v>153</v>
      </c>
      <c r="G21" s="23" t="s">
        <v>154</v>
      </c>
      <c r="H21" s="23" t="s">
        <v>155</v>
      </c>
      <c r="I21" s="28" t="s">
        <v>66</v>
      </c>
      <c r="J21" s="33">
        <v>2000</v>
      </c>
      <c r="K21" s="153">
        <f t="shared" si="1"/>
        <v>23978</v>
      </c>
      <c r="L21" s="153">
        <f t="shared" si="2"/>
        <v>23978</v>
      </c>
      <c r="M21" s="33">
        <v>7000</v>
      </c>
    </row>
    <row r="22" spans="1:13" ht="19.2">
      <c r="A22" s="19">
        <f t="shared" si="4"/>
        <v>17</v>
      </c>
      <c r="B22" s="20" t="s">
        <v>151</v>
      </c>
      <c r="C22" s="56">
        <v>44809</v>
      </c>
      <c r="D22" s="36">
        <v>23978</v>
      </c>
      <c r="E22" s="21">
        <f t="shared" si="0"/>
        <v>287736</v>
      </c>
      <c r="F22" s="22" t="s">
        <v>157</v>
      </c>
      <c r="G22" s="23" t="s">
        <v>158</v>
      </c>
      <c r="H22" s="23" t="s">
        <v>159</v>
      </c>
      <c r="I22" s="28" t="s">
        <v>66</v>
      </c>
      <c r="J22" s="33">
        <v>2000</v>
      </c>
      <c r="K22" s="153">
        <f t="shared" si="1"/>
        <v>23978</v>
      </c>
      <c r="L22" s="153">
        <f t="shared" si="2"/>
        <v>23978</v>
      </c>
      <c r="M22" s="33">
        <v>7000</v>
      </c>
    </row>
    <row r="23" spans="1:13" ht="19.2">
      <c r="A23" s="19">
        <f t="shared" si="4"/>
        <v>18</v>
      </c>
      <c r="B23" s="34" t="s">
        <v>151</v>
      </c>
      <c r="C23" s="35" t="s">
        <v>162</v>
      </c>
      <c r="D23" s="52">
        <v>23788</v>
      </c>
      <c r="E23" s="21">
        <f t="shared" si="0"/>
        <v>285456</v>
      </c>
      <c r="F23" s="22" t="s">
        <v>163</v>
      </c>
      <c r="G23" s="23" t="s">
        <v>164</v>
      </c>
      <c r="H23" s="23" t="s">
        <v>82</v>
      </c>
      <c r="I23" s="28" t="s">
        <v>66</v>
      </c>
      <c r="J23" s="33">
        <v>2000</v>
      </c>
      <c r="K23" s="153">
        <f t="shared" si="1"/>
        <v>23788</v>
      </c>
      <c r="L23" s="153">
        <f t="shared" si="2"/>
        <v>23788</v>
      </c>
      <c r="M23" s="33">
        <v>7000</v>
      </c>
    </row>
    <row r="24" spans="1:13" ht="19.2">
      <c r="A24" s="19">
        <f t="shared" si="4"/>
        <v>19</v>
      </c>
      <c r="B24" s="34" t="s">
        <v>151</v>
      </c>
      <c r="C24" s="35" t="s">
        <v>162</v>
      </c>
      <c r="D24" s="52">
        <v>23788</v>
      </c>
      <c r="E24" s="21">
        <f t="shared" si="0"/>
        <v>285456</v>
      </c>
      <c r="F24" s="22" t="s">
        <v>153</v>
      </c>
      <c r="G24" s="23" t="s">
        <v>167</v>
      </c>
      <c r="H24" s="23" t="s">
        <v>155</v>
      </c>
      <c r="I24" s="28" t="s">
        <v>66</v>
      </c>
      <c r="J24" s="33">
        <v>2000</v>
      </c>
      <c r="K24" s="153">
        <f t="shared" si="1"/>
        <v>23788</v>
      </c>
      <c r="L24" s="153">
        <f t="shared" si="2"/>
        <v>23788</v>
      </c>
      <c r="M24" s="33">
        <v>7000</v>
      </c>
    </row>
    <row r="25" spans="1:13" ht="19.2">
      <c r="A25" s="19">
        <f t="shared" si="4"/>
        <v>20</v>
      </c>
      <c r="B25" s="34" t="s">
        <v>151</v>
      </c>
      <c r="C25" s="35" t="s">
        <v>162</v>
      </c>
      <c r="D25" s="52">
        <v>23788</v>
      </c>
      <c r="E25" s="21">
        <f t="shared" si="0"/>
        <v>285456</v>
      </c>
      <c r="F25" s="22" t="s">
        <v>169</v>
      </c>
      <c r="G25" s="23" t="s">
        <v>170</v>
      </c>
      <c r="H25" s="23" t="s">
        <v>171</v>
      </c>
      <c r="I25" s="28" t="s">
        <v>66</v>
      </c>
      <c r="J25" s="33">
        <v>2000</v>
      </c>
      <c r="K25" s="153">
        <f t="shared" si="1"/>
        <v>23788</v>
      </c>
      <c r="L25" s="153">
        <f t="shared" si="2"/>
        <v>23788</v>
      </c>
      <c r="M25" s="33">
        <v>7000</v>
      </c>
    </row>
    <row r="26" spans="1:13" ht="19.2">
      <c r="A26" s="19">
        <f t="shared" si="4"/>
        <v>21</v>
      </c>
      <c r="B26" s="20" t="s">
        <v>151</v>
      </c>
      <c r="C26" s="56">
        <v>44808</v>
      </c>
      <c r="D26" s="52">
        <v>23788</v>
      </c>
      <c r="E26" s="21">
        <f t="shared" si="0"/>
        <v>285456</v>
      </c>
      <c r="F26" s="22" t="s">
        <v>173</v>
      </c>
      <c r="G26" s="23" t="s">
        <v>174</v>
      </c>
      <c r="H26" s="23" t="s">
        <v>175</v>
      </c>
      <c r="I26" s="28" t="s">
        <v>66</v>
      </c>
      <c r="J26" s="33">
        <v>2000</v>
      </c>
      <c r="K26" s="153">
        <f t="shared" si="1"/>
        <v>23788</v>
      </c>
      <c r="L26" s="153">
        <f t="shared" si="2"/>
        <v>23788</v>
      </c>
      <c r="M26" s="33">
        <v>7000</v>
      </c>
    </row>
    <row r="27" spans="1:13" ht="19.2">
      <c r="A27" s="19">
        <f t="shared" si="4"/>
        <v>22</v>
      </c>
      <c r="B27" s="34" t="s">
        <v>178</v>
      </c>
      <c r="C27" s="35" t="s">
        <v>179</v>
      </c>
      <c r="D27" s="36">
        <v>19963</v>
      </c>
      <c r="E27" s="21">
        <f t="shared" si="0"/>
        <v>239556</v>
      </c>
      <c r="F27" s="22" t="s">
        <v>180</v>
      </c>
      <c r="G27" s="23" t="s">
        <v>181</v>
      </c>
      <c r="H27" s="23" t="s">
        <v>182</v>
      </c>
      <c r="I27" s="28" t="s">
        <v>66</v>
      </c>
      <c r="J27" s="33">
        <v>2000</v>
      </c>
      <c r="K27" s="153">
        <f t="shared" si="1"/>
        <v>19963</v>
      </c>
      <c r="L27" s="153">
        <f t="shared" si="2"/>
        <v>19963</v>
      </c>
      <c r="M27" s="33">
        <v>7000</v>
      </c>
    </row>
    <row r="28" spans="1:13" ht="19.2">
      <c r="A28" s="19">
        <f t="shared" si="4"/>
        <v>23</v>
      </c>
      <c r="B28" s="20" t="s">
        <v>178</v>
      </c>
      <c r="C28" s="56">
        <v>45448</v>
      </c>
      <c r="D28" s="52">
        <v>19526</v>
      </c>
      <c r="E28" s="21">
        <f t="shared" si="0"/>
        <v>234312</v>
      </c>
      <c r="F28" s="22" t="s">
        <v>184</v>
      </c>
      <c r="G28" s="23" t="s">
        <v>185</v>
      </c>
      <c r="H28" s="23" t="s">
        <v>186</v>
      </c>
      <c r="I28" s="28" t="s">
        <v>66</v>
      </c>
      <c r="J28" s="33">
        <v>2000</v>
      </c>
      <c r="K28" s="153">
        <f t="shared" si="1"/>
        <v>19526</v>
      </c>
      <c r="L28" s="153">
        <f t="shared" si="2"/>
        <v>19526</v>
      </c>
      <c r="M28" s="33">
        <v>7000</v>
      </c>
    </row>
    <row r="29" spans="1:13" ht="19.2">
      <c r="A29" s="19">
        <f t="shared" si="4"/>
        <v>24</v>
      </c>
      <c r="B29" s="34" t="s">
        <v>189</v>
      </c>
      <c r="C29" s="35" t="s">
        <v>190</v>
      </c>
      <c r="D29" s="52">
        <v>19383</v>
      </c>
      <c r="E29" s="21">
        <f t="shared" si="0"/>
        <v>232596</v>
      </c>
      <c r="F29" s="62" t="s">
        <v>191</v>
      </c>
      <c r="G29" s="27" t="s">
        <v>192</v>
      </c>
      <c r="H29" s="34" t="s">
        <v>193</v>
      </c>
      <c r="I29" s="28" t="s">
        <v>66</v>
      </c>
      <c r="J29" s="33">
        <v>2000</v>
      </c>
      <c r="K29" s="153">
        <f t="shared" si="1"/>
        <v>19383</v>
      </c>
      <c r="L29" s="153">
        <f t="shared" si="2"/>
        <v>19383</v>
      </c>
      <c r="M29" s="33">
        <v>7000</v>
      </c>
    </row>
    <row r="30" spans="1:13" ht="19.2">
      <c r="A30" s="19">
        <f t="shared" si="4"/>
        <v>25</v>
      </c>
      <c r="B30" s="34" t="s">
        <v>189</v>
      </c>
      <c r="C30" s="35" t="s">
        <v>190</v>
      </c>
      <c r="D30" s="52">
        <v>19383</v>
      </c>
      <c r="E30" s="21">
        <f t="shared" si="0"/>
        <v>232596</v>
      </c>
      <c r="F30" s="22" t="s">
        <v>195</v>
      </c>
      <c r="G30" s="23" t="s">
        <v>196</v>
      </c>
      <c r="H30" s="23" t="s">
        <v>197</v>
      </c>
      <c r="I30" s="28" t="s">
        <v>66</v>
      </c>
      <c r="J30" s="33">
        <v>2000</v>
      </c>
      <c r="K30" s="153">
        <f t="shared" si="1"/>
        <v>19383</v>
      </c>
      <c r="L30" s="153">
        <f t="shared" si="2"/>
        <v>19383</v>
      </c>
      <c r="M30" s="33">
        <v>7000</v>
      </c>
    </row>
    <row r="31" spans="1:13" ht="19.2">
      <c r="A31" s="19">
        <f t="shared" si="4"/>
        <v>26</v>
      </c>
      <c r="B31" s="34" t="s">
        <v>189</v>
      </c>
      <c r="C31" s="35" t="s">
        <v>190</v>
      </c>
      <c r="D31" s="52">
        <v>19383</v>
      </c>
      <c r="E31" s="21">
        <f t="shared" si="0"/>
        <v>232596</v>
      </c>
      <c r="F31" s="22" t="s">
        <v>199</v>
      </c>
      <c r="G31" s="23" t="s">
        <v>200</v>
      </c>
      <c r="H31" s="23" t="s">
        <v>197</v>
      </c>
      <c r="I31" s="28" t="s">
        <v>66</v>
      </c>
      <c r="J31" s="33">
        <v>2000</v>
      </c>
      <c r="K31" s="153">
        <f t="shared" si="1"/>
        <v>19383</v>
      </c>
      <c r="L31" s="153">
        <f t="shared" si="2"/>
        <v>19383</v>
      </c>
      <c r="M31" s="33">
        <v>7000</v>
      </c>
    </row>
    <row r="32" spans="1:13" ht="19.2">
      <c r="A32" s="19">
        <f t="shared" si="4"/>
        <v>27</v>
      </c>
      <c r="B32" s="34" t="s">
        <v>178</v>
      </c>
      <c r="C32" s="35" t="s">
        <v>190</v>
      </c>
      <c r="D32" s="52">
        <v>19383</v>
      </c>
      <c r="E32" s="21">
        <f t="shared" si="0"/>
        <v>232596</v>
      </c>
      <c r="F32" s="22" t="s">
        <v>203</v>
      </c>
      <c r="G32" s="23" t="s">
        <v>204</v>
      </c>
      <c r="H32" s="23" t="s">
        <v>205</v>
      </c>
      <c r="I32" s="28" t="s">
        <v>66</v>
      </c>
      <c r="J32" s="33">
        <v>2000</v>
      </c>
      <c r="K32" s="153">
        <f t="shared" si="1"/>
        <v>19383</v>
      </c>
      <c r="L32" s="153">
        <f t="shared" si="2"/>
        <v>19383</v>
      </c>
      <c r="M32" s="33">
        <v>7000</v>
      </c>
    </row>
    <row r="33" spans="1:22" ht="19.2">
      <c r="A33" s="19">
        <f t="shared" si="4"/>
        <v>28</v>
      </c>
      <c r="B33" s="34" t="s">
        <v>207</v>
      </c>
      <c r="C33" s="35" t="s">
        <v>190</v>
      </c>
      <c r="D33" s="52">
        <v>19383</v>
      </c>
      <c r="E33" s="21">
        <f t="shared" si="0"/>
        <v>232596</v>
      </c>
      <c r="F33" s="64" t="s">
        <v>147</v>
      </c>
      <c r="G33" s="65" t="s">
        <v>208</v>
      </c>
      <c r="H33" s="65" t="s">
        <v>209</v>
      </c>
      <c r="I33" s="28" t="s">
        <v>66</v>
      </c>
      <c r="J33" s="33">
        <v>2000</v>
      </c>
      <c r="K33" s="153">
        <f t="shared" si="1"/>
        <v>19383</v>
      </c>
      <c r="L33" s="153">
        <f t="shared" si="2"/>
        <v>19383</v>
      </c>
      <c r="M33" s="33">
        <v>7000</v>
      </c>
    </row>
    <row r="34" spans="1:22" ht="19.2">
      <c r="A34" s="19">
        <f t="shared" si="4"/>
        <v>29</v>
      </c>
      <c r="B34" s="66" t="s">
        <v>178</v>
      </c>
      <c r="C34" s="67">
        <v>44716</v>
      </c>
      <c r="D34" s="68">
        <v>19383</v>
      </c>
      <c r="E34" s="21">
        <f t="shared" si="0"/>
        <v>232596</v>
      </c>
      <c r="F34" s="69" t="s">
        <v>211</v>
      </c>
      <c r="G34" s="69" t="s">
        <v>212</v>
      </c>
      <c r="H34" s="69" t="s">
        <v>213</v>
      </c>
      <c r="I34" s="70" t="s">
        <v>66</v>
      </c>
      <c r="J34" s="33">
        <v>2000</v>
      </c>
      <c r="K34" s="153">
        <f t="shared" si="1"/>
        <v>19383</v>
      </c>
      <c r="L34" s="153">
        <f t="shared" si="2"/>
        <v>19383</v>
      </c>
      <c r="M34" s="33">
        <v>7000</v>
      </c>
    </row>
    <row r="35" spans="1:22" ht="19.2">
      <c r="A35" s="19">
        <f t="shared" si="4"/>
        <v>30</v>
      </c>
      <c r="B35" s="20" t="s">
        <v>178</v>
      </c>
      <c r="C35" s="76">
        <v>44713</v>
      </c>
      <c r="D35" s="77">
        <v>18957</v>
      </c>
      <c r="E35" s="21">
        <f t="shared" si="0"/>
        <v>227484</v>
      </c>
      <c r="F35" s="22" t="s">
        <v>216</v>
      </c>
      <c r="G35" s="23" t="s">
        <v>217</v>
      </c>
      <c r="H35" s="23" t="s">
        <v>184</v>
      </c>
      <c r="I35" s="28" t="s">
        <v>66</v>
      </c>
      <c r="J35" s="33">
        <v>2000</v>
      </c>
      <c r="K35" s="153">
        <f t="shared" si="1"/>
        <v>18957</v>
      </c>
      <c r="L35" s="153">
        <f t="shared" si="2"/>
        <v>18957</v>
      </c>
      <c r="M35" s="33">
        <v>7000</v>
      </c>
    </row>
    <row r="36" spans="1:22" ht="20.399999999999999">
      <c r="A36" s="19">
        <f t="shared" si="4"/>
        <v>31</v>
      </c>
      <c r="B36" s="34" t="s">
        <v>220</v>
      </c>
      <c r="C36" s="78" t="s">
        <v>221</v>
      </c>
      <c r="D36" s="52">
        <v>16833</v>
      </c>
      <c r="E36" s="21">
        <f t="shared" si="0"/>
        <v>201996</v>
      </c>
      <c r="F36" s="62" t="s">
        <v>63</v>
      </c>
      <c r="G36" s="34" t="s">
        <v>222</v>
      </c>
      <c r="H36" s="34" t="s">
        <v>223</v>
      </c>
      <c r="I36" s="28" t="s">
        <v>66</v>
      </c>
      <c r="J36" s="33">
        <v>2000</v>
      </c>
      <c r="K36" s="153">
        <f t="shared" si="1"/>
        <v>16833</v>
      </c>
      <c r="L36" s="153">
        <f t="shared" si="2"/>
        <v>16833</v>
      </c>
      <c r="M36" s="33">
        <v>7000</v>
      </c>
    </row>
    <row r="37" spans="1:22" ht="20.399999999999999">
      <c r="A37" s="19">
        <f t="shared" si="4"/>
        <v>32</v>
      </c>
      <c r="B37" s="34" t="s">
        <v>220</v>
      </c>
      <c r="C37" s="78" t="s">
        <v>221</v>
      </c>
      <c r="D37" s="52">
        <v>16833</v>
      </c>
      <c r="E37" s="21">
        <f t="shared" si="0"/>
        <v>201996</v>
      </c>
      <c r="F37" s="62" t="s">
        <v>225</v>
      </c>
      <c r="G37" s="34" t="s">
        <v>226</v>
      </c>
      <c r="H37" s="23" t="s">
        <v>227</v>
      </c>
      <c r="I37" s="28" t="s">
        <v>66</v>
      </c>
      <c r="J37" s="33">
        <v>2000</v>
      </c>
      <c r="K37" s="153">
        <f t="shared" si="1"/>
        <v>16833</v>
      </c>
      <c r="L37" s="153">
        <f t="shared" si="2"/>
        <v>16833</v>
      </c>
      <c r="M37" s="33">
        <v>7000</v>
      </c>
    </row>
    <row r="38" spans="1:22" ht="20.399999999999999">
      <c r="A38" s="19">
        <f t="shared" si="4"/>
        <v>33</v>
      </c>
      <c r="B38" s="34" t="s">
        <v>220</v>
      </c>
      <c r="C38" s="78" t="s">
        <v>221</v>
      </c>
      <c r="D38" s="52">
        <v>16833</v>
      </c>
      <c r="E38" s="21">
        <f t="shared" si="0"/>
        <v>201996</v>
      </c>
      <c r="F38" s="6" t="s">
        <v>63</v>
      </c>
      <c r="G38" s="6" t="s">
        <v>230</v>
      </c>
      <c r="H38" s="6" t="s">
        <v>231</v>
      </c>
      <c r="I38" s="28"/>
      <c r="J38" s="33">
        <v>2000</v>
      </c>
      <c r="K38" s="153">
        <f t="shared" si="1"/>
        <v>16833</v>
      </c>
      <c r="L38" s="153">
        <f t="shared" si="2"/>
        <v>16833</v>
      </c>
      <c r="M38" s="33">
        <v>7000</v>
      </c>
    </row>
    <row r="39" spans="1:22" ht="19.2">
      <c r="A39" s="19">
        <f t="shared" si="4"/>
        <v>34</v>
      </c>
      <c r="B39" s="83" t="s">
        <v>235</v>
      </c>
      <c r="C39" s="84" t="s">
        <v>236</v>
      </c>
      <c r="D39" s="85">
        <v>16693</v>
      </c>
      <c r="E39" s="21">
        <f t="shared" si="0"/>
        <v>200316</v>
      </c>
      <c r="F39" s="69" t="s">
        <v>237</v>
      </c>
      <c r="G39" s="69" t="s">
        <v>238</v>
      </c>
      <c r="H39" s="69" t="s">
        <v>239</v>
      </c>
      <c r="I39" s="70" t="s">
        <v>66</v>
      </c>
      <c r="J39" s="33">
        <v>2000</v>
      </c>
      <c r="K39" s="153">
        <f t="shared" si="1"/>
        <v>16693</v>
      </c>
      <c r="L39" s="153">
        <f t="shared" si="2"/>
        <v>16693</v>
      </c>
      <c r="M39" s="33">
        <v>7000</v>
      </c>
    </row>
    <row r="40" spans="1:22" ht="19.2">
      <c r="A40" s="19">
        <f t="shared" si="4"/>
        <v>35</v>
      </c>
      <c r="B40" s="20" t="s">
        <v>178</v>
      </c>
      <c r="C40" s="19"/>
      <c r="D40" s="36"/>
      <c r="E40" s="21">
        <f t="shared" si="0"/>
        <v>0</v>
      </c>
      <c r="F40" s="22" t="s">
        <v>242</v>
      </c>
      <c r="G40" s="23" t="s">
        <v>243</v>
      </c>
      <c r="H40" s="23" t="s">
        <v>244</v>
      </c>
      <c r="I40" s="28" t="s">
        <v>66</v>
      </c>
      <c r="J40" s="33">
        <v>2000</v>
      </c>
      <c r="K40" s="153">
        <f t="shared" si="1"/>
        <v>0</v>
      </c>
      <c r="L40" s="153">
        <f t="shared" si="2"/>
        <v>0</v>
      </c>
      <c r="M40" s="33">
        <v>7000</v>
      </c>
    </row>
    <row r="41" spans="1:22" ht="18.600000000000001" hidden="1">
      <c r="B41" s="20" t="s">
        <v>127</v>
      </c>
      <c r="C41" s="19" t="s">
        <v>120</v>
      </c>
      <c r="D41" s="36"/>
      <c r="E41" s="36"/>
      <c r="F41" s="22"/>
      <c r="G41" s="23"/>
      <c r="H41" s="23"/>
      <c r="I41" s="28" t="s">
        <v>66</v>
      </c>
    </row>
    <row r="42" spans="1:22" ht="18.600000000000001" hidden="1">
      <c r="B42" s="20" t="s">
        <v>132</v>
      </c>
      <c r="C42" s="19" t="s">
        <v>133</v>
      </c>
      <c r="D42" s="36"/>
      <c r="E42" s="154"/>
      <c r="F42" s="88"/>
      <c r="H42" s="23"/>
      <c r="I42" s="28" t="s">
        <v>66</v>
      </c>
    </row>
    <row r="43" spans="1:22" ht="18.600000000000001" hidden="1">
      <c r="B43" s="20" t="s">
        <v>245</v>
      </c>
      <c r="C43" s="19" t="s">
        <v>98</v>
      </c>
      <c r="D43" s="36"/>
      <c r="E43" s="36"/>
      <c r="F43" s="22"/>
      <c r="G43" s="23"/>
      <c r="H43" s="23"/>
      <c r="I43" s="28" t="s">
        <v>66</v>
      </c>
    </row>
    <row r="44" spans="1:22" ht="18.600000000000001" hidden="1">
      <c r="B44" s="20" t="s">
        <v>139</v>
      </c>
      <c r="C44" s="56">
        <v>45627</v>
      </c>
      <c r="D44" s="36"/>
      <c r="E44" s="36"/>
      <c r="F44" s="22"/>
      <c r="G44" s="23"/>
      <c r="H44" s="23"/>
      <c r="I44" s="28" t="s">
        <v>66</v>
      </c>
    </row>
    <row r="46" spans="1:22" ht="18.600000000000001">
      <c r="A46" s="89"/>
      <c r="B46" s="90"/>
      <c r="C46" s="91"/>
      <c r="D46" s="9"/>
      <c r="E46" s="9"/>
      <c r="I46" s="11"/>
    </row>
    <row r="47" spans="1:22" ht="23.25" customHeight="1">
      <c r="A47" s="658" t="s">
        <v>246</v>
      </c>
      <c r="B47" s="656"/>
      <c r="C47" s="656"/>
      <c r="D47" s="656"/>
      <c r="E47" s="656"/>
      <c r="F47" s="656"/>
      <c r="G47" s="656"/>
      <c r="H47" s="656"/>
      <c r="I47" s="17"/>
    </row>
    <row r="48" spans="1:22" ht="23.25" customHeight="1">
      <c r="A48" s="94"/>
      <c r="B48" s="94" t="s">
        <v>41</v>
      </c>
      <c r="C48" s="94" t="s">
        <v>42</v>
      </c>
      <c r="D48" s="94" t="s">
        <v>249</v>
      </c>
      <c r="E48" s="94"/>
      <c r="F48" s="94" t="s">
        <v>250</v>
      </c>
      <c r="G48" s="94" t="s">
        <v>54</v>
      </c>
      <c r="H48" s="94" t="s">
        <v>55</v>
      </c>
      <c r="I48" s="94" t="s">
        <v>48</v>
      </c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</row>
    <row r="49" spans="1:9" ht="21" customHeight="1">
      <c r="A49" s="35" t="s">
        <v>252</v>
      </c>
      <c r="B49" s="34" t="s">
        <v>253</v>
      </c>
      <c r="C49" s="35" t="s">
        <v>98</v>
      </c>
      <c r="D49" s="52">
        <v>64647.6</v>
      </c>
      <c r="E49" s="52">
        <f t="shared" ref="E49:E95" si="5">D49*12</f>
        <v>775771.2</v>
      </c>
      <c r="F49" s="6" t="s">
        <v>254</v>
      </c>
      <c r="G49" s="27" t="s">
        <v>255</v>
      </c>
      <c r="H49" s="27" t="s">
        <v>256</v>
      </c>
      <c r="I49" s="28" t="s">
        <v>258</v>
      </c>
    </row>
    <row r="50" spans="1:9" ht="18.600000000000001">
      <c r="A50" s="35">
        <f t="shared" ref="A50:A95" si="6">A49+1</f>
        <v>2</v>
      </c>
      <c r="B50" s="34" t="s">
        <v>253</v>
      </c>
      <c r="C50" s="35" t="s">
        <v>98</v>
      </c>
      <c r="D50" s="52">
        <v>64647.6</v>
      </c>
      <c r="E50" s="52">
        <f t="shared" si="5"/>
        <v>775771.2</v>
      </c>
      <c r="F50" s="6" t="s">
        <v>260</v>
      </c>
      <c r="G50" s="98" t="s">
        <v>261</v>
      </c>
      <c r="H50" s="99" t="s">
        <v>262</v>
      </c>
      <c r="I50" s="103" t="s">
        <v>264</v>
      </c>
    </row>
    <row r="51" spans="1:9" ht="18.600000000000001">
      <c r="A51" s="35">
        <f t="shared" si="6"/>
        <v>3</v>
      </c>
      <c r="B51" s="34" t="s">
        <v>267</v>
      </c>
      <c r="C51" s="35" t="s">
        <v>268</v>
      </c>
      <c r="D51" s="36">
        <v>34214</v>
      </c>
      <c r="E51" s="52">
        <f t="shared" si="5"/>
        <v>410568</v>
      </c>
      <c r="F51" s="6" t="s">
        <v>61</v>
      </c>
      <c r="G51" s="27" t="s">
        <v>269</v>
      </c>
      <c r="H51" s="27" t="s">
        <v>270</v>
      </c>
      <c r="I51" s="28" t="s">
        <v>272</v>
      </c>
    </row>
    <row r="52" spans="1:9" ht="18.600000000000001">
      <c r="A52" s="35">
        <f t="shared" si="6"/>
        <v>4</v>
      </c>
      <c r="B52" s="34" t="s">
        <v>274</v>
      </c>
      <c r="C52" s="35" t="s">
        <v>275</v>
      </c>
      <c r="D52" s="36">
        <v>49939.199999999997</v>
      </c>
      <c r="E52" s="52">
        <f t="shared" si="5"/>
        <v>599270.39999999991</v>
      </c>
      <c r="F52" s="22" t="s">
        <v>276</v>
      </c>
      <c r="G52" s="23" t="s">
        <v>277</v>
      </c>
      <c r="H52" s="23" t="s">
        <v>278</v>
      </c>
      <c r="I52" s="103" t="s">
        <v>279</v>
      </c>
    </row>
    <row r="53" spans="1:9" ht="18.600000000000001">
      <c r="A53" s="35">
        <f t="shared" si="6"/>
        <v>5</v>
      </c>
      <c r="B53" s="109" t="s">
        <v>281</v>
      </c>
      <c r="C53" s="110" t="s">
        <v>275</v>
      </c>
      <c r="D53" s="36">
        <v>49939.199999999997</v>
      </c>
      <c r="E53" s="52">
        <f t="shared" si="5"/>
        <v>599270.39999999991</v>
      </c>
      <c r="F53" s="22" t="s">
        <v>282</v>
      </c>
      <c r="G53" s="111" t="s">
        <v>283</v>
      </c>
      <c r="H53" s="111" t="s">
        <v>199</v>
      </c>
      <c r="I53" s="113" t="s">
        <v>284</v>
      </c>
    </row>
    <row r="54" spans="1:9" ht="18.600000000000001">
      <c r="A54" s="35">
        <f t="shared" si="6"/>
        <v>6</v>
      </c>
      <c r="B54" s="34" t="s">
        <v>285</v>
      </c>
      <c r="C54" s="35" t="s">
        <v>275</v>
      </c>
      <c r="D54" s="36">
        <v>49939.199999999997</v>
      </c>
      <c r="E54" s="52">
        <f t="shared" si="5"/>
        <v>599270.39999999991</v>
      </c>
      <c r="F54" s="6" t="s">
        <v>286</v>
      </c>
      <c r="G54" s="27" t="s">
        <v>287</v>
      </c>
      <c r="H54" s="27" t="s">
        <v>288</v>
      </c>
      <c r="I54" s="115" t="s">
        <v>264</v>
      </c>
    </row>
    <row r="55" spans="1:9" ht="21" customHeight="1">
      <c r="A55" s="35">
        <f t="shared" si="6"/>
        <v>7</v>
      </c>
      <c r="B55" s="34" t="s">
        <v>285</v>
      </c>
      <c r="C55" s="35" t="s">
        <v>275</v>
      </c>
      <c r="D55" s="36">
        <v>49939.199999999997</v>
      </c>
      <c r="E55" s="52">
        <f t="shared" si="5"/>
        <v>599270.39999999991</v>
      </c>
      <c r="F55" s="6" t="s">
        <v>291</v>
      </c>
      <c r="G55" s="27" t="s">
        <v>292</v>
      </c>
      <c r="H55" s="27" t="s">
        <v>293</v>
      </c>
      <c r="I55" s="28" t="s">
        <v>264</v>
      </c>
    </row>
    <row r="56" spans="1:9" ht="18.600000000000001">
      <c r="A56" s="35">
        <f t="shared" si="6"/>
        <v>8</v>
      </c>
      <c r="B56" s="34" t="s">
        <v>295</v>
      </c>
      <c r="C56" s="35" t="s">
        <v>120</v>
      </c>
      <c r="D56" s="36">
        <v>46095.6</v>
      </c>
      <c r="E56" s="52">
        <f t="shared" si="5"/>
        <v>553147.19999999995</v>
      </c>
      <c r="F56" s="22" t="s">
        <v>296</v>
      </c>
      <c r="G56" s="23" t="s">
        <v>297</v>
      </c>
      <c r="H56" s="23" t="s">
        <v>298</v>
      </c>
      <c r="I56" s="28" t="s">
        <v>299</v>
      </c>
    </row>
    <row r="57" spans="1:9" ht="18.600000000000001">
      <c r="A57" s="35">
        <f t="shared" si="6"/>
        <v>9</v>
      </c>
      <c r="B57" s="109" t="s">
        <v>281</v>
      </c>
      <c r="C57" s="110" t="s">
        <v>120</v>
      </c>
      <c r="D57" s="36">
        <v>46095.6</v>
      </c>
      <c r="E57" s="52">
        <f t="shared" si="5"/>
        <v>553147.19999999995</v>
      </c>
      <c r="F57" s="22" t="s">
        <v>300</v>
      </c>
      <c r="G57" s="111" t="s">
        <v>301</v>
      </c>
      <c r="H57" s="111" t="s">
        <v>302</v>
      </c>
      <c r="I57" s="112" t="s">
        <v>279</v>
      </c>
    </row>
    <row r="58" spans="1:9" ht="18.600000000000001">
      <c r="A58" s="35">
        <f t="shared" si="6"/>
        <v>10</v>
      </c>
      <c r="B58" s="34" t="s">
        <v>303</v>
      </c>
      <c r="C58" s="35" t="s">
        <v>268</v>
      </c>
      <c r="D58" s="36">
        <v>34214</v>
      </c>
      <c r="E58" s="52">
        <f t="shared" si="5"/>
        <v>410568</v>
      </c>
      <c r="F58" s="22" t="s">
        <v>101</v>
      </c>
      <c r="G58" s="111" t="s">
        <v>304</v>
      </c>
      <c r="H58" s="111" t="s">
        <v>305</v>
      </c>
      <c r="I58" s="112" t="s">
        <v>307</v>
      </c>
    </row>
    <row r="59" spans="1:9" ht="18.600000000000001">
      <c r="A59" s="35">
        <f t="shared" si="6"/>
        <v>11</v>
      </c>
      <c r="B59" s="34" t="s">
        <v>295</v>
      </c>
      <c r="C59" s="35" t="s">
        <v>120</v>
      </c>
      <c r="D59" s="36">
        <v>46095.6</v>
      </c>
      <c r="E59" s="52">
        <f t="shared" si="5"/>
        <v>553147.19999999995</v>
      </c>
      <c r="F59" s="22" t="s">
        <v>309</v>
      </c>
      <c r="G59" s="117" t="s">
        <v>310</v>
      </c>
      <c r="H59" s="27" t="s">
        <v>311</v>
      </c>
      <c r="I59" s="28" t="s">
        <v>313</v>
      </c>
    </row>
    <row r="60" spans="1:9" ht="18.600000000000001">
      <c r="A60" s="35">
        <f t="shared" si="6"/>
        <v>12</v>
      </c>
      <c r="B60" s="34" t="s">
        <v>295</v>
      </c>
      <c r="C60" s="35" t="s">
        <v>120</v>
      </c>
      <c r="D60" s="36">
        <v>46095.6</v>
      </c>
      <c r="E60" s="52">
        <f t="shared" si="5"/>
        <v>553147.19999999995</v>
      </c>
      <c r="F60" s="22" t="s">
        <v>315</v>
      </c>
      <c r="G60" s="117" t="s">
        <v>316</v>
      </c>
      <c r="H60" s="27" t="s">
        <v>317</v>
      </c>
      <c r="I60" s="28" t="s">
        <v>320</v>
      </c>
    </row>
    <row r="61" spans="1:9" ht="20.25" customHeight="1">
      <c r="A61" s="35">
        <f t="shared" si="6"/>
        <v>13</v>
      </c>
      <c r="B61" s="34" t="s">
        <v>274</v>
      </c>
      <c r="C61" s="19" t="s">
        <v>275</v>
      </c>
      <c r="D61" s="36">
        <v>49939.199999999997</v>
      </c>
      <c r="E61" s="52">
        <f t="shared" si="5"/>
        <v>599270.39999999991</v>
      </c>
      <c r="F61" s="6" t="s">
        <v>322</v>
      </c>
      <c r="G61" s="27" t="s">
        <v>323</v>
      </c>
      <c r="H61" s="27" t="s">
        <v>324</v>
      </c>
      <c r="I61" s="28" t="s">
        <v>320</v>
      </c>
    </row>
    <row r="62" spans="1:9" ht="18.600000000000001">
      <c r="A62" s="35">
        <f t="shared" si="6"/>
        <v>14</v>
      </c>
      <c r="B62" s="34" t="s">
        <v>295</v>
      </c>
      <c r="C62" s="35" t="s">
        <v>120</v>
      </c>
      <c r="D62" s="36">
        <v>46095.6</v>
      </c>
      <c r="E62" s="52">
        <f t="shared" si="5"/>
        <v>553147.19999999995</v>
      </c>
      <c r="F62" s="6" t="s">
        <v>327</v>
      </c>
      <c r="G62" s="27" t="s">
        <v>328</v>
      </c>
      <c r="H62" s="27" t="s">
        <v>329</v>
      </c>
      <c r="I62" s="115" t="s">
        <v>264</v>
      </c>
    </row>
    <row r="63" spans="1:9" ht="18.600000000000001">
      <c r="A63" s="35">
        <f t="shared" si="6"/>
        <v>15</v>
      </c>
      <c r="B63" s="34" t="s">
        <v>295</v>
      </c>
      <c r="C63" s="35" t="s">
        <v>120</v>
      </c>
      <c r="D63" s="36">
        <v>46095.6</v>
      </c>
      <c r="E63" s="52">
        <f t="shared" si="5"/>
        <v>553147.19999999995</v>
      </c>
      <c r="F63" s="6" t="s">
        <v>61</v>
      </c>
      <c r="G63" s="27" t="s">
        <v>332</v>
      </c>
      <c r="H63" s="27" t="s">
        <v>333</v>
      </c>
      <c r="I63" s="28" t="s">
        <v>320</v>
      </c>
    </row>
    <row r="64" spans="1:9" ht="18.75" customHeight="1">
      <c r="A64" s="35">
        <f t="shared" si="6"/>
        <v>16</v>
      </c>
      <c r="B64" s="34" t="s">
        <v>335</v>
      </c>
      <c r="C64" s="35" t="s">
        <v>268</v>
      </c>
      <c r="D64" s="36">
        <v>34214</v>
      </c>
      <c r="E64" s="52">
        <f t="shared" si="5"/>
        <v>410568</v>
      </c>
      <c r="F64" s="6" t="s">
        <v>336</v>
      </c>
      <c r="G64" s="27" t="s">
        <v>337</v>
      </c>
      <c r="H64" s="27" t="s">
        <v>338</v>
      </c>
      <c r="I64" s="28" t="s">
        <v>307</v>
      </c>
    </row>
    <row r="65" spans="1:22" ht="18.75" customHeight="1">
      <c r="A65" s="35">
        <f t="shared" si="6"/>
        <v>17</v>
      </c>
      <c r="B65" s="62" t="s">
        <v>461</v>
      </c>
      <c r="C65" s="54" t="s">
        <v>140</v>
      </c>
      <c r="D65" s="77">
        <v>36846</v>
      </c>
      <c r="E65" s="52">
        <f t="shared" si="5"/>
        <v>442152</v>
      </c>
      <c r="F65" s="6" t="s">
        <v>341</v>
      </c>
      <c r="G65" s="6" t="s">
        <v>342</v>
      </c>
      <c r="H65" s="6" t="s">
        <v>343</v>
      </c>
      <c r="I65" s="28" t="s">
        <v>320</v>
      </c>
    </row>
    <row r="66" spans="1:22" ht="18.600000000000001">
      <c r="A66" s="35">
        <f t="shared" si="6"/>
        <v>18</v>
      </c>
      <c r="B66" s="34" t="s">
        <v>347</v>
      </c>
      <c r="C66" s="19" t="s">
        <v>120</v>
      </c>
      <c r="D66" s="36">
        <v>46095.6</v>
      </c>
      <c r="E66" s="52">
        <f t="shared" si="5"/>
        <v>553147.19999999995</v>
      </c>
      <c r="F66" s="6" t="s">
        <v>348</v>
      </c>
      <c r="G66" s="27" t="s">
        <v>349</v>
      </c>
      <c r="H66" s="27" t="s">
        <v>350</v>
      </c>
      <c r="I66" s="28" t="s">
        <v>320</v>
      </c>
    </row>
    <row r="67" spans="1:22" ht="18.600000000000001">
      <c r="A67" s="35">
        <f t="shared" si="6"/>
        <v>19</v>
      </c>
      <c r="B67" s="34" t="s">
        <v>352</v>
      </c>
      <c r="C67" s="35" t="s">
        <v>140</v>
      </c>
      <c r="D67" s="77">
        <v>36846</v>
      </c>
      <c r="E67" s="52">
        <f t="shared" si="5"/>
        <v>442152</v>
      </c>
      <c r="F67" s="6" t="s">
        <v>163</v>
      </c>
      <c r="G67" s="27" t="s">
        <v>353</v>
      </c>
      <c r="H67" s="27" t="s">
        <v>354</v>
      </c>
      <c r="I67" s="28" t="s">
        <v>264</v>
      </c>
    </row>
    <row r="68" spans="1:22" ht="18.600000000000001">
      <c r="A68" s="35">
        <f t="shared" si="6"/>
        <v>20</v>
      </c>
      <c r="B68" s="34" t="s">
        <v>352</v>
      </c>
      <c r="C68" s="35" t="s">
        <v>140</v>
      </c>
      <c r="D68" s="77">
        <v>36846</v>
      </c>
      <c r="E68" s="52">
        <f t="shared" si="5"/>
        <v>442152</v>
      </c>
      <c r="F68" s="27" t="s">
        <v>357</v>
      </c>
      <c r="G68" s="27" t="s">
        <v>358</v>
      </c>
      <c r="H68" s="27" t="s">
        <v>359</v>
      </c>
      <c r="I68" s="28" t="s">
        <v>258</v>
      </c>
    </row>
    <row r="69" spans="1:22" ht="18.600000000000001">
      <c r="A69" s="35">
        <f t="shared" si="6"/>
        <v>21</v>
      </c>
      <c r="B69" s="34" t="s">
        <v>362</v>
      </c>
      <c r="C69" s="35" t="s">
        <v>268</v>
      </c>
      <c r="D69" s="36">
        <v>34214</v>
      </c>
      <c r="E69" s="52">
        <f t="shared" si="5"/>
        <v>410568</v>
      </c>
      <c r="F69" s="22" t="s">
        <v>363</v>
      </c>
      <c r="G69" s="23" t="s">
        <v>364</v>
      </c>
      <c r="H69" s="23" t="s">
        <v>365</v>
      </c>
      <c r="I69" s="112" t="s">
        <v>299</v>
      </c>
    </row>
    <row r="70" spans="1:22" ht="18.600000000000001">
      <c r="A70" s="35">
        <f t="shared" si="6"/>
        <v>22</v>
      </c>
      <c r="B70" s="34" t="s">
        <v>295</v>
      </c>
      <c r="C70" s="35" t="s">
        <v>120</v>
      </c>
      <c r="D70" s="36">
        <v>46095.6</v>
      </c>
      <c r="E70" s="52">
        <f t="shared" si="5"/>
        <v>553147.19999999995</v>
      </c>
      <c r="F70" s="22" t="s">
        <v>366</v>
      </c>
      <c r="G70" s="99" t="s">
        <v>367</v>
      </c>
      <c r="H70" s="99" t="s">
        <v>89</v>
      </c>
      <c r="I70" s="28" t="s">
        <v>313</v>
      </c>
    </row>
    <row r="71" spans="1:22" ht="18.600000000000001">
      <c r="A71" s="35">
        <f t="shared" si="6"/>
        <v>23</v>
      </c>
      <c r="B71" s="34" t="s">
        <v>362</v>
      </c>
      <c r="C71" s="35" t="s">
        <v>268</v>
      </c>
      <c r="D71" s="36">
        <v>34214</v>
      </c>
      <c r="E71" s="52">
        <f t="shared" si="5"/>
        <v>410568</v>
      </c>
      <c r="F71" s="6" t="s">
        <v>99</v>
      </c>
      <c r="G71" s="27" t="s">
        <v>370</v>
      </c>
      <c r="H71" s="27" t="s">
        <v>371</v>
      </c>
      <c r="I71" s="115" t="s">
        <v>299</v>
      </c>
    </row>
    <row r="72" spans="1:22" ht="18.600000000000001">
      <c r="A72" s="35">
        <f t="shared" si="6"/>
        <v>24</v>
      </c>
      <c r="B72" s="34" t="s">
        <v>295</v>
      </c>
      <c r="C72" s="35" t="s">
        <v>120</v>
      </c>
      <c r="D72" s="36">
        <v>46095.6</v>
      </c>
      <c r="E72" s="52">
        <f t="shared" si="5"/>
        <v>553147.19999999995</v>
      </c>
      <c r="F72" s="6" t="s">
        <v>375</v>
      </c>
      <c r="G72" s="27" t="s">
        <v>376</v>
      </c>
      <c r="H72" s="27" t="s">
        <v>377</v>
      </c>
      <c r="I72" s="28" t="s">
        <v>379</v>
      </c>
    </row>
    <row r="73" spans="1:22" ht="18.600000000000001">
      <c r="A73" s="35">
        <f t="shared" si="6"/>
        <v>25</v>
      </c>
      <c r="B73" s="34" t="s">
        <v>303</v>
      </c>
      <c r="C73" s="35" t="s">
        <v>268</v>
      </c>
      <c r="D73" s="36">
        <v>34214</v>
      </c>
      <c r="E73" s="52">
        <f t="shared" si="5"/>
        <v>410568</v>
      </c>
      <c r="F73" s="6" t="s">
        <v>336</v>
      </c>
      <c r="G73" s="27" t="s">
        <v>381</v>
      </c>
      <c r="H73" s="27" t="s">
        <v>382</v>
      </c>
      <c r="I73" s="28" t="s">
        <v>307</v>
      </c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</row>
    <row r="74" spans="1:22" ht="18.600000000000001">
      <c r="A74" s="35">
        <f t="shared" si="6"/>
        <v>26</v>
      </c>
      <c r="B74" s="62" t="s">
        <v>385</v>
      </c>
      <c r="C74" s="35" t="s">
        <v>221</v>
      </c>
      <c r="D74" s="52">
        <v>19450.8</v>
      </c>
      <c r="E74" s="52">
        <f t="shared" si="5"/>
        <v>233409.59999999998</v>
      </c>
      <c r="F74" s="6" t="s">
        <v>386</v>
      </c>
      <c r="G74" s="6" t="s">
        <v>387</v>
      </c>
      <c r="H74" s="6" t="s">
        <v>388</v>
      </c>
      <c r="I74" s="122" t="s">
        <v>307</v>
      </c>
    </row>
    <row r="75" spans="1:22" ht="18.600000000000001">
      <c r="A75" s="35">
        <f t="shared" si="6"/>
        <v>27</v>
      </c>
      <c r="B75" s="62" t="s">
        <v>362</v>
      </c>
      <c r="C75" s="54" t="s">
        <v>268</v>
      </c>
      <c r="D75" s="124">
        <v>34214</v>
      </c>
      <c r="E75" s="52">
        <f t="shared" si="5"/>
        <v>410568</v>
      </c>
      <c r="F75" s="6" t="s">
        <v>391</v>
      </c>
      <c r="G75" s="6" t="s">
        <v>392</v>
      </c>
      <c r="H75" s="6" t="s">
        <v>393</v>
      </c>
      <c r="I75" s="115" t="s">
        <v>299</v>
      </c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</row>
    <row r="76" spans="1:22" ht="18.600000000000001">
      <c r="A76" s="35">
        <f t="shared" si="6"/>
        <v>28</v>
      </c>
      <c r="B76" s="62" t="s">
        <v>395</v>
      </c>
      <c r="C76" s="54" t="s">
        <v>268</v>
      </c>
      <c r="D76" s="124">
        <v>34214</v>
      </c>
      <c r="E76" s="52">
        <f t="shared" si="5"/>
        <v>410568</v>
      </c>
      <c r="F76" s="6" t="s">
        <v>396</v>
      </c>
      <c r="G76" s="6" t="s">
        <v>397</v>
      </c>
      <c r="H76" s="6" t="s">
        <v>398</v>
      </c>
      <c r="I76" s="122" t="s">
        <v>307</v>
      </c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</row>
    <row r="77" spans="1:22" ht="18.600000000000001">
      <c r="A77" s="35">
        <f t="shared" si="6"/>
        <v>29</v>
      </c>
      <c r="B77" s="62" t="s">
        <v>402</v>
      </c>
      <c r="C77" s="54" t="s">
        <v>403</v>
      </c>
      <c r="D77" s="124">
        <v>29257.200000000001</v>
      </c>
      <c r="E77" s="52">
        <f t="shared" si="5"/>
        <v>351086.4</v>
      </c>
      <c r="F77" s="6" t="s">
        <v>404</v>
      </c>
      <c r="G77" s="6" t="s">
        <v>405</v>
      </c>
      <c r="H77" s="6" t="s">
        <v>406</v>
      </c>
      <c r="I77" s="122" t="s">
        <v>307</v>
      </c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</row>
    <row r="78" spans="1:22" ht="18.600000000000001">
      <c r="A78" s="35">
        <f t="shared" si="6"/>
        <v>30</v>
      </c>
      <c r="B78" s="34" t="s">
        <v>362</v>
      </c>
      <c r="C78" s="35" t="s">
        <v>268</v>
      </c>
      <c r="D78" s="36">
        <v>34214</v>
      </c>
      <c r="E78" s="52">
        <f t="shared" si="5"/>
        <v>410568</v>
      </c>
      <c r="F78" s="6" t="s">
        <v>408</v>
      </c>
      <c r="G78" s="27" t="s">
        <v>409</v>
      </c>
      <c r="H78" s="27" t="s">
        <v>410</v>
      </c>
      <c r="I78" s="28" t="s">
        <v>258</v>
      </c>
      <c r="J78" s="33">
        <v>5</v>
      </c>
      <c r="K78" s="33">
        <v>4</v>
      </c>
      <c r="L78" s="33">
        <v>3</v>
      </c>
      <c r="M78" s="33">
        <v>2</v>
      </c>
      <c r="N78" s="33">
        <v>1</v>
      </c>
      <c r="O78" s="33">
        <v>0</v>
      </c>
    </row>
    <row r="79" spans="1:22" ht="18.600000000000001">
      <c r="A79" s="35">
        <f t="shared" si="6"/>
        <v>31</v>
      </c>
      <c r="B79" s="34" t="s">
        <v>413</v>
      </c>
      <c r="C79" s="35" t="s">
        <v>414</v>
      </c>
      <c r="D79" s="52">
        <v>24640.799999999999</v>
      </c>
      <c r="E79" s="52">
        <f t="shared" si="5"/>
        <v>295689.59999999998</v>
      </c>
      <c r="F79" s="6" t="s">
        <v>415</v>
      </c>
      <c r="G79" s="27" t="s">
        <v>416</v>
      </c>
      <c r="H79" s="27" t="s">
        <v>417</v>
      </c>
      <c r="I79" s="28" t="s">
        <v>307</v>
      </c>
    </row>
    <row r="80" spans="1:22" ht="18.75" customHeight="1">
      <c r="A80" s="35">
        <f t="shared" si="6"/>
        <v>32</v>
      </c>
      <c r="B80" s="34" t="s">
        <v>419</v>
      </c>
      <c r="C80" s="54" t="s">
        <v>403</v>
      </c>
      <c r="D80" s="124">
        <v>29257.200000000001</v>
      </c>
      <c r="E80" s="52">
        <f t="shared" si="5"/>
        <v>351086.4</v>
      </c>
      <c r="F80" s="6" t="s">
        <v>420</v>
      </c>
      <c r="G80" s="27" t="s">
        <v>421</v>
      </c>
      <c r="H80" s="27" t="s">
        <v>422</v>
      </c>
      <c r="I80" s="28" t="s">
        <v>307</v>
      </c>
    </row>
    <row r="81" spans="1:22" ht="18.600000000000001">
      <c r="A81" s="35">
        <f t="shared" si="6"/>
        <v>33</v>
      </c>
      <c r="B81" s="34" t="s">
        <v>466</v>
      </c>
      <c r="C81" s="35" t="s">
        <v>414</v>
      </c>
      <c r="D81" s="52">
        <v>24640.799999999999</v>
      </c>
      <c r="E81" s="52">
        <f t="shared" si="5"/>
        <v>295689.59999999998</v>
      </c>
      <c r="F81" s="27" t="s">
        <v>425</v>
      </c>
      <c r="G81" s="27" t="s">
        <v>426</v>
      </c>
      <c r="H81" s="27" t="s">
        <v>427</v>
      </c>
      <c r="I81" s="28" t="s">
        <v>455</v>
      </c>
      <c r="J81" s="33">
        <v>4</v>
      </c>
      <c r="K81" s="33" t="e">
        <f>COUNTIF(#REF!, "4")</f>
        <v>#REF!</v>
      </c>
      <c r="L81" s="33" t="e">
        <f>COUNTIF(#REF!, "3")</f>
        <v>#REF!</v>
      </c>
      <c r="M81" s="33" t="e">
        <f>COUNTIF(#REF!, "2")</f>
        <v>#REF!</v>
      </c>
      <c r="N81" s="33" t="e">
        <f>COUNTIF(#REF!, "1")</f>
        <v>#REF!</v>
      </c>
      <c r="O81" s="33" t="e">
        <f>COUNTIF(#REF!, "0")</f>
        <v>#REF!</v>
      </c>
    </row>
    <row r="82" spans="1:22" ht="18.600000000000001">
      <c r="A82" s="35">
        <f t="shared" si="6"/>
        <v>34</v>
      </c>
      <c r="B82" s="34" t="s">
        <v>466</v>
      </c>
      <c r="C82" s="35" t="s">
        <v>414</v>
      </c>
      <c r="D82" s="52">
        <v>24640.799999999999</v>
      </c>
      <c r="E82" s="52">
        <f t="shared" si="5"/>
        <v>295689.59999999998</v>
      </c>
      <c r="F82" s="27" t="s">
        <v>431</v>
      </c>
      <c r="G82" s="27" t="s">
        <v>432</v>
      </c>
      <c r="H82" s="27" t="s">
        <v>433</v>
      </c>
      <c r="I82" s="28" t="s">
        <v>455</v>
      </c>
    </row>
    <row r="83" spans="1:22" ht="18.600000000000001">
      <c r="A83" s="35">
        <f t="shared" si="6"/>
        <v>35</v>
      </c>
      <c r="B83" s="34" t="s">
        <v>437</v>
      </c>
      <c r="C83" s="35" t="s">
        <v>221</v>
      </c>
      <c r="D83" s="52">
        <v>19450.8</v>
      </c>
      <c r="E83" s="52">
        <f t="shared" si="5"/>
        <v>233409.59999999998</v>
      </c>
      <c r="F83" s="6" t="s">
        <v>438</v>
      </c>
      <c r="G83" s="6" t="s">
        <v>439</v>
      </c>
      <c r="H83" s="27" t="s">
        <v>440</v>
      </c>
      <c r="I83" s="28" t="s">
        <v>284</v>
      </c>
    </row>
    <row r="84" spans="1:22" ht="16.5" customHeight="1">
      <c r="A84" s="35">
        <f t="shared" si="6"/>
        <v>36</v>
      </c>
      <c r="B84" s="34" t="s">
        <v>442</v>
      </c>
      <c r="C84" s="54" t="s">
        <v>403</v>
      </c>
      <c r="D84" s="124">
        <v>29257.200000000001</v>
      </c>
      <c r="E84" s="52">
        <f t="shared" si="5"/>
        <v>351086.4</v>
      </c>
      <c r="F84" s="125" t="s">
        <v>63</v>
      </c>
      <c r="G84" s="125" t="s">
        <v>443</v>
      </c>
      <c r="H84" s="125" t="s">
        <v>444</v>
      </c>
      <c r="I84" s="28" t="s">
        <v>307</v>
      </c>
    </row>
    <row r="85" spans="1:22" ht="18.600000000000001">
      <c r="A85" s="35">
        <f t="shared" si="6"/>
        <v>37</v>
      </c>
      <c r="B85" s="34" t="s">
        <v>466</v>
      </c>
      <c r="C85" s="35" t="s">
        <v>414</v>
      </c>
      <c r="D85" s="52">
        <v>24640.799999999999</v>
      </c>
      <c r="E85" s="52">
        <f t="shared" si="5"/>
        <v>295689.59999999998</v>
      </c>
      <c r="F85" s="125" t="s">
        <v>447</v>
      </c>
      <c r="G85" s="125" t="s">
        <v>448</v>
      </c>
      <c r="H85" s="125" t="s">
        <v>449</v>
      </c>
      <c r="I85" s="28" t="s">
        <v>455</v>
      </c>
    </row>
    <row r="86" spans="1:22" ht="18.600000000000001">
      <c r="A86" s="35">
        <f t="shared" si="6"/>
        <v>38</v>
      </c>
      <c r="B86" s="34" t="s">
        <v>347</v>
      </c>
      <c r="C86" s="19" t="s">
        <v>120</v>
      </c>
      <c r="D86" s="36">
        <v>46095.6</v>
      </c>
      <c r="E86" s="52">
        <f t="shared" si="5"/>
        <v>553147.19999999995</v>
      </c>
      <c r="F86" s="129" t="s">
        <v>451</v>
      </c>
      <c r="G86" s="129" t="s">
        <v>452</v>
      </c>
      <c r="H86" s="129" t="s">
        <v>453</v>
      </c>
      <c r="I86" s="28" t="s">
        <v>455</v>
      </c>
    </row>
    <row r="87" spans="1:22" ht="18.600000000000001">
      <c r="A87" s="35">
        <f t="shared" si="6"/>
        <v>39</v>
      </c>
      <c r="B87" s="34" t="s">
        <v>295</v>
      </c>
      <c r="C87" s="35" t="s">
        <v>120</v>
      </c>
      <c r="D87" s="36">
        <v>46095.6</v>
      </c>
      <c r="E87" s="52">
        <f t="shared" si="5"/>
        <v>553147.19999999995</v>
      </c>
      <c r="F87" s="129" t="s">
        <v>456</v>
      </c>
      <c r="G87" s="129" t="s">
        <v>457</v>
      </c>
      <c r="H87" s="129" t="s">
        <v>458</v>
      </c>
      <c r="I87" s="19" t="s">
        <v>455</v>
      </c>
    </row>
    <row r="88" spans="1:22" ht="18.600000000000001">
      <c r="A88" s="35">
        <f t="shared" si="6"/>
        <v>40</v>
      </c>
      <c r="B88" s="62" t="s">
        <v>461</v>
      </c>
      <c r="C88" s="54" t="s">
        <v>140</v>
      </c>
      <c r="D88" s="77">
        <v>36846</v>
      </c>
      <c r="E88" s="52">
        <f t="shared" si="5"/>
        <v>442152</v>
      </c>
      <c r="F88" s="129" t="s">
        <v>462</v>
      </c>
      <c r="G88" s="129" t="s">
        <v>463</v>
      </c>
      <c r="H88" s="129" t="s">
        <v>464</v>
      </c>
      <c r="I88" s="28" t="s">
        <v>320</v>
      </c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</row>
    <row r="89" spans="1:22" ht="19.5" customHeight="1">
      <c r="A89" s="35">
        <f t="shared" si="6"/>
        <v>41</v>
      </c>
      <c r="B89" s="34" t="s">
        <v>466</v>
      </c>
      <c r="C89" s="35" t="s">
        <v>414</v>
      </c>
      <c r="D89" s="52">
        <v>24640.799999999999</v>
      </c>
      <c r="E89" s="52">
        <f t="shared" si="5"/>
        <v>295689.59999999998</v>
      </c>
      <c r="F89" s="6" t="s">
        <v>203</v>
      </c>
      <c r="G89" s="6" t="s">
        <v>467</v>
      </c>
      <c r="H89" s="6" t="s">
        <v>468</v>
      </c>
      <c r="I89" s="79" t="s">
        <v>455</v>
      </c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spans="1:22" ht="18.600000000000001">
      <c r="A90" s="35">
        <f t="shared" si="6"/>
        <v>42</v>
      </c>
      <c r="B90" s="62" t="s">
        <v>347</v>
      </c>
      <c r="C90" s="79" t="s">
        <v>120</v>
      </c>
      <c r="D90" s="124">
        <v>46095.6</v>
      </c>
      <c r="E90" s="52">
        <f t="shared" si="5"/>
        <v>553147.19999999995</v>
      </c>
      <c r="F90" s="6" t="s">
        <v>471</v>
      </c>
      <c r="G90" s="6" t="s">
        <v>472</v>
      </c>
      <c r="H90" s="6" t="s">
        <v>473</v>
      </c>
      <c r="I90" s="79" t="s">
        <v>455</v>
      </c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</row>
    <row r="91" spans="1:22" ht="18.600000000000001">
      <c r="A91" s="35">
        <f t="shared" si="6"/>
        <v>43</v>
      </c>
      <c r="B91" s="6" t="s">
        <v>475</v>
      </c>
      <c r="C91" s="54" t="s">
        <v>268</v>
      </c>
      <c r="D91" s="124">
        <v>34214</v>
      </c>
      <c r="E91" s="52">
        <f t="shared" si="5"/>
        <v>410568</v>
      </c>
      <c r="F91" s="6" t="s">
        <v>476</v>
      </c>
      <c r="G91" s="6" t="s">
        <v>477</v>
      </c>
      <c r="H91" s="6" t="s">
        <v>478</v>
      </c>
      <c r="I91" s="28" t="s">
        <v>320</v>
      </c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</row>
    <row r="92" spans="1:22" ht="18.600000000000001">
      <c r="A92" s="35">
        <f t="shared" si="6"/>
        <v>44</v>
      </c>
      <c r="B92" s="34" t="s">
        <v>480</v>
      </c>
      <c r="C92" s="132">
        <v>45383</v>
      </c>
      <c r="D92" s="52">
        <v>19450.8</v>
      </c>
      <c r="E92" s="52">
        <f t="shared" si="5"/>
        <v>233409.59999999998</v>
      </c>
      <c r="F92" s="34" t="s">
        <v>481</v>
      </c>
      <c r="G92" s="34" t="s">
        <v>482</v>
      </c>
      <c r="H92" s="34" t="s">
        <v>483</v>
      </c>
      <c r="I92" s="122" t="s">
        <v>307</v>
      </c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</row>
    <row r="93" spans="1:22" ht="18.600000000000001">
      <c r="A93" s="35">
        <f t="shared" si="6"/>
        <v>45</v>
      </c>
      <c r="B93" s="62" t="s">
        <v>362</v>
      </c>
      <c r="C93" s="54" t="s">
        <v>268</v>
      </c>
      <c r="D93" s="124">
        <v>34214</v>
      </c>
      <c r="E93" s="52">
        <f t="shared" si="5"/>
        <v>410568</v>
      </c>
      <c r="F93" s="27" t="s">
        <v>485</v>
      </c>
      <c r="G93" s="27" t="s">
        <v>486</v>
      </c>
      <c r="H93" s="27" t="s">
        <v>487</v>
      </c>
      <c r="I93" s="19" t="s">
        <v>379</v>
      </c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</row>
    <row r="94" spans="1:22" ht="18.600000000000001">
      <c r="A94" s="35">
        <f t="shared" si="6"/>
        <v>46</v>
      </c>
      <c r="B94" s="62" t="s">
        <v>362</v>
      </c>
      <c r="C94" s="54" t="s">
        <v>268</v>
      </c>
      <c r="D94" s="124">
        <v>34214</v>
      </c>
      <c r="E94" s="52">
        <f t="shared" si="5"/>
        <v>410568</v>
      </c>
      <c r="F94" s="27" t="s">
        <v>488</v>
      </c>
      <c r="G94" s="27" t="s">
        <v>489</v>
      </c>
      <c r="H94" s="27" t="s">
        <v>197</v>
      </c>
      <c r="I94" s="19" t="s">
        <v>490</v>
      </c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</row>
    <row r="95" spans="1:22" ht="18.600000000000001">
      <c r="A95" s="35">
        <f t="shared" si="6"/>
        <v>47</v>
      </c>
      <c r="B95" s="62" t="s">
        <v>362</v>
      </c>
      <c r="C95" s="54" t="s">
        <v>268</v>
      </c>
      <c r="D95" s="124">
        <v>34214</v>
      </c>
      <c r="E95" s="52">
        <f t="shared" si="5"/>
        <v>410568</v>
      </c>
      <c r="F95" s="62" t="s">
        <v>491</v>
      </c>
      <c r="G95" s="62" t="s">
        <v>492</v>
      </c>
      <c r="H95" s="62" t="s">
        <v>493</v>
      </c>
      <c r="I95" s="19" t="s">
        <v>299</v>
      </c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</row>
    <row r="96" spans="1:22" ht="15.6"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</row>
    <row r="107" spans="2:9" ht="18.600000000000001" hidden="1">
      <c r="B107" s="134" t="s">
        <v>512</v>
      </c>
      <c r="C107" s="135"/>
      <c r="D107" s="136"/>
      <c r="E107" s="136"/>
      <c r="F107" s="137"/>
      <c r="G107" s="13"/>
      <c r="H107" s="13"/>
      <c r="I107" s="11"/>
    </row>
    <row r="108" spans="2:9" ht="18.600000000000001" hidden="1">
      <c r="B108" s="134" t="s">
        <v>513</v>
      </c>
      <c r="C108" s="135" t="s">
        <v>98</v>
      </c>
      <c r="D108" s="136">
        <v>51357</v>
      </c>
      <c r="E108" s="136"/>
      <c r="F108" s="137" t="s">
        <v>514</v>
      </c>
      <c r="G108" s="13" t="s">
        <v>515</v>
      </c>
      <c r="H108" s="13" t="s">
        <v>516</v>
      </c>
      <c r="I108" s="11" t="s">
        <v>66</v>
      </c>
    </row>
    <row r="113" spans="1:9" ht="18.600000000000001">
      <c r="A113" s="89"/>
      <c r="B113" s="90"/>
      <c r="C113" s="91"/>
      <c r="D113" s="9"/>
      <c r="E113" s="9"/>
      <c r="I113" s="11"/>
    </row>
    <row r="114" spans="1:9" ht="18.600000000000001">
      <c r="A114" s="89"/>
      <c r="B114" s="90"/>
      <c r="C114" s="91"/>
      <c r="D114" s="9"/>
      <c r="E114" s="9"/>
      <c r="I114" s="11"/>
    </row>
    <row r="115" spans="1:9" ht="18.600000000000001">
      <c r="A115" s="89"/>
      <c r="B115" s="90"/>
      <c r="C115" s="91"/>
      <c r="D115" s="9"/>
      <c r="E115" s="9"/>
      <c r="I115" s="11"/>
    </row>
    <row r="116" spans="1:9" ht="18.600000000000001">
      <c r="A116" s="89"/>
      <c r="B116" s="90"/>
      <c r="C116" s="91"/>
      <c r="D116" s="9"/>
      <c r="E116" s="9"/>
      <c r="I116" s="11"/>
    </row>
    <row r="117" spans="1:9" ht="18.600000000000001">
      <c r="A117" s="89"/>
      <c r="B117" s="90"/>
      <c r="C117" s="91"/>
      <c r="D117" s="9"/>
      <c r="E117" s="9"/>
      <c r="I117" s="11"/>
    </row>
    <row r="118" spans="1:9" ht="18.600000000000001">
      <c r="A118" s="89"/>
      <c r="B118" s="90"/>
      <c r="C118" s="91"/>
      <c r="D118" s="9"/>
      <c r="E118" s="9"/>
      <c r="I118" s="11"/>
    </row>
    <row r="119" spans="1:9" ht="18.600000000000001">
      <c r="A119" s="89"/>
      <c r="B119" s="90"/>
      <c r="C119" s="91"/>
      <c r="D119" s="9"/>
      <c r="E119" s="9"/>
      <c r="I119" s="11"/>
    </row>
    <row r="120" spans="1:9" ht="18.600000000000001">
      <c r="A120" s="89"/>
      <c r="B120" s="90"/>
      <c r="C120" s="91"/>
      <c r="D120" s="9"/>
      <c r="E120" s="9"/>
      <c r="I120" s="11"/>
    </row>
    <row r="121" spans="1:9" ht="18.600000000000001">
      <c r="A121" s="89"/>
      <c r="B121" s="90"/>
      <c r="C121" s="91"/>
      <c r="D121" s="9"/>
      <c r="E121" s="9"/>
      <c r="I121" s="11"/>
    </row>
    <row r="122" spans="1:9" ht="18.600000000000001">
      <c r="A122" s="89"/>
      <c r="B122" s="90"/>
      <c r="C122" s="91"/>
      <c r="D122" s="9"/>
      <c r="E122" s="9"/>
      <c r="I122" s="11"/>
    </row>
    <row r="123" spans="1:9" ht="18.600000000000001">
      <c r="A123" s="89"/>
      <c r="B123" s="90"/>
      <c r="C123" s="91"/>
      <c r="D123" s="9"/>
      <c r="E123" s="9"/>
      <c r="I123" s="11"/>
    </row>
    <row r="124" spans="1:9" ht="18.600000000000001">
      <c r="A124" s="89"/>
      <c r="B124" s="90"/>
      <c r="C124" s="91"/>
      <c r="D124" s="9"/>
      <c r="E124" s="9"/>
      <c r="I124" s="11"/>
    </row>
    <row r="125" spans="1:9" ht="18.600000000000001">
      <c r="A125" s="89"/>
      <c r="B125" s="90"/>
      <c r="C125" s="91"/>
      <c r="D125" s="9"/>
      <c r="E125" s="9"/>
      <c r="I125" s="11"/>
    </row>
    <row r="126" spans="1:9" ht="18.600000000000001">
      <c r="A126" s="89"/>
      <c r="B126" s="90"/>
      <c r="C126" s="91"/>
      <c r="D126" s="9"/>
      <c r="E126" s="9"/>
      <c r="I126" s="11"/>
    </row>
    <row r="127" spans="1:9" ht="18.600000000000001">
      <c r="A127" s="89"/>
      <c r="B127" s="90"/>
      <c r="C127" s="91"/>
      <c r="D127" s="9"/>
      <c r="E127" s="9"/>
      <c r="I127" s="11"/>
    </row>
    <row r="128" spans="1:9" ht="18.600000000000001">
      <c r="A128" s="89"/>
      <c r="B128" s="90"/>
      <c r="C128" s="91"/>
      <c r="D128" s="9"/>
      <c r="E128" s="9"/>
      <c r="I128" s="11"/>
    </row>
    <row r="129" spans="1:9" ht="18.600000000000001">
      <c r="A129" s="89"/>
      <c r="B129" s="90"/>
      <c r="C129" s="91"/>
      <c r="D129" s="9"/>
      <c r="E129" s="9"/>
      <c r="I129" s="11"/>
    </row>
    <row r="130" spans="1:9" ht="18.600000000000001">
      <c r="A130" s="89"/>
      <c r="B130" s="90"/>
      <c r="C130" s="91"/>
      <c r="D130" s="9"/>
      <c r="E130" s="9"/>
      <c r="I130" s="11"/>
    </row>
    <row r="131" spans="1:9" ht="18.600000000000001">
      <c r="A131" s="89"/>
      <c r="B131" s="90"/>
      <c r="C131" s="91"/>
      <c r="D131" s="9"/>
      <c r="E131" s="9"/>
      <c r="I131" s="11"/>
    </row>
    <row r="132" spans="1:9" ht="18.600000000000001">
      <c r="A132" s="89"/>
      <c r="B132" s="90"/>
      <c r="C132" s="91"/>
      <c r="D132" s="9"/>
      <c r="E132" s="9"/>
      <c r="I132" s="11"/>
    </row>
    <row r="133" spans="1:9" ht="18.600000000000001">
      <c r="A133" s="89"/>
      <c r="B133" s="90"/>
      <c r="C133" s="91"/>
      <c r="D133" s="9"/>
      <c r="E133" s="9"/>
      <c r="I133" s="11"/>
    </row>
    <row r="134" spans="1:9" ht="18.600000000000001">
      <c r="A134" s="89"/>
      <c r="B134" s="90"/>
      <c r="C134" s="91"/>
      <c r="D134" s="9"/>
      <c r="E134" s="9"/>
      <c r="I134" s="11"/>
    </row>
    <row r="135" spans="1:9" ht="18.600000000000001">
      <c r="A135" s="89"/>
      <c r="B135" s="90"/>
      <c r="C135" s="91"/>
      <c r="D135" s="9"/>
      <c r="E135" s="9"/>
      <c r="I135" s="11"/>
    </row>
    <row r="136" spans="1:9" ht="18.600000000000001">
      <c r="A136" s="89"/>
      <c r="B136" s="90"/>
      <c r="C136" s="91"/>
      <c r="D136" s="9"/>
      <c r="E136" s="9"/>
      <c r="I136" s="11"/>
    </row>
    <row r="137" spans="1:9" ht="18.600000000000001">
      <c r="A137" s="89"/>
      <c r="B137" s="90"/>
      <c r="C137" s="91"/>
      <c r="D137" s="9"/>
      <c r="E137" s="9"/>
      <c r="I137" s="11"/>
    </row>
    <row r="138" spans="1:9" ht="18.600000000000001">
      <c r="A138" s="89"/>
      <c r="B138" s="90"/>
      <c r="C138" s="91"/>
      <c r="D138" s="9"/>
      <c r="E138" s="9"/>
      <c r="I138" s="11"/>
    </row>
    <row r="139" spans="1:9" ht="18.600000000000001">
      <c r="A139" s="89"/>
      <c r="B139" s="90"/>
      <c r="C139" s="91"/>
      <c r="D139" s="9"/>
      <c r="E139" s="9"/>
      <c r="I139" s="11"/>
    </row>
    <row r="140" spans="1:9" ht="18.600000000000001">
      <c r="A140" s="89"/>
      <c r="B140" s="90"/>
      <c r="C140" s="91"/>
      <c r="D140" s="9"/>
      <c r="E140" s="9"/>
      <c r="I140" s="11"/>
    </row>
    <row r="141" spans="1:9" ht="18.600000000000001">
      <c r="A141" s="89"/>
      <c r="B141" s="90"/>
      <c r="C141" s="91"/>
      <c r="D141" s="9"/>
      <c r="E141" s="9"/>
      <c r="I141" s="11"/>
    </row>
    <row r="142" spans="1:9" ht="18.600000000000001">
      <c r="A142" s="89"/>
      <c r="B142" s="90"/>
      <c r="C142" s="91"/>
      <c r="D142" s="9"/>
      <c r="E142" s="9"/>
      <c r="I142" s="11"/>
    </row>
    <row r="143" spans="1:9" ht="18.600000000000001">
      <c r="A143" s="89"/>
      <c r="B143" s="90"/>
      <c r="C143" s="91"/>
      <c r="D143" s="9"/>
      <c r="E143" s="9"/>
      <c r="I143" s="11"/>
    </row>
    <row r="144" spans="1:9" ht="18.600000000000001">
      <c r="A144" s="89"/>
      <c r="B144" s="90"/>
      <c r="C144" s="91"/>
      <c r="D144" s="9"/>
      <c r="E144" s="9"/>
      <c r="I144" s="11"/>
    </row>
    <row r="145" spans="1:9" ht="18.600000000000001">
      <c r="A145" s="89"/>
      <c r="B145" s="90"/>
      <c r="C145" s="91"/>
      <c r="D145" s="9"/>
      <c r="E145" s="9"/>
      <c r="I145" s="11"/>
    </row>
    <row r="146" spans="1:9" ht="18.600000000000001">
      <c r="A146" s="89"/>
      <c r="B146" s="90"/>
      <c r="C146" s="91"/>
      <c r="D146" s="9"/>
      <c r="E146" s="9"/>
      <c r="I146" s="11"/>
    </row>
    <row r="147" spans="1:9" ht="18.600000000000001">
      <c r="A147" s="89"/>
      <c r="B147" s="90"/>
      <c r="C147" s="91"/>
      <c r="D147" s="9"/>
      <c r="E147" s="9"/>
      <c r="I147" s="11"/>
    </row>
    <row r="148" spans="1:9" ht="18.600000000000001">
      <c r="A148" s="89"/>
      <c r="B148" s="90"/>
      <c r="C148" s="91"/>
      <c r="D148" s="9"/>
      <c r="E148" s="9"/>
      <c r="I148" s="11"/>
    </row>
    <row r="149" spans="1:9" ht="18.600000000000001">
      <c r="A149" s="89"/>
      <c r="B149" s="90"/>
      <c r="C149" s="91"/>
      <c r="D149" s="9"/>
      <c r="E149" s="9"/>
      <c r="I149" s="11"/>
    </row>
    <row r="150" spans="1:9" ht="18.600000000000001">
      <c r="A150" s="89"/>
      <c r="B150" s="90"/>
      <c r="C150" s="91"/>
      <c r="D150" s="9"/>
      <c r="E150" s="9"/>
      <c r="I150" s="11"/>
    </row>
    <row r="151" spans="1:9" ht="18.600000000000001">
      <c r="A151" s="89"/>
      <c r="B151" s="90"/>
      <c r="C151" s="91"/>
      <c r="D151" s="9"/>
      <c r="E151" s="9"/>
      <c r="I151" s="11"/>
    </row>
    <row r="152" spans="1:9" ht="18.600000000000001">
      <c r="A152" s="89"/>
      <c r="B152" s="90"/>
      <c r="C152" s="91"/>
      <c r="D152" s="9"/>
      <c r="E152" s="9"/>
      <c r="I152" s="11"/>
    </row>
    <row r="153" spans="1:9" ht="18.600000000000001">
      <c r="A153" s="89"/>
      <c r="B153" s="90"/>
      <c r="C153" s="91"/>
      <c r="D153" s="9"/>
      <c r="E153" s="9"/>
      <c r="I153" s="11"/>
    </row>
    <row r="154" spans="1:9" ht="18.600000000000001">
      <c r="A154" s="89"/>
      <c r="B154" s="90"/>
      <c r="C154" s="91"/>
      <c r="D154" s="9"/>
      <c r="E154" s="9"/>
      <c r="I154" s="11"/>
    </row>
    <row r="155" spans="1:9" ht="18.600000000000001">
      <c r="A155" s="89"/>
      <c r="B155" s="90"/>
      <c r="C155" s="91"/>
      <c r="D155" s="9"/>
      <c r="E155" s="9"/>
      <c r="I155" s="11"/>
    </row>
    <row r="156" spans="1:9" ht="18.600000000000001">
      <c r="A156" s="89"/>
      <c r="B156" s="90"/>
      <c r="C156" s="91"/>
      <c r="D156" s="9"/>
      <c r="E156" s="9"/>
      <c r="I156" s="11"/>
    </row>
    <row r="157" spans="1:9" ht="18.600000000000001">
      <c r="A157" s="89"/>
      <c r="B157" s="90"/>
      <c r="C157" s="91"/>
      <c r="D157" s="9"/>
      <c r="E157" s="9"/>
      <c r="I157" s="11"/>
    </row>
    <row r="158" spans="1:9" ht="18.600000000000001">
      <c r="A158" s="89"/>
      <c r="B158" s="90"/>
      <c r="C158" s="91"/>
      <c r="D158" s="9"/>
      <c r="E158" s="9"/>
      <c r="I158" s="11"/>
    </row>
    <row r="159" spans="1:9" ht="18.600000000000001">
      <c r="A159" s="89"/>
      <c r="B159" s="90"/>
      <c r="C159" s="91"/>
      <c r="D159" s="9"/>
      <c r="E159" s="9"/>
      <c r="I159" s="11"/>
    </row>
    <row r="160" spans="1:9" ht="18.600000000000001">
      <c r="A160" s="89"/>
      <c r="B160" s="90"/>
      <c r="C160" s="91"/>
      <c r="D160" s="9"/>
      <c r="E160" s="9"/>
      <c r="I160" s="11"/>
    </row>
    <row r="161" spans="1:9" ht="18.600000000000001">
      <c r="A161" s="89"/>
      <c r="B161" s="90"/>
      <c r="C161" s="91"/>
      <c r="D161" s="9"/>
      <c r="E161" s="9"/>
      <c r="I161" s="11"/>
    </row>
    <row r="162" spans="1:9" ht="18.600000000000001">
      <c r="A162" s="89"/>
      <c r="B162" s="90"/>
      <c r="C162" s="91"/>
      <c r="D162" s="9"/>
      <c r="E162" s="9"/>
      <c r="I162" s="11"/>
    </row>
    <row r="163" spans="1:9" ht="18.600000000000001">
      <c r="A163" s="89"/>
      <c r="B163" s="90"/>
      <c r="C163" s="91"/>
      <c r="D163" s="9"/>
      <c r="E163" s="9"/>
      <c r="I163" s="11"/>
    </row>
    <row r="164" spans="1:9" ht="18.600000000000001">
      <c r="A164" s="89"/>
      <c r="B164" s="90"/>
      <c r="C164" s="91"/>
      <c r="D164" s="9"/>
      <c r="E164" s="9"/>
      <c r="I164" s="11"/>
    </row>
    <row r="165" spans="1:9" ht="18.600000000000001">
      <c r="A165" s="89"/>
      <c r="B165" s="90"/>
      <c r="C165" s="91"/>
      <c r="D165" s="9"/>
      <c r="E165" s="9"/>
      <c r="I165" s="11"/>
    </row>
    <row r="166" spans="1:9" ht="18.600000000000001">
      <c r="A166" s="89"/>
      <c r="B166" s="90"/>
      <c r="C166" s="91"/>
      <c r="D166" s="9"/>
      <c r="E166" s="9"/>
      <c r="I166" s="11"/>
    </row>
    <row r="167" spans="1:9" ht="18.600000000000001">
      <c r="A167" s="89"/>
      <c r="B167" s="90"/>
      <c r="C167" s="91"/>
      <c r="D167" s="9"/>
      <c r="E167" s="9"/>
      <c r="I167" s="11"/>
    </row>
    <row r="168" spans="1:9" ht="18.600000000000001">
      <c r="A168" s="89"/>
      <c r="B168" s="90"/>
      <c r="C168" s="91"/>
      <c r="D168" s="9"/>
      <c r="E168" s="9"/>
      <c r="I168" s="11"/>
    </row>
    <row r="169" spans="1:9" ht="18.600000000000001">
      <c r="A169" s="89"/>
      <c r="B169" s="90"/>
      <c r="C169" s="91"/>
      <c r="D169" s="9"/>
      <c r="E169" s="9"/>
      <c r="I169" s="11"/>
    </row>
    <row r="170" spans="1:9" ht="18.600000000000001">
      <c r="A170" s="89"/>
      <c r="B170" s="90"/>
      <c r="C170" s="91"/>
      <c r="D170" s="9"/>
      <c r="E170" s="9"/>
      <c r="I170" s="11"/>
    </row>
    <row r="171" spans="1:9" ht="18.600000000000001">
      <c r="A171" s="89"/>
      <c r="B171" s="90"/>
      <c r="C171" s="91"/>
      <c r="D171" s="9"/>
      <c r="E171" s="9"/>
      <c r="I171" s="11"/>
    </row>
    <row r="172" spans="1:9" ht="18.600000000000001">
      <c r="A172" s="89"/>
      <c r="B172" s="90"/>
      <c r="C172" s="91"/>
      <c r="D172" s="9"/>
      <c r="E172" s="9"/>
      <c r="I172" s="11"/>
    </row>
    <row r="173" spans="1:9" ht="18.600000000000001">
      <c r="A173" s="89"/>
      <c r="B173" s="90"/>
      <c r="C173" s="91"/>
      <c r="D173" s="9"/>
      <c r="E173" s="9"/>
      <c r="I173" s="11"/>
    </row>
    <row r="174" spans="1:9" ht="18.600000000000001">
      <c r="A174" s="89"/>
      <c r="B174" s="90"/>
      <c r="C174" s="91"/>
      <c r="D174" s="9"/>
      <c r="E174" s="9"/>
      <c r="I174" s="11"/>
    </row>
    <row r="175" spans="1:9" ht="18.600000000000001">
      <c r="A175" s="89"/>
      <c r="B175" s="90"/>
      <c r="C175" s="91"/>
      <c r="D175" s="9"/>
      <c r="E175" s="9"/>
      <c r="I175" s="11"/>
    </row>
    <row r="176" spans="1:9" ht="18.600000000000001">
      <c r="A176" s="89"/>
      <c r="B176" s="90"/>
      <c r="C176" s="91"/>
      <c r="D176" s="9"/>
      <c r="E176" s="9"/>
      <c r="I176" s="11"/>
    </row>
    <row r="177" spans="1:9" ht="18.600000000000001">
      <c r="A177" s="89"/>
      <c r="B177" s="90"/>
      <c r="C177" s="91"/>
      <c r="D177" s="9"/>
      <c r="E177" s="9"/>
      <c r="I177" s="11"/>
    </row>
    <row r="178" spans="1:9" ht="18.600000000000001">
      <c r="A178" s="89"/>
      <c r="B178" s="90"/>
      <c r="C178" s="91"/>
      <c r="D178" s="9"/>
      <c r="E178" s="9"/>
      <c r="I178" s="11"/>
    </row>
    <row r="179" spans="1:9" ht="18.600000000000001">
      <c r="A179" s="89"/>
      <c r="B179" s="90"/>
      <c r="C179" s="91"/>
      <c r="D179" s="9"/>
      <c r="E179" s="9"/>
      <c r="I179" s="11"/>
    </row>
    <row r="180" spans="1:9" ht="18.600000000000001">
      <c r="A180" s="89"/>
      <c r="B180" s="90"/>
      <c r="C180" s="91"/>
      <c r="D180" s="9"/>
      <c r="E180" s="9"/>
      <c r="I180" s="11"/>
    </row>
    <row r="181" spans="1:9" ht="18.600000000000001">
      <c r="A181" s="89"/>
      <c r="B181" s="90"/>
      <c r="C181" s="91"/>
      <c r="D181" s="9"/>
      <c r="E181" s="9"/>
      <c r="I181" s="11"/>
    </row>
    <row r="182" spans="1:9" ht="18.600000000000001">
      <c r="A182" s="89"/>
      <c r="B182" s="90"/>
      <c r="C182" s="91"/>
      <c r="D182" s="9"/>
      <c r="E182" s="9"/>
      <c r="I182" s="11"/>
    </row>
    <row r="183" spans="1:9" ht="18.600000000000001">
      <c r="A183" s="89"/>
      <c r="B183" s="90"/>
      <c r="C183" s="91"/>
      <c r="D183" s="9"/>
      <c r="E183" s="9"/>
      <c r="I183" s="11"/>
    </row>
    <row r="184" spans="1:9" ht="18.600000000000001">
      <c r="A184" s="89"/>
      <c r="B184" s="90"/>
      <c r="C184" s="91"/>
      <c r="D184" s="9"/>
      <c r="E184" s="9"/>
      <c r="I184" s="11"/>
    </row>
    <row r="185" spans="1:9" ht="18.600000000000001">
      <c r="A185" s="89"/>
      <c r="B185" s="90"/>
      <c r="C185" s="91"/>
      <c r="D185" s="9"/>
      <c r="E185" s="9"/>
      <c r="I185" s="11"/>
    </row>
    <row r="186" spans="1:9" ht="18.600000000000001">
      <c r="A186" s="89"/>
      <c r="B186" s="90"/>
      <c r="C186" s="91"/>
      <c r="D186" s="9"/>
      <c r="E186" s="9"/>
      <c r="I186" s="11"/>
    </row>
    <row r="187" spans="1:9" ht="18.600000000000001">
      <c r="A187" s="89"/>
      <c r="B187" s="90"/>
      <c r="C187" s="91"/>
      <c r="D187" s="9"/>
      <c r="E187" s="9"/>
      <c r="I187" s="11"/>
    </row>
    <row r="188" spans="1:9" ht="18.600000000000001">
      <c r="A188" s="89"/>
      <c r="B188" s="90"/>
      <c r="C188" s="91"/>
      <c r="D188" s="9"/>
      <c r="E188" s="9"/>
      <c r="I188" s="11"/>
    </row>
    <row r="189" spans="1:9" ht="18.600000000000001">
      <c r="A189" s="89"/>
      <c r="B189" s="90"/>
      <c r="C189" s="91"/>
      <c r="D189" s="9"/>
      <c r="E189" s="9"/>
      <c r="I189" s="11"/>
    </row>
    <row r="190" spans="1:9" ht="18.600000000000001">
      <c r="A190" s="89"/>
      <c r="B190" s="90"/>
      <c r="C190" s="91"/>
      <c r="D190" s="9"/>
      <c r="E190" s="9"/>
      <c r="I190" s="11"/>
    </row>
    <row r="191" spans="1:9" ht="18.600000000000001">
      <c r="A191" s="89"/>
      <c r="B191" s="90"/>
      <c r="C191" s="91"/>
      <c r="D191" s="9"/>
      <c r="E191" s="9"/>
      <c r="I191" s="11"/>
    </row>
    <row r="192" spans="1:9" ht="18.600000000000001">
      <c r="A192" s="89"/>
      <c r="B192" s="90"/>
      <c r="C192" s="91"/>
      <c r="D192" s="9"/>
      <c r="E192" s="9"/>
      <c r="I192" s="11"/>
    </row>
    <row r="193" spans="1:9" ht="18.600000000000001">
      <c r="A193" s="89"/>
      <c r="B193" s="90"/>
      <c r="C193" s="91"/>
      <c r="D193" s="9"/>
      <c r="E193" s="9"/>
      <c r="I193" s="11"/>
    </row>
    <row r="194" spans="1:9" ht="18.600000000000001">
      <c r="A194" s="89"/>
      <c r="B194" s="90"/>
      <c r="C194" s="91"/>
      <c r="D194" s="9"/>
      <c r="E194" s="9"/>
      <c r="I194" s="11"/>
    </row>
    <row r="195" spans="1:9" ht="18.600000000000001">
      <c r="A195" s="89"/>
      <c r="B195" s="90"/>
      <c r="C195" s="91"/>
      <c r="D195" s="9"/>
      <c r="E195" s="9"/>
      <c r="I195" s="11"/>
    </row>
    <row r="196" spans="1:9" ht="18.600000000000001">
      <c r="A196" s="89"/>
      <c r="B196" s="90"/>
      <c r="C196" s="91"/>
      <c r="D196" s="9"/>
      <c r="E196" s="9"/>
      <c r="I196" s="11"/>
    </row>
    <row r="197" spans="1:9" ht="18.600000000000001">
      <c r="A197" s="89"/>
      <c r="B197" s="90"/>
      <c r="C197" s="91"/>
      <c r="D197" s="9"/>
      <c r="E197" s="9"/>
      <c r="I197" s="11"/>
    </row>
    <row r="198" spans="1:9" ht="18.600000000000001">
      <c r="A198" s="89"/>
      <c r="B198" s="90"/>
      <c r="C198" s="91"/>
      <c r="D198" s="9"/>
      <c r="E198" s="9"/>
      <c r="I198" s="11"/>
    </row>
    <row r="199" spans="1:9" ht="18.600000000000001">
      <c r="A199" s="89"/>
      <c r="B199" s="90"/>
      <c r="C199" s="91"/>
      <c r="D199" s="9"/>
      <c r="E199" s="9"/>
      <c r="I199" s="11"/>
    </row>
    <row r="200" spans="1:9" ht="18.600000000000001">
      <c r="A200" s="89"/>
      <c r="B200" s="90"/>
      <c r="C200" s="91"/>
      <c r="D200" s="9"/>
      <c r="E200" s="9"/>
      <c r="I200" s="11"/>
    </row>
    <row r="201" spans="1:9" ht="18.600000000000001">
      <c r="A201" s="89"/>
      <c r="B201" s="90"/>
      <c r="C201" s="91"/>
      <c r="D201" s="9"/>
      <c r="E201" s="9"/>
      <c r="I201" s="11"/>
    </row>
    <row r="202" spans="1:9" ht="18.600000000000001">
      <c r="A202" s="89"/>
      <c r="B202" s="90"/>
      <c r="C202" s="91"/>
      <c r="D202" s="9"/>
      <c r="E202" s="9"/>
      <c r="I202" s="11"/>
    </row>
    <row r="203" spans="1:9" ht="18.600000000000001">
      <c r="A203" s="89"/>
      <c r="B203" s="90"/>
      <c r="C203" s="91"/>
      <c r="D203" s="9"/>
      <c r="E203" s="9"/>
      <c r="I203" s="11"/>
    </row>
    <row r="204" spans="1:9" ht="18.600000000000001">
      <c r="A204" s="89"/>
      <c r="B204" s="90"/>
      <c r="C204" s="91"/>
      <c r="D204" s="9"/>
      <c r="E204" s="9"/>
      <c r="I204" s="11"/>
    </row>
    <row r="205" spans="1:9" ht="18.600000000000001">
      <c r="A205" s="89"/>
      <c r="B205" s="90"/>
      <c r="C205" s="91"/>
      <c r="D205" s="9"/>
      <c r="E205" s="9"/>
      <c r="I205" s="11"/>
    </row>
    <row r="206" spans="1:9" ht="18.600000000000001">
      <c r="A206" s="89"/>
      <c r="B206" s="90"/>
      <c r="C206" s="91"/>
      <c r="D206" s="9"/>
      <c r="E206" s="9"/>
      <c r="I206" s="11"/>
    </row>
    <row r="207" spans="1:9" ht="18.600000000000001">
      <c r="A207" s="89"/>
      <c r="B207" s="90"/>
      <c r="C207" s="91"/>
      <c r="D207" s="9"/>
      <c r="E207" s="9"/>
      <c r="I207" s="11"/>
    </row>
    <row r="208" spans="1:9" ht="18.600000000000001">
      <c r="A208" s="89"/>
      <c r="B208" s="90"/>
      <c r="C208" s="91"/>
      <c r="D208" s="9"/>
      <c r="E208" s="9"/>
      <c r="I208" s="11"/>
    </row>
    <row r="209" spans="1:9" ht="18.600000000000001">
      <c r="A209" s="89"/>
      <c r="B209" s="90"/>
      <c r="C209" s="91"/>
      <c r="D209" s="9"/>
      <c r="E209" s="9"/>
      <c r="I209" s="11"/>
    </row>
    <row r="210" spans="1:9" ht="18.600000000000001">
      <c r="A210" s="89"/>
      <c r="B210" s="90"/>
      <c r="C210" s="91"/>
      <c r="D210" s="9"/>
      <c r="E210" s="9"/>
      <c r="I210" s="11"/>
    </row>
    <row r="211" spans="1:9" ht="18.600000000000001">
      <c r="A211" s="89"/>
      <c r="B211" s="90"/>
      <c r="C211" s="91"/>
      <c r="D211" s="9"/>
      <c r="E211" s="9"/>
      <c r="I211" s="11"/>
    </row>
    <row r="212" spans="1:9" ht="18.600000000000001">
      <c r="A212" s="89"/>
      <c r="B212" s="90"/>
      <c r="C212" s="91"/>
      <c r="D212" s="9"/>
      <c r="E212" s="9"/>
      <c r="I212" s="11"/>
    </row>
    <row r="213" spans="1:9" ht="18.600000000000001">
      <c r="A213" s="89"/>
      <c r="B213" s="90"/>
      <c r="C213" s="91"/>
      <c r="D213" s="9"/>
      <c r="E213" s="9"/>
      <c r="I213" s="11"/>
    </row>
    <row r="214" spans="1:9" ht="18.600000000000001">
      <c r="A214" s="89"/>
      <c r="B214" s="90"/>
      <c r="C214" s="91"/>
      <c r="D214" s="9"/>
      <c r="E214" s="9"/>
      <c r="I214" s="11"/>
    </row>
    <row r="215" spans="1:9" ht="18.600000000000001">
      <c r="A215" s="89"/>
      <c r="B215" s="90"/>
      <c r="C215" s="91"/>
      <c r="D215" s="9"/>
      <c r="E215" s="9"/>
      <c r="I215" s="11"/>
    </row>
    <row r="216" spans="1:9" ht="18.600000000000001">
      <c r="A216" s="89"/>
      <c r="B216" s="90"/>
      <c r="C216" s="91"/>
      <c r="D216" s="9"/>
      <c r="E216" s="9"/>
      <c r="I216" s="11"/>
    </row>
    <row r="217" spans="1:9" ht="18.600000000000001">
      <c r="A217" s="89"/>
      <c r="B217" s="90"/>
      <c r="C217" s="91"/>
      <c r="D217" s="9"/>
      <c r="E217" s="9"/>
      <c r="I217" s="11"/>
    </row>
    <row r="218" spans="1:9" ht="18.600000000000001">
      <c r="A218" s="89"/>
      <c r="B218" s="90"/>
      <c r="C218" s="91"/>
      <c r="D218" s="9"/>
      <c r="E218" s="9"/>
      <c r="I218" s="11"/>
    </row>
    <row r="219" spans="1:9" ht="18.600000000000001">
      <c r="A219" s="89"/>
      <c r="B219" s="90"/>
      <c r="C219" s="91"/>
      <c r="D219" s="9"/>
      <c r="E219" s="9"/>
      <c r="I219" s="11"/>
    </row>
    <row r="220" spans="1:9" ht="18.600000000000001">
      <c r="A220" s="89"/>
      <c r="B220" s="90"/>
      <c r="C220" s="91"/>
      <c r="D220" s="9"/>
      <c r="E220" s="9"/>
      <c r="I220" s="11"/>
    </row>
    <row r="221" spans="1:9" ht="18.600000000000001">
      <c r="A221" s="89"/>
      <c r="B221" s="90"/>
      <c r="C221" s="91"/>
      <c r="D221" s="9"/>
      <c r="E221" s="9"/>
      <c r="I221" s="11"/>
    </row>
    <row r="222" spans="1:9" ht="18.600000000000001">
      <c r="A222" s="89"/>
      <c r="B222" s="90"/>
      <c r="C222" s="91"/>
      <c r="D222" s="9"/>
      <c r="E222" s="9"/>
      <c r="I222" s="11"/>
    </row>
    <row r="223" spans="1:9" ht="18.600000000000001">
      <c r="A223" s="89"/>
      <c r="B223" s="90"/>
      <c r="C223" s="91"/>
      <c r="D223" s="9"/>
      <c r="E223" s="9"/>
      <c r="I223" s="11"/>
    </row>
    <row r="224" spans="1:9" ht="18.600000000000001">
      <c r="A224" s="89"/>
      <c r="B224" s="90"/>
      <c r="C224" s="91"/>
      <c r="D224" s="9"/>
      <c r="E224" s="9"/>
      <c r="I224" s="11"/>
    </row>
    <row r="225" spans="1:9" ht="18.600000000000001">
      <c r="A225" s="89"/>
      <c r="B225" s="90"/>
      <c r="C225" s="91"/>
      <c r="D225" s="9"/>
      <c r="E225" s="9"/>
      <c r="I225" s="11"/>
    </row>
    <row r="226" spans="1:9" ht="18.600000000000001">
      <c r="A226" s="89"/>
      <c r="B226" s="90"/>
      <c r="C226" s="91"/>
      <c r="D226" s="9"/>
      <c r="E226" s="9"/>
      <c r="I226" s="11"/>
    </row>
    <row r="227" spans="1:9" ht="18.600000000000001">
      <c r="A227" s="89"/>
      <c r="B227" s="90"/>
      <c r="C227" s="91"/>
      <c r="D227" s="9"/>
      <c r="E227" s="9"/>
      <c r="I227" s="11"/>
    </row>
    <row r="228" spans="1:9" ht="18.600000000000001">
      <c r="A228" s="89"/>
      <c r="B228" s="90"/>
      <c r="C228" s="91"/>
      <c r="D228" s="9"/>
      <c r="E228" s="9"/>
      <c r="I228" s="11"/>
    </row>
    <row r="229" spans="1:9" ht="18.600000000000001">
      <c r="A229" s="89"/>
      <c r="B229" s="90"/>
      <c r="C229" s="91"/>
      <c r="D229" s="9"/>
      <c r="E229" s="9"/>
      <c r="I229" s="11"/>
    </row>
    <row r="230" spans="1:9" ht="18.600000000000001">
      <c r="A230" s="89"/>
      <c r="B230" s="90"/>
      <c r="C230" s="91"/>
      <c r="D230" s="9"/>
      <c r="E230" s="9"/>
      <c r="I230" s="11"/>
    </row>
    <row r="231" spans="1:9" ht="18.600000000000001">
      <c r="A231" s="89"/>
      <c r="B231" s="90"/>
      <c r="C231" s="91"/>
      <c r="D231" s="9"/>
      <c r="E231" s="9"/>
      <c r="I231" s="11"/>
    </row>
    <row r="232" spans="1:9" ht="18.600000000000001">
      <c r="A232" s="89"/>
      <c r="B232" s="90"/>
      <c r="C232" s="91"/>
      <c r="D232" s="9"/>
      <c r="E232" s="9"/>
      <c r="I232" s="11"/>
    </row>
    <row r="233" spans="1:9" ht="18.600000000000001">
      <c r="A233" s="89"/>
      <c r="B233" s="90"/>
      <c r="C233" s="91"/>
      <c r="D233" s="9"/>
      <c r="E233" s="9"/>
      <c r="I233" s="11"/>
    </row>
    <row r="234" spans="1:9" ht="18.600000000000001">
      <c r="A234" s="89"/>
      <c r="B234" s="90"/>
      <c r="C234" s="91"/>
      <c r="D234" s="9"/>
      <c r="E234" s="9"/>
      <c r="I234" s="11"/>
    </row>
    <row r="235" spans="1:9" ht="18.600000000000001">
      <c r="A235" s="89"/>
      <c r="B235" s="90"/>
      <c r="C235" s="91"/>
      <c r="D235" s="9"/>
      <c r="E235" s="9"/>
      <c r="I235" s="11"/>
    </row>
    <row r="236" spans="1:9" ht="18.600000000000001">
      <c r="A236" s="89"/>
      <c r="B236" s="90"/>
      <c r="C236" s="91"/>
      <c r="D236" s="9"/>
      <c r="E236" s="9"/>
      <c r="I236" s="11"/>
    </row>
    <row r="237" spans="1:9" ht="18.600000000000001">
      <c r="A237" s="89"/>
      <c r="B237" s="90"/>
      <c r="C237" s="91"/>
      <c r="D237" s="9"/>
      <c r="E237" s="9"/>
      <c r="I237" s="11"/>
    </row>
    <row r="238" spans="1:9" ht="18.600000000000001">
      <c r="A238" s="89"/>
      <c r="B238" s="90"/>
      <c r="C238" s="91"/>
      <c r="D238" s="9"/>
      <c r="E238" s="9"/>
      <c r="I238" s="11"/>
    </row>
    <row r="239" spans="1:9" ht="18.600000000000001">
      <c r="A239" s="89"/>
      <c r="B239" s="90"/>
      <c r="C239" s="91"/>
      <c r="D239" s="9"/>
      <c r="E239" s="9"/>
      <c r="I239" s="11"/>
    </row>
    <row r="240" spans="1:9" ht="18.600000000000001">
      <c r="A240" s="89"/>
      <c r="B240" s="90"/>
      <c r="C240" s="91"/>
      <c r="D240" s="9"/>
      <c r="E240" s="9"/>
      <c r="I240" s="11"/>
    </row>
    <row r="241" spans="1:9" ht="18.600000000000001">
      <c r="A241" s="89"/>
      <c r="B241" s="90"/>
      <c r="C241" s="91"/>
      <c r="D241" s="9"/>
      <c r="E241" s="9"/>
      <c r="I241" s="11"/>
    </row>
    <row r="242" spans="1:9" ht="18.600000000000001">
      <c r="A242" s="89"/>
      <c r="B242" s="90"/>
      <c r="C242" s="91"/>
      <c r="D242" s="9"/>
      <c r="E242" s="9"/>
      <c r="I242" s="11"/>
    </row>
    <row r="243" spans="1:9" ht="18.600000000000001">
      <c r="A243" s="89"/>
      <c r="B243" s="90"/>
      <c r="C243" s="91"/>
      <c r="D243" s="9"/>
      <c r="E243" s="9"/>
      <c r="I243" s="11"/>
    </row>
    <row r="244" spans="1:9" ht="18.600000000000001">
      <c r="A244" s="89"/>
      <c r="B244" s="90"/>
      <c r="C244" s="91"/>
      <c r="D244" s="9"/>
      <c r="E244" s="9"/>
      <c r="I244" s="11"/>
    </row>
    <row r="245" spans="1:9" ht="18.600000000000001">
      <c r="A245" s="89"/>
      <c r="B245" s="90"/>
      <c r="C245" s="91"/>
      <c r="D245" s="9"/>
      <c r="E245" s="9"/>
      <c r="I245" s="11"/>
    </row>
    <row r="246" spans="1:9" ht="18.600000000000001">
      <c r="A246" s="89"/>
      <c r="B246" s="90"/>
      <c r="C246" s="91"/>
      <c r="D246" s="9"/>
      <c r="E246" s="9"/>
      <c r="I246" s="11"/>
    </row>
    <row r="247" spans="1:9" ht="18.600000000000001">
      <c r="A247" s="89"/>
      <c r="B247" s="90"/>
      <c r="C247" s="91"/>
      <c r="D247" s="9"/>
      <c r="E247" s="9"/>
      <c r="I247" s="11"/>
    </row>
    <row r="248" spans="1:9" ht="18.600000000000001">
      <c r="A248" s="89"/>
      <c r="B248" s="90"/>
      <c r="C248" s="91"/>
      <c r="D248" s="9"/>
      <c r="E248" s="9"/>
      <c r="I248" s="11"/>
    </row>
    <row r="249" spans="1:9" ht="18.600000000000001">
      <c r="A249" s="89"/>
      <c r="B249" s="90"/>
      <c r="C249" s="91"/>
      <c r="D249" s="9"/>
      <c r="E249" s="9"/>
      <c r="I249" s="11"/>
    </row>
    <row r="250" spans="1:9" ht="18.600000000000001">
      <c r="A250" s="89"/>
      <c r="B250" s="90"/>
      <c r="C250" s="91"/>
      <c r="D250" s="9"/>
      <c r="E250" s="9"/>
      <c r="I250" s="11"/>
    </row>
    <row r="251" spans="1:9" ht="18.600000000000001">
      <c r="A251" s="89"/>
      <c r="B251" s="90"/>
      <c r="C251" s="91"/>
      <c r="D251" s="9"/>
      <c r="E251" s="9"/>
      <c r="I251" s="11"/>
    </row>
    <row r="252" spans="1:9" ht="18.600000000000001">
      <c r="A252" s="89"/>
      <c r="B252" s="90"/>
      <c r="C252" s="91"/>
      <c r="D252" s="9"/>
      <c r="E252" s="9"/>
      <c r="I252" s="11"/>
    </row>
    <row r="253" spans="1:9" ht="18.600000000000001">
      <c r="A253" s="89"/>
      <c r="B253" s="90"/>
      <c r="C253" s="91"/>
      <c r="D253" s="9"/>
      <c r="E253" s="9"/>
      <c r="I253" s="11"/>
    </row>
    <row r="254" spans="1:9" ht="18.600000000000001">
      <c r="A254" s="89"/>
      <c r="B254" s="90"/>
      <c r="C254" s="91"/>
      <c r="D254" s="9"/>
      <c r="E254" s="9"/>
      <c r="I254" s="11"/>
    </row>
    <row r="255" spans="1:9" ht="18.600000000000001">
      <c r="A255" s="89"/>
      <c r="B255" s="90"/>
      <c r="C255" s="91"/>
      <c r="D255" s="9"/>
      <c r="E255" s="9"/>
      <c r="I255" s="11"/>
    </row>
    <row r="256" spans="1:9" ht="18.600000000000001">
      <c r="A256" s="89"/>
      <c r="B256" s="90"/>
      <c r="C256" s="91"/>
      <c r="D256" s="9"/>
      <c r="E256" s="9"/>
      <c r="I256" s="11"/>
    </row>
    <row r="257" spans="1:9" ht="18.600000000000001">
      <c r="A257" s="89"/>
      <c r="B257" s="90"/>
      <c r="C257" s="91"/>
      <c r="D257" s="9"/>
      <c r="E257" s="9"/>
      <c r="I257" s="11"/>
    </row>
    <row r="258" spans="1:9" ht="18.600000000000001">
      <c r="A258" s="89"/>
      <c r="B258" s="90"/>
      <c r="C258" s="91"/>
      <c r="D258" s="9"/>
      <c r="E258" s="9"/>
      <c r="I258" s="11"/>
    </row>
    <row r="259" spans="1:9" ht="18.600000000000001">
      <c r="A259" s="89"/>
      <c r="B259" s="90"/>
      <c r="C259" s="91"/>
      <c r="D259" s="9"/>
      <c r="E259" s="9"/>
      <c r="I259" s="11"/>
    </row>
    <row r="260" spans="1:9" ht="18.600000000000001">
      <c r="A260" s="89"/>
      <c r="B260" s="90"/>
      <c r="C260" s="91"/>
      <c r="D260" s="9"/>
      <c r="E260" s="9"/>
      <c r="I260" s="11"/>
    </row>
    <row r="261" spans="1:9" ht="18.600000000000001">
      <c r="A261" s="89"/>
      <c r="B261" s="90"/>
      <c r="C261" s="91"/>
      <c r="D261" s="9"/>
      <c r="E261" s="9"/>
      <c r="I261" s="11"/>
    </row>
    <row r="262" spans="1:9" ht="18.600000000000001">
      <c r="A262" s="89"/>
      <c r="B262" s="90"/>
      <c r="C262" s="91"/>
      <c r="D262" s="9"/>
      <c r="E262" s="9"/>
      <c r="I262" s="11"/>
    </row>
    <row r="263" spans="1:9" ht="18.600000000000001">
      <c r="A263" s="89"/>
      <c r="B263" s="90"/>
      <c r="C263" s="91"/>
      <c r="D263" s="9"/>
      <c r="E263" s="9"/>
      <c r="I263" s="11"/>
    </row>
    <row r="264" spans="1:9" ht="18.600000000000001">
      <c r="A264" s="89"/>
      <c r="B264" s="90"/>
      <c r="C264" s="91"/>
      <c r="D264" s="9"/>
      <c r="E264" s="9"/>
      <c r="I264" s="11"/>
    </row>
    <row r="265" spans="1:9" ht="18.600000000000001">
      <c r="A265" s="89"/>
      <c r="B265" s="90"/>
      <c r="C265" s="91"/>
      <c r="D265" s="9"/>
      <c r="E265" s="9"/>
      <c r="I265" s="11"/>
    </row>
    <row r="266" spans="1:9" ht="18.600000000000001">
      <c r="A266" s="89"/>
      <c r="B266" s="90"/>
      <c r="C266" s="91"/>
      <c r="D266" s="9"/>
      <c r="E266" s="9"/>
      <c r="I266" s="11"/>
    </row>
    <row r="267" spans="1:9" ht="18.600000000000001">
      <c r="A267" s="89"/>
      <c r="B267" s="90"/>
      <c r="C267" s="91"/>
      <c r="D267" s="9"/>
      <c r="E267" s="9"/>
      <c r="I267" s="11"/>
    </row>
    <row r="268" spans="1:9" ht="18.600000000000001">
      <c r="A268" s="89"/>
      <c r="B268" s="90"/>
      <c r="C268" s="91"/>
      <c r="D268" s="9"/>
      <c r="E268" s="9"/>
      <c r="I268" s="11"/>
    </row>
    <row r="269" spans="1:9" ht="18.600000000000001">
      <c r="A269" s="89"/>
      <c r="B269" s="90"/>
      <c r="C269" s="91"/>
      <c r="D269" s="9"/>
      <c r="E269" s="9"/>
      <c r="I269" s="11"/>
    </row>
    <row r="270" spans="1:9" ht="18.600000000000001">
      <c r="A270" s="89"/>
      <c r="B270" s="90"/>
      <c r="C270" s="91"/>
      <c r="D270" s="9"/>
      <c r="E270" s="9"/>
      <c r="I270" s="11"/>
    </row>
    <row r="271" spans="1:9" ht="18.600000000000001">
      <c r="A271" s="89"/>
      <c r="B271" s="90"/>
      <c r="C271" s="91"/>
      <c r="D271" s="9"/>
      <c r="E271" s="9"/>
      <c r="I271" s="11"/>
    </row>
    <row r="272" spans="1:9" ht="18.600000000000001">
      <c r="A272" s="89"/>
      <c r="B272" s="90"/>
      <c r="C272" s="91"/>
      <c r="D272" s="9"/>
      <c r="E272" s="9"/>
      <c r="I272" s="11"/>
    </row>
    <row r="273" spans="1:9" ht="18.600000000000001">
      <c r="A273" s="89"/>
      <c r="B273" s="90"/>
      <c r="C273" s="91"/>
      <c r="D273" s="9"/>
      <c r="E273" s="9"/>
      <c r="I273" s="11"/>
    </row>
    <row r="274" spans="1:9" ht="18.600000000000001">
      <c r="A274" s="89"/>
      <c r="B274" s="90"/>
      <c r="C274" s="91"/>
      <c r="D274" s="9"/>
      <c r="E274" s="9"/>
      <c r="I274" s="11"/>
    </row>
    <row r="275" spans="1:9" ht="18.600000000000001">
      <c r="A275" s="89"/>
      <c r="B275" s="90"/>
      <c r="C275" s="91"/>
      <c r="D275" s="9"/>
      <c r="E275" s="9"/>
      <c r="I275" s="11"/>
    </row>
    <row r="276" spans="1:9" ht="18.600000000000001">
      <c r="A276" s="89"/>
      <c r="B276" s="90"/>
      <c r="C276" s="91"/>
      <c r="D276" s="9"/>
      <c r="E276" s="9"/>
      <c r="I276" s="11"/>
    </row>
    <row r="277" spans="1:9" ht="18.600000000000001">
      <c r="A277" s="89"/>
      <c r="B277" s="90"/>
      <c r="C277" s="91"/>
      <c r="D277" s="9"/>
      <c r="E277" s="9"/>
      <c r="I277" s="11"/>
    </row>
    <row r="278" spans="1:9" ht="18.600000000000001">
      <c r="A278" s="89"/>
      <c r="B278" s="90"/>
      <c r="C278" s="91"/>
      <c r="D278" s="9"/>
      <c r="E278" s="9"/>
      <c r="I278" s="11"/>
    </row>
    <row r="279" spans="1:9" ht="18.600000000000001">
      <c r="A279" s="89"/>
      <c r="B279" s="90"/>
      <c r="C279" s="91"/>
      <c r="D279" s="9"/>
      <c r="E279" s="9"/>
      <c r="I279" s="11"/>
    </row>
    <row r="280" spans="1:9" ht="18.600000000000001">
      <c r="A280" s="89"/>
      <c r="B280" s="90"/>
      <c r="C280" s="91"/>
      <c r="D280" s="9"/>
      <c r="E280" s="9"/>
      <c r="I280" s="11"/>
    </row>
    <row r="281" spans="1:9" ht="18.600000000000001">
      <c r="A281" s="89"/>
      <c r="B281" s="90"/>
      <c r="C281" s="91"/>
      <c r="D281" s="9"/>
      <c r="E281" s="9"/>
      <c r="I281" s="11"/>
    </row>
    <row r="282" spans="1:9" ht="18.600000000000001">
      <c r="A282" s="89"/>
      <c r="B282" s="90"/>
      <c r="C282" s="91"/>
      <c r="D282" s="9"/>
      <c r="E282" s="9"/>
      <c r="I282" s="11"/>
    </row>
    <row r="283" spans="1:9" ht="18.600000000000001">
      <c r="A283" s="89"/>
      <c r="B283" s="90"/>
      <c r="C283" s="91"/>
      <c r="D283" s="9"/>
      <c r="E283" s="9"/>
      <c r="I283" s="11"/>
    </row>
    <row r="284" spans="1:9" ht="18.600000000000001">
      <c r="A284" s="89"/>
      <c r="B284" s="90"/>
      <c r="C284" s="91"/>
      <c r="D284" s="9"/>
      <c r="E284" s="9"/>
      <c r="I284" s="11"/>
    </row>
    <row r="285" spans="1:9" ht="18.600000000000001">
      <c r="A285" s="89"/>
      <c r="B285" s="90"/>
      <c r="C285" s="91"/>
      <c r="D285" s="9"/>
      <c r="E285" s="9"/>
      <c r="I285" s="11"/>
    </row>
    <row r="286" spans="1:9" ht="18.600000000000001">
      <c r="A286" s="89"/>
      <c r="B286" s="90"/>
      <c r="C286" s="91"/>
      <c r="D286" s="9"/>
      <c r="E286" s="9"/>
      <c r="I286" s="11"/>
    </row>
    <row r="287" spans="1:9" ht="18.600000000000001">
      <c r="A287" s="89"/>
      <c r="B287" s="90"/>
      <c r="C287" s="91"/>
      <c r="D287" s="9"/>
      <c r="E287" s="9"/>
      <c r="I287" s="11"/>
    </row>
    <row r="288" spans="1:9" ht="18.600000000000001">
      <c r="A288" s="89"/>
      <c r="B288" s="90"/>
      <c r="C288" s="91"/>
      <c r="D288" s="9"/>
      <c r="E288" s="9"/>
      <c r="I288" s="11"/>
    </row>
    <row r="289" spans="1:9" ht="18.600000000000001">
      <c r="A289" s="89"/>
      <c r="B289" s="90"/>
      <c r="C289" s="91"/>
      <c r="D289" s="9"/>
      <c r="E289" s="9"/>
      <c r="I289" s="11"/>
    </row>
    <row r="290" spans="1:9" ht="18.600000000000001">
      <c r="A290" s="89"/>
      <c r="B290" s="90"/>
      <c r="C290" s="91"/>
      <c r="D290" s="9"/>
      <c r="E290" s="9"/>
      <c r="I290" s="11"/>
    </row>
    <row r="291" spans="1:9" ht="18.600000000000001">
      <c r="A291" s="89"/>
      <c r="B291" s="90"/>
      <c r="C291" s="91"/>
      <c r="D291" s="9"/>
      <c r="E291" s="9"/>
      <c r="I291" s="11"/>
    </row>
    <row r="292" spans="1:9" ht="18.600000000000001">
      <c r="A292" s="89"/>
      <c r="B292" s="90"/>
      <c r="C292" s="91"/>
      <c r="D292" s="9"/>
      <c r="E292" s="9"/>
      <c r="I292" s="11"/>
    </row>
    <row r="293" spans="1:9" ht="18.600000000000001">
      <c r="A293" s="89"/>
      <c r="B293" s="90"/>
      <c r="C293" s="91"/>
      <c r="D293" s="9"/>
      <c r="E293" s="9"/>
      <c r="I293" s="11"/>
    </row>
    <row r="294" spans="1:9" ht="18.600000000000001">
      <c r="A294" s="89"/>
      <c r="B294" s="90"/>
      <c r="C294" s="91"/>
      <c r="D294" s="9"/>
      <c r="E294" s="9"/>
      <c r="I294" s="11"/>
    </row>
    <row r="295" spans="1:9" ht="18.600000000000001">
      <c r="A295" s="89"/>
      <c r="B295" s="90"/>
      <c r="C295" s="91"/>
      <c r="D295" s="9"/>
      <c r="E295" s="9"/>
      <c r="I295" s="11"/>
    </row>
    <row r="296" spans="1:9" ht="18.600000000000001">
      <c r="A296" s="89"/>
      <c r="B296" s="90"/>
      <c r="C296" s="91"/>
      <c r="D296" s="9"/>
      <c r="E296" s="9"/>
      <c r="I296" s="11"/>
    </row>
    <row r="297" spans="1:9" ht="18.600000000000001">
      <c r="A297" s="89"/>
      <c r="B297" s="90"/>
      <c r="C297" s="91"/>
      <c r="D297" s="9"/>
      <c r="E297" s="9"/>
      <c r="I297" s="11"/>
    </row>
    <row r="298" spans="1:9" ht="18.600000000000001">
      <c r="A298" s="89"/>
      <c r="B298" s="90"/>
      <c r="C298" s="91"/>
      <c r="D298" s="9"/>
      <c r="E298" s="9"/>
      <c r="I298" s="11"/>
    </row>
    <row r="299" spans="1:9" ht="18.600000000000001">
      <c r="A299" s="89"/>
      <c r="B299" s="90"/>
      <c r="C299" s="91"/>
      <c r="D299" s="9"/>
      <c r="E299" s="9"/>
      <c r="I299" s="11"/>
    </row>
    <row r="300" spans="1:9" ht="18.600000000000001">
      <c r="A300" s="89"/>
      <c r="B300" s="90"/>
      <c r="C300" s="91"/>
      <c r="D300" s="9"/>
      <c r="E300" s="9"/>
      <c r="I300" s="11"/>
    </row>
    <row r="301" spans="1:9" ht="18.600000000000001">
      <c r="A301" s="89"/>
      <c r="B301" s="90"/>
      <c r="C301" s="91"/>
      <c r="D301" s="9"/>
      <c r="E301" s="9"/>
      <c r="I301" s="11"/>
    </row>
    <row r="302" spans="1:9" ht="18.600000000000001">
      <c r="A302" s="89"/>
      <c r="B302" s="90"/>
      <c r="C302" s="91"/>
      <c r="D302" s="9"/>
      <c r="E302" s="9"/>
      <c r="I302" s="11"/>
    </row>
    <row r="303" spans="1:9" ht="18.600000000000001">
      <c r="A303" s="89"/>
      <c r="B303" s="90"/>
      <c r="C303" s="91"/>
      <c r="D303" s="9"/>
      <c r="E303" s="9"/>
      <c r="I303" s="11"/>
    </row>
    <row r="304" spans="1:9" ht="18.600000000000001">
      <c r="A304" s="89"/>
      <c r="B304" s="90"/>
      <c r="C304" s="91"/>
      <c r="D304" s="9"/>
      <c r="E304" s="9"/>
      <c r="I304" s="11"/>
    </row>
    <row r="305" spans="1:9" ht="18.600000000000001">
      <c r="A305" s="89"/>
      <c r="B305" s="90"/>
      <c r="C305" s="91"/>
      <c r="D305" s="9"/>
      <c r="E305" s="9"/>
      <c r="I305" s="11"/>
    </row>
    <row r="306" spans="1:9" ht="18.600000000000001">
      <c r="A306" s="89"/>
      <c r="B306" s="90"/>
      <c r="C306" s="91"/>
      <c r="D306" s="9"/>
      <c r="E306" s="9"/>
      <c r="I306" s="11"/>
    </row>
    <row r="307" spans="1:9" ht="18.600000000000001">
      <c r="A307" s="89"/>
      <c r="B307" s="90"/>
      <c r="C307" s="91"/>
      <c r="D307" s="9"/>
      <c r="E307" s="9"/>
      <c r="I307" s="11"/>
    </row>
    <row r="308" spans="1:9" ht="18.600000000000001">
      <c r="A308" s="89"/>
      <c r="B308" s="90"/>
      <c r="C308" s="91"/>
      <c r="D308" s="9"/>
      <c r="E308" s="9"/>
      <c r="I308" s="11"/>
    </row>
    <row r="309" spans="1:9" ht="18.600000000000001">
      <c r="A309" s="89"/>
      <c r="B309" s="90"/>
      <c r="C309" s="91"/>
      <c r="D309" s="9"/>
      <c r="E309" s="9"/>
      <c r="I309" s="11"/>
    </row>
    <row r="310" spans="1:9" ht="18.600000000000001">
      <c r="A310" s="89"/>
      <c r="B310" s="90"/>
      <c r="C310" s="91"/>
      <c r="D310" s="9"/>
      <c r="E310" s="9"/>
      <c r="I310" s="11"/>
    </row>
    <row r="311" spans="1:9" ht="18.600000000000001">
      <c r="A311" s="89"/>
      <c r="B311" s="90"/>
      <c r="C311" s="91"/>
      <c r="D311" s="9"/>
      <c r="E311" s="9"/>
      <c r="I311" s="11"/>
    </row>
    <row r="312" spans="1:9" ht="18.600000000000001">
      <c r="A312" s="89"/>
      <c r="B312" s="90"/>
      <c r="C312" s="91"/>
      <c r="D312" s="9"/>
      <c r="E312" s="9"/>
      <c r="I312" s="11"/>
    </row>
    <row r="313" spans="1:9" ht="18.600000000000001">
      <c r="A313" s="89"/>
      <c r="B313" s="90"/>
      <c r="C313" s="91"/>
      <c r="D313" s="9"/>
      <c r="E313" s="9"/>
      <c r="I313" s="11"/>
    </row>
    <row r="314" spans="1:9" ht="18.600000000000001">
      <c r="A314" s="89"/>
      <c r="B314" s="90"/>
      <c r="C314" s="91"/>
      <c r="D314" s="9"/>
      <c r="E314" s="9"/>
      <c r="I314" s="11"/>
    </row>
    <row r="315" spans="1:9" ht="18.600000000000001">
      <c r="A315" s="89"/>
      <c r="B315" s="90"/>
      <c r="C315" s="91"/>
      <c r="D315" s="9"/>
      <c r="E315" s="9"/>
      <c r="I315" s="11"/>
    </row>
    <row r="316" spans="1:9" ht="18.600000000000001">
      <c r="A316" s="89"/>
      <c r="B316" s="90"/>
      <c r="C316" s="91"/>
      <c r="D316" s="9"/>
      <c r="E316" s="9"/>
      <c r="I316" s="11"/>
    </row>
    <row r="317" spans="1:9" ht="18.600000000000001">
      <c r="A317" s="89"/>
      <c r="B317" s="90"/>
      <c r="C317" s="91"/>
      <c r="D317" s="9"/>
      <c r="E317" s="9"/>
      <c r="I317" s="11"/>
    </row>
    <row r="318" spans="1:9" ht="18.600000000000001">
      <c r="A318" s="89"/>
      <c r="B318" s="90"/>
      <c r="C318" s="91"/>
      <c r="D318" s="9"/>
      <c r="E318" s="9"/>
      <c r="I318" s="11"/>
    </row>
    <row r="319" spans="1:9" ht="18.600000000000001">
      <c r="A319" s="89"/>
      <c r="B319" s="90"/>
      <c r="C319" s="91"/>
      <c r="D319" s="9"/>
      <c r="E319" s="9"/>
      <c r="I319" s="11"/>
    </row>
    <row r="320" spans="1:9" ht="18.600000000000001">
      <c r="A320" s="89"/>
      <c r="B320" s="90"/>
      <c r="C320" s="91"/>
      <c r="D320" s="9"/>
      <c r="E320" s="9"/>
      <c r="I320" s="11"/>
    </row>
    <row r="321" spans="1:9" ht="18.600000000000001">
      <c r="A321" s="89"/>
      <c r="B321" s="90"/>
      <c r="C321" s="91"/>
      <c r="D321" s="9"/>
      <c r="E321" s="9"/>
      <c r="I321" s="11"/>
    </row>
    <row r="322" spans="1:9" ht="18.600000000000001">
      <c r="A322" s="89"/>
      <c r="B322" s="90"/>
      <c r="C322" s="91"/>
      <c r="D322" s="9"/>
      <c r="E322" s="9"/>
      <c r="I322" s="11"/>
    </row>
    <row r="323" spans="1:9" ht="18.600000000000001">
      <c r="A323" s="89"/>
      <c r="B323" s="90"/>
      <c r="C323" s="91"/>
      <c r="D323" s="9"/>
      <c r="E323" s="9"/>
      <c r="I323" s="11"/>
    </row>
    <row r="324" spans="1:9" ht="18.600000000000001">
      <c r="A324" s="89"/>
      <c r="B324" s="90"/>
      <c r="C324" s="91"/>
      <c r="D324" s="9"/>
      <c r="E324" s="9"/>
      <c r="I324" s="11"/>
    </row>
    <row r="325" spans="1:9" ht="18.600000000000001">
      <c r="A325" s="89"/>
      <c r="B325" s="90"/>
      <c r="C325" s="91"/>
      <c r="D325" s="9"/>
      <c r="E325" s="9"/>
      <c r="I325" s="11"/>
    </row>
    <row r="326" spans="1:9" ht="18.600000000000001">
      <c r="A326" s="89"/>
      <c r="B326" s="90"/>
      <c r="C326" s="91"/>
      <c r="D326" s="9"/>
      <c r="E326" s="9"/>
      <c r="I326" s="11"/>
    </row>
    <row r="327" spans="1:9" ht="18.600000000000001">
      <c r="A327" s="89"/>
      <c r="B327" s="90"/>
      <c r="C327" s="91"/>
      <c r="D327" s="9"/>
      <c r="E327" s="9"/>
      <c r="I327" s="11"/>
    </row>
    <row r="328" spans="1:9" ht="18.600000000000001">
      <c r="A328" s="89"/>
      <c r="B328" s="90"/>
      <c r="C328" s="91"/>
      <c r="D328" s="9"/>
      <c r="E328" s="9"/>
      <c r="I328" s="11"/>
    </row>
    <row r="329" spans="1:9" ht="18.600000000000001">
      <c r="A329" s="89"/>
      <c r="B329" s="90"/>
      <c r="C329" s="91"/>
      <c r="D329" s="9"/>
      <c r="E329" s="9"/>
      <c r="I329" s="11"/>
    </row>
    <row r="330" spans="1:9" ht="18.600000000000001">
      <c r="A330" s="89"/>
      <c r="B330" s="90"/>
      <c r="C330" s="91"/>
      <c r="D330" s="9"/>
      <c r="E330" s="9"/>
      <c r="I330" s="11"/>
    </row>
    <row r="331" spans="1:9" ht="18.600000000000001">
      <c r="A331" s="89"/>
      <c r="B331" s="90"/>
      <c r="C331" s="91"/>
      <c r="D331" s="9"/>
      <c r="E331" s="9"/>
      <c r="I331" s="11"/>
    </row>
    <row r="332" spans="1:9" ht="18.600000000000001">
      <c r="A332" s="89"/>
      <c r="B332" s="90"/>
      <c r="C332" s="91"/>
      <c r="D332" s="9"/>
      <c r="E332" s="9"/>
      <c r="I332" s="11"/>
    </row>
    <row r="333" spans="1:9" ht="18.600000000000001">
      <c r="A333" s="89"/>
      <c r="B333" s="90"/>
      <c r="C333" s="91"/>
      <c r="D333" s="9"/>
      <c r="E333" s="9"/>
      <c r="I333" s="11"/>
    </row>
    <row r="334" spans="1:9" ht="18.600000000000001">
      <c r="A334" s="89"/>
      <c r="B334" s="90"/>
      <c r="C334" s="91"/>
      <c r="D334" s="9"/>
      <c r="E334" s="9"/>
      <c r="I334" s="11"/>
    </row>
    <row r="335" spans="1:9" ht="18.600000000000001">
      <c r="A335" s="89"/>
      <c r="B335" s="90"/>
      <c r="C335" s="91"/>
      <c r="D335" s="9"/>
      <c r="E335" s="9"/>
      <c r="I335" s="11"/>
    </row>
    <row r="336" spans="1:9" ht="18.600000000000001">
      <c r="A336" s="89"/>
      <c r="B336" s="90"/>
      <c r="C336" s="91"/>
      <c r="D336" s="9"/>
      <c r="E336" s="9"/>
      <c r="I336" s="11"/>
    </row>
    <row r="337" spans="1:9" ht="18.600000000000001">
      <c r="A337" s="89"/>
      <c r="B337" s="90"/>
      <c r="C337" s="91"/>
      <c r="D337" s="9"/>
      <c r="E337" s="9"/>
      <c r="I337" s="11"/>
    </row>
    <row r="338" spans="1:9" ht="18.600000000000001">
      <c r="A338" s="89"/>
      <c r="B338" s="90"/>
      <c r="C338" s="91"/>
      <c r="D338" s="9"/>
      <c r="E338" s="9"/>
      <c r="I338" s="11"/>
    </row>
    <row r="339" spans="1:9" ht="18.600000000000001">
      <c r="A339" s="89"/>
      <c r="B339" s="90"/>
      <c r="C339" s="91"/>
      <c r="D339" s="9"/>
      <c r="E339" s="9"/>
      <c r="I339" s="11"/>
    </row>
    <row r="340" spans="1:9" ht="18.600000000000001">
      <c r="A340" s="89"/>
      <c r="B340" s="90"/>
      <c r="C340" s="91"/>
      <c r="D340" s="9"/>
      <c r="E340" s="9"/>
      <c r="I340" s="11"/>
    </row>
    <row r="341" spans="1:9" ht="18.600000000000001">
      <c r="A341" s="89"/>
      <c r="B341" s="90"/>
      <c r="C341" s="91"/>
      <c r="D341" s="9"/>
      <c r="E341" s="9"/>
      <c r="I341" s="11"/>
    </row>
    <row r="342" spans="1:9" ht="18.600000000000001">
      <c r="A342" s="89"/>
      <c r="B342" s="90"/>
      <c r="C342" s="91"/>
      <c r="D342" s="9"/>
      <c r="E342" s="9"/>
      <c r="I342" s="11"/>
    </row>
    <row r="343" spans="1:9" ht="18.600000000000001">
      <c r="A343" s="89"/>
      <c r="B343" s="90"/>
      <c r="C343" s="91"/>
      <c r="D343" s="9"/>
      <c r="E343" s="9"/>
      <c r="I343" s="11"/>
    </row>
    <row r="344" spans="1:9" ht="18.600000000000001">
      <c r="A344" s="89"/>
      <c r="B344" s="90"/>
      <c r="C344" s="91"/>
      <c r="D344" s="9"/>
      <c r="E344" s="9"/>
      <c r="I344" s="11"/>
    </row>
    <row r="345" spans="1:9" ht="18.600000000000001">
      <c r="A345" s="89"/>
      <c r="B345" s="90"/>
      <c r="C345" s="91"/>
      <c r="D345" s="9"/>
      <c r="E345" s="9"/>
      <c r="I345" s="11"/>
    </row>
    <row r="346" spans="1:9" ht="18.600000000000001">
      <c r="A346" s="89"/>
      <c r="B346" s="90"/>
      <c r="C346" s="91"/>
      <c r="D346" s="9"/>
      <c r="E346" s="9"/>
      <c r="I346" s="11"/>
    </row>
    <row r="347" spans="1:9" ht="18.600000000000001">
      <c r="A347" s="89"/>
      <c r="B347" s="90"/>
      <c r="C347" s="91"/>
      <c r="D347" s="9"/>
      <c r="E347" s="9"/>
      <c r="I347" s="11"/>
    </row>
    <row r="348" spans="1:9" ht="18.600000000000001">
      <c r="A348" s="89"/>
      <c r="B348" s="90"/>
      <c r="C348" s="91"/>
      <c r="D348" s="9"/>
      <c r="E348" s="9"/>
      <c r="I348" s="11"/>
    </row>
    <row r="349" spans="1:9" ht="18.600000000000001">
      <c r="A349" s="89"/>
      <c r="B349" s="90"/>
      <c r="C349" s="91"/>
      <c r="D349" s="9"/>
      <c r="E349" s="9"/>
      <c r="I349" s="11"/>
    </row>
    <row r="350" spans="1:9" ht="18.600000000000001">
      <c r="A350" s="89"/>
      <c r="B350" s="90"/>
      <c r="C350" s="91"/>
      <c r="D350" s="9"/>
      <c r="E350" s="9"/>
      <c r="I350" s="11"/>
    </row>
    <row r="351" spans="1:9" ht="18.600000000000001">
      <c r="A351" s="89"/>
      <c r="B351" s="90"/>
      <c r="C351" s="91"/>
      <c r="D351" s="9"/>
      <c r="E351" s="9"/>
      <c r="I351" s="11"/>
    </row>
    <row r="352" spans="1:9" ht="18.600000000000001">
      <c r="A352" s="89"/>
      <c r="B352" s="90"/>
      <c r="C352" s="91"/>
      <c r="D352" s="9"/>
      <c r="E352" s="9"/>
      <c r="I352" s="11"/>
    </row>
    <row r="353" spans="1:9" ht="18.600000000000001">
      <c r="A353" s="89"/>
      <c r="B353" s="90"/>
      <c r="C353" s="91"/>
      <c r="D353" s="9"/>
      <c r="E353" s="9"/>
      <c r="I353" s="11"/>
    </row>
    <row r="354" spans="1:9" ht="18.600000000000001">
      <c r="A354" s="89"/>
      <c r="B354" s="90"/>
      <c r="C354" s="91"/>
      <c r="D354" s="9"/>
      <c r="E354" s="9"/>
      <c r="I354" s="11"/>
    </row>
    <row r="355" spans="1:9" ht="18.600000000000001">
      <c r="A355" s="89"/>
      <c r="B355" s="90"/>
      <c r="C355" s="91"/>
      <c r="D355" s="9"/>
      <c r="E355" s="9"/>
      <c r="I355" s="11"/>
    </row>
    <row r="356" spans="1:9" ht="18.600000000000001">
      <c r="A356" s="89"/>
      <c r="B356" s="90"/>
      <c r="C356" s="91"/>
      <c r="D356" s="9"/>
      <c r="E356" s="9"/>
      <c r="I356" s="11"/>
    </row>
    <row r="357" spans="1:9" ht="18.600000000000001">
      <c r="A357" s="89"/>
      <c r="B357" s="90"/>
      <c r="C357" s="91"/>
      <c r="D357" s="9"/>
      <c r="E357" s="9"/>
      <c r="I357" s="11"/>
    </row>
    <row r="358" spans="1:9" ht="18.600000000000001">
      <c r="A358" s="89"/>
      <c r="B358" s="90"/>
      <c r="C358" s="91"/>
      <c r="D358" s="9"/>
      <c r="E358" s="9"/>
      <c r="I358" s="11"/>
    </row>
    <row r="359" spans="1:9" ht="18.600000000000001">
      <c r="A359" s="89"/>
      <c r="B359" s="90"/>
      <c r="C359" s="91"/>
      <c r="D359" s="9"/>
      <c r="E359" s="9"/>
      <c r="I359" s="11"/>
    </row>
    <row r="360" spans="1:9" ht="18.600000000000001">
      <c r="A360" s="89"/>
      <c r="B360" s="90"/>
      <c r="C360" s="91"/>
      <c r="D360" s="9"/>
      <c r="E360" s="9"/>
      <c r="I360" s="11"/>
    </row>
    <row r="361" spans="1:9" ht="18.600000000000001">
      <c r="A361" s="89"/>
      <c r="B361" s="90"/>
      <c r="C361" s="91"/>
      <c r="D361" s="9"/>
      <c r="E361" s="9"/>
      <c r="I361" s="11"/>
    </row>
    <row r="362" spans="1:9" ht="18.600000000000001">
      <c r="A362" s="89"/>
      <c r="B362" s="90"/>
      <c r="C362" s="91"/>
      <c r="D362" s="9"/>
      <c r="E362" s="9"/>
      <c r="I362" s="11"/>
    </row>
    <row r="363" spans="1:9" ht="18.600000000000001">
      <c r="A363" s="89"/>
      <c r="B363" s="90"/>
      <c r="C363" s="91"/>
      <c r="D363" s="9"/>
      <c r="E363" s="9"/>
      <c r="I363" s="11"/>
    </row>
    <row r="364" spans="1:9" ht="18.600000000000001">
      <c r="A364" s="89"/>
      <c r="B364" s="90"/>
      <c r="C364" s="91"/>
      <c r="D364" s="9"/>
      <c r="E364" s="9"/>
      <c r="I364" s="11"/>
    </row>
    <row r="365" spans="1:9" ht="18.600000000000001">
      <c r="A365" s="89"/>
      <c r="B365" s="90"/>
      <c r="C365" s="91"/>
      <c r="D365" s="9"/>
      <c r="E365" s="9"/>
      <c r="I365" s="11"/>
    </row>
    <row r="366" spans="1:9" ht="18.600000000000001">
      <c r="A366" s="89"/>
      <c r="B366" s="90"/>
      <c r="C366" s="91"/>
      <c r="D366" s="9"/>
      <c r="E366" s="9"/>
      <c r="I366" s="11"/>
    </row>
    <row r="367" spans="1:9" ht="18.600000000000001">
      <c r="A367" s="89"/>
      <c r="B367" s="90"/>
      <c r="C367" s="91"/>
      <c r="D367" s="9"/>
      <c r="E367" s="9"/>
      <c r="I367" s="11"/>
    </row>
    <row r="368" spans="1:9" ht="18.600000000000001">
      <c r="A368" s="89"/>
      <c r="B368" s="90"/>
      <c r="C368" s="91"/>
      <c r="D368" s="9"/>
      <c r="E368" s="9"/>
      <c r="I368" s="11"/>
    </row>
    <row r="369" spans="1:9" ht="18.600000000000001">
      <c r="A369" s="89"/>
      <c r="B369" s="90"/>
      <c r="C369" s="91"/>
      <c r="D369" s="9"/>
      <c r="E369" s="9"/>
      <c r="I369" s="11"/>
    </row>
    <row r="370" spans="1:9" ht="18.600000000000001">
      <c r="A370" s="89"/>
      <c r="B370" s="90"/>
      <c r="C370" s="91"/>
      <c r="D370" s="9"/>
      <c r="E370" s="9"/>
      <c r="I370" s="11"/>
    </row>
    <row r="371" spans="1:9" ht="18.600000000000001">
      <c r="A371" s="89"/>
      <c r="B371" s="90"/>
      <c r="C371" s="91"/>
      <c r="D371" s="9"/>
      <c r="E371" s="9"/>
      <c r="I371" s="11"/>
    </row>
    <row r="372" spans="1:9" ht="18.600000000000001">
      <c r="A372" s="89"/>
      <c r="B372" s="90"/>
      <c r="C372" s="91"/>
      <c r="D372" s="9"/>
      <c r="E372" s="9"/>
      <c r="I372" s="11"/>
    </row>
    <row r="373" spans="1:9" ht="18.600000000000001">
      <c r="A373" s="89"/>
      <c r="B373" s="90"/>
      <c r="C373" s="91"/>
      <c r="D373" s="9"/>
      <c r="E373" s="9"/>
      <c r="I373" s="11"/>
    </row>
    <row r="374" spans="1:9" ht="18.600000000000001">
      <c r="A374" s="89"/>
      <c r="B374" s="90"/>
      <c r="C374" s="91"/>
      <c r="D374" s="9"/>
      <c r="E374" s="9"/>
      <c r="I374" s="11"/>
    </row>
    <row r="375" spans="1:9" ht="18.600000000000001">
      <c r="A375" s="89"/>
      <c r="B375" s="90"/>
      <c r="C375" s="91"/>
      <c r="D375" s="9"/>
      <c r="E375" s="9"/>
      <c r="I375" s="11"/>
    </row>
    <row r="376" spans="1:9" ht="18.600000000000001">
      <c r="A376" s="89"/>
      <c r="B376" s="90"/>
      <c r="C376" s="91"/>
      <c r="D376" s="9"/>
      <c r="E376" s="9"/>
      <c r="I376" s="11"/>
    </row>
    <row r="377" spans="1:9" ht="18.600000000000001">
      <c r="A377" s="89"/>
      <c r="B377" s="90"/>
      <c r="C377" s="91"/>
      <c r="D377" s="9"/>
      <c r="E377" s="9"/>
      <c r="I377" s="11"/>
    </row>
    <row r="378" spans="1:9" ht="18.600000000000001">
      <c r="A378" s="89"/>
      <c r="B378" s="90"/>
      <c r="C378" s="91"/>
      <c r="D378" s="9"/>
      <c r="E378" s="9"/>
      <c r="I378" s="11"/>
    </row>
    <row r="379" spans="1:9" ht="18.600000000000001">
      <c r="A379" s="89"/>
      <c r="B379" s="90"/>
      <c r="C379" s="91"/>
      <c r="D379" s="9"/>
      <c r="E379" s="9"/>
      <c r="I379" s="11"/>
    </row>
    <row r="380" spans="1:9" ht="18.600000000000001">
      <c r="A380" s="89"/>
      <c r="B380" s="90"/>
      <c r="C380" s="91"/>
      <c r="D380" s="9"/>
      <c r="E380" s="9"/>
      <c r="I380" s="11"/>
    </row>
    <row r="381" spans="1:9" ht="18.600000000000001">
      <c r="A381" s="89"/>
      <c r="B381" s="90"/>
      <c r="C381" s="91"/>
      <c r="D381" s="9"/>
      <c r="E381" s="9"/>
      <c r="I381" s="11"/>
    </row>
    <row r="382" spans="1:9" ht="18.600000000000001">
      <c r="A382" s="89"/>
      <c r="B382" s="90"/>
      <c r="C382" s="91"/>
      <c r="D382" s="9"/>
      <c r="E382" s="9"/>
      <c r="I382" s="11"/>
    </row>
    <row r="383" spans="1:9" ht="18.600000000000001">
      <c r="A383" s="89"/>
      <c r="B383" s="90"/>
      <c r="C383" s="91"/>
      <c r="D383" s="9"/>
      <c r="E383" s="9"/>
      <c r="I383" s="11"/>
    </row>
    <row r="384" spans="1:9" ht="18.600000000000001">
      <c r="A384" s="89"/>
      <c r="B384" s="90"/>
      <c r="C384" s="91"/>
      <c r="D384" s="9"/>
      <c r="E384" s="9"/>
      <c r="I384" s="11"/>
    </row>
    <row r="385" spans="1:9" ht="18.600000000000001">
      <c r="A385" s="89"/>
      <c r="B385" s="90"/>
      <c r="C385" s="91"/>
      <c r="D385" s="9"/>
      <c r="E385" s="9"/>
      <c r="I385" s="11"/>
    </row>
    <row r="386" spans="1:9" ht="18.600000000000001">
      <c r="A386" s="89"/>
      <c r="B386" s="90"/>
      <c r="C386" s="91"/>
      <c r="D386" s="9"/>
      <c r="E386" s="9"/>
      <c r="I386" s="11"/>
    </row>
    <row r="387" spans="1:9" ht="18.600000000000001">
      <c r="A387" s="89"/>
      <c r="B387" s="90"/>
      <c r="C387" s="91"/>
      <c r="D387" s="9"/>
      <c r="E387" s="9"/>
      <c r="I387" s="11"/>
    </row>
    <row r="388" spans="1:9" ht="18.600000000000001">
      <c r="A388" s="89"/>
      <c r="B388" s="90"/>
      <c r="C388" s="91"/>
      <c r="D388" s="9"/>
      <c r="E388" s="9"/>
      <c r="I388" s="11"/>
    </row>
    <row r="389" spans="1:9" ht="18.600000000000001">
      <c r="A389" s="89"/>
      <c r="B389" s="90"/>
      <c r="C389" s="91"/>
      <c r="D389" s="9"/>
      <c r="E389" s="9"/>
      <c r="I389" s="11"/>
    </row>
    <row r="390" spans="1:9" ht="18.600000000000001">
      <c r="A390" s="89"/>
      <c r="B390" s="90"/>
      <c r="C390" s="91"/>
      <c r="D390" s="9"/>
      <c r="E390" s="9"/>
      <c r="I390" s="11"/>
    </row>
    <row r="391" spans="1:9" ht="18.600000000000001">
      <c r="A391" s="89"/>
      <c r="B391" s="90"/>
      <c r="C391" s="91"/>
      <c r="D391" s="9"/>
      <c r="E391" s="9"/>
      <c r="I391" s="11"/>
    </row>
    <row r="392" spans="1:9" ht="18.600000000000001">
      <c r="A392" s="89"/>
      <c r="B392" s="90"/>
      <c r="C392" s="91"/>
      <c r="D392" s="9"/>
      <c r="E392" s="9"/>
      <c r="I392" s="11"/>
    </row>
    <row r="393" spans="1:9" ht="18.600000000000001">
      <c r="A393" s="89"/>
      <c r="B393" s="90"/>
      <c r="C393" s="91"/>
      <c r="D393" s="9"/>
      <c r="E393" s="9"/>
      <c r="I393" s="11"/>
    </row>
    <row r="394" spans="1:9" ht="18.600000000000001">
      <c r="A394" s="89"/>
      <c r="B394" s="90"/>
      <c r="C394" s="91"/>
      <c r="D394" s="9"/>
      <c r="E394" s="9"/>
      <c r="I394" s="11"/>
    </row>
    <row r="395" spans="1:9" ht="18.600000000000001">
      <c r="A395" s="89"/>
      <c r="B395" s="90"/>
      <c r="C395" s="91"/>
      <c r="D395" s="9"/>
      <c r="E395" s="9"/>
      <c r="I395" s="11"/>
    </row>
    <row r="396" spans="1:9" ht="18.600000000000001">
      <c r="A396" s="89"/>
      <c r="B396" s="90"/>
      <c r="C396" s="91"/>
      <c r="D396" s="9"/>
      <c r="E396" s="9"/>
      <c r="I396" s="11"/>
    </row>
    <row r="397" spans="1:9" ht="18.600000000000001">
      <c r="A397" s="89"/>
      <c r="B397" s="90"/>
      <c r="C397" s="91"/>
      <c r="D397" s="9"/>
      <c r="E397" s="9"/>
      <c r="I397" s="11"/>
    </row>
    <row r="398" spans="1:9" ht="18.600000000000001">
      <c r="A398" s="89"/>
      <c r="B398" s="90"/>
      <c r="C398" s="91"/>
      <c r="D398" s="9"/>
      <c r="E398" s="9"/>
      <c r="I398" s="11"/>
    </row>
    <row r="399" spans="1:9" ht="18.600000000000001">
      <c r="A399" s="89"/>
      <c r="B399" s="90"/>
      <c r="C399" s="91"/>
      <c r="D399" s="9"/>
      <c r="E399" s="9"/>
      <c r="I399" s="11"/>
    </row>
    <row r="400" spans="1:9" ht="18.600000000000001">
      <c r="A400" s="89"/>
      <c r="B400" s="90"/>
      <c r="C400" s="91"/>
      <c r="D400" s="9"/>
      <c r="E400" s="9"/>
      <c r="I400" s="11"/>
    </row>
    <row r="401" spans="1:9" ht="18.600000000000001">
      <c r="A401" s="89"/>
      <c r="B401" s="90"/>
      <c r="C401" s="91"/>
      <c r="D401" s="9"/>
      <c r="E401" s="9"/>
      <c r="I401" s="11"/>
    </row>
    <row r="402" spans="1:9" ht="18.600000000000001">
      <c r="A402" s="89"/>
      <c r="B402" s="90"/>
      <c r="C402" s="91"/>
      <c r="D402" s="9"/>
      <c r="E402" s="9"/>
      <c r="I402" s="11"/>
    </row>
    <row r="403" spans="1:9" ht="18.600000000000001">
      <c r="A403" s="89"/>
      <c r="B403" s="90"/>
      <c r="C403" s="91"/>
      <c r="D403" s="9"/>
      <c r="E403" s="9"/>
      <c r="I403" s="11"/>
    </row>
    <row r="404" spans="1:9" ht="18.600000000000001">
      <c r="A404" s="89"/>
      <c r="B404" s="90"/>
      <c r="C404" s="91"/>
      <c r="D404" s="9"/>
      <c r="E404" s="9"/>
      <c r="I404" s="11"/>
    </row>
    <row r="405" spans="1:9" ht="18.600000000000001">
      <c r="A405" s="89"/>
      <c r="B405" s="90"/>
      <c r="C405" s="91"/>
      <c r="D405" s="9"/>
      <c r="E405" s="9"/>
      <c r="I405" s="11"/>
    </row>
    <row r="406" spans="1:9" ht="18.600000000000001">
      <c r="A406" s="89"/>
      <c r="B406" s="90"/>
      <c r="C406" s="91"/>
      <c r="D406" s="9"/>
      <c r="E406" s="9"/>
      <c r="I406" s="11"/>
    </row>
    <row r="407" spans="1:9" ht="18.600000000000001">
      <c r="A407" s="89"/>
      <c r="B407" s="90"/>
      <c r="C407" s="91"/>
      <c r="D407" s="9"/>
      <c r="E407" s="9"/>
      <c r="I407" s="11"/>
    </row>
    <row r="408" spans="1:9" ht="18.600000000000001">
      <c r="A408" s="89"/>
      <c r="B408" s="90"/>
      <c r="C408" s="91"/>
      <c r="D408" s="9"/>
      <c r="E408" s="9"/>
      <c r="I408" s="11"/>
    </row>
    <row r="409" spans="1:9" ht="18.600000000000001">
      <c r="A409" s="89"/>
      <c r="B409" s="90"/>
      <c r="C409" s="91"/>
      <c r="D409" s="9"/>
      <c r="E409" s="9"/>
      <c r="I409" s="11"/>
    </row>
    <row r="410" spans="1:9" ht="18.600000000000001">
      <c r="A410" s="89"/>
      <c r="B410" s="90"/>
      <c r="C410" s="91"/>
      <c r="D410" s="9"/>
      <c r="E410" s="9"/>
      <c r="I410" s="11"/>
    </row>
    <row r="411" spans="1:9" ht="18.600000000000001">
      <c r="A411" s="89"/>
      <c r="B411" s="90"/>
      <c r="C411" s="91"/>
      <c r="D411" s="9"/>
      <c r="E411" s="9"/>
      <c r="I411" s="11"/>
    </row>
    <row r="412" spans="1:9" ht="18.600000000000001">
      <c r="A412" s="89"/>
      <c r="B412" s="90"/>
      <c r="C412" s="91"/>
      <c r="D412" s="9"/>
      <c r="E412" s="9"/>
      <c r="I412" s="11"/>
    </row>
    <row r="413" spans="1:9" ht="18.600000000000001">
      <c r="A413" s="89"/>
      <c r="B413" s="90"/>
      <c r="C413" s="91"/>
      <c r="D413" s="9"/>
      <c r="E413" s="9"/>
      <c r="I413" s="11"/>
    </row>
    <row r="414" spans="1:9" ht="18.600000000000001">
      <c r="A414" s="89"/>
      <c r="B414" s="90"/>
      <c r="C414" s="91"/>
      <c r="D414" s="9"/>
      <c r="E414" s="9"/>
      <c r="I414" s="11"/>
    </row>
    <row r="415" spans="1:9" ht="18.600000000000001">
      <c r="A415" s="89"/>
      <c r="B415" s="90"/>
      <c r="C415" s="91"/>
      <c r="D415" s="9"/>
      <c r="E415" s="9"/>
      <c r="I415" s="11"/>
    </row>
    <row r="416" spans="1:9" ht="18.600000000000001">
      <c r="A416" s="89"/>
      <c r="B416" s="90"/>
      <c r="C416" s="91"/>
      <c r="D416" s="9"/>
      <c r="E416" s="9"/>
      <c r="I416" s="11"/>
    </row>
    <row r="417" spans="1:9" ht="18.600000000000001">
      <c r="A417" s="89"/>
      <c r="B417" s="90"/>
      <c r="C417" s="91"/>
      <c r="D417" s="9"/>
      <c r="E417" s="9"/>
      <c r="I417" s="11"/>
    </row>
    <row r="418" spans="1:9" ht="18.600000000000001">
      <c r="A418" s="89"/>
      <c r="B418" s="90"/>
      <c r="C418" s="91"/>
      <c r="D418" s="9"/>
      <c r="E418" s="9"/>
      <c r="I418" s="11"/>
    </row>
    <row r="419" spans="1:9" ht="18.600000000000001">
      <c r="A419" s="89"/>
      <c r="B419" s="90"/>
      <c r="C419" s="91"/>
      <c r="D419" s="9"/>
      <c r="E419" s="9"/>
      <c r="I419" s="11"/>
    </row>
    <row r="420" spans="1:9" ht="18.600000000000001">
      <c r="A420" s="89"/>
      <c r="B420" s="90"/>
      <c r="C420" s="91"/>
      <c r="D420" s="9"/>
      <c r="E420" s="9"/>
      <c r="I420" s="11"/>
    </row>
    <row r="421" spans="1:9" ht="18.600000000000001">
      <c r="A421" s="89"/>
      <c r="B421" s="90"/>
      <c r="C421" s="91"/>
      <c r="D421" s="9"/>
      <c r="E421" s="9"/>
      <c r="I421" s="11"/>
    </row>
    <row r="422" spans="1:9" ht="18.600000000000001">
      <c r="A422" s="89"/>
      <c r="B422" s="90"/>
      <c r="C422" s="91"/>
      <c r="D422" s="9"/>
      <c r="E422" s="9"/>
      <c r="I422" s="11"/>
    </row>
    <row r="423" spans="1:9" ht="18.600000000000001">
      <c r="A423" s="89"/>
      <c r="B423" s="90"/>
      <c r="C423" s="91"/>
      <c r="D423" s="9"/>
      <c r="E423" s="9"/>
      <c r="I423" s="11"/>
    </row>
    <row r="424" spans="1:9" ht="18.600000000000001">
      <c r="A424" s="89"/>
      <c r="B424" s="90"/>
      <c r="C424" s="91"/>
      <c r="D424" s="9"/>
      <c r="E424" s="9"/>
      <c r="I424" s="11"/>
    </row>
    <row r="425" spans="1:9" ht="18.600000000000001">
      <c r="A425" s="89"/>
      <c r="B425" s="90"/>
      <c r="C425" s="91"/>
      <c r="D425" s="9"/>
      <c r="E425" s="9"/>
      <c r="I425" s="11"/>
    </row>
    <row r="426" spans="1:9" ht="18.600000000000001">
      <c r="A426" s="89"/>
      <c r="B426" s="90"/>
      <c r="C426" s="91"/>
      <c r="D426" s="9"/>
      <c r="E426" s="9"/>
      <c r="I426" s="11"/>
    </row>
    <row r="427" spans="1:9" ht="18.600000000000001">
      <c r="A427" s="89"/>
      <c r="B427" s="90"/>
      <c r="C427" s="91"/>
      <c r="D427" s="9"/>
      <c r="E427" s="9"/>
      <c r="I427" s="11"/>
    </row>
    <row r="428" spans="1:9" ht="18.600000000000001">
      <c r="A428" s="89"/>
      <c r="B428" s="90"/>
      <c r="C428" s="91"/>
      <c r="D428" s="9"/>
      <c r="E428" s="9"/>
      <c r="I428" s="11"/>
    </row>
    <row r="429" spans="1:9" ht="18.600000000000001">
      <c r="A429" s="89"/>
      <c r="B429" s="90"/>
      <c r="C429" s="91"/>
      <c r="D429" s="9"/>
      <c r="E429" s="9"/>
      <c r="I429" s="11"/>
    </row>
    <row r="430" spans="1:9" ht="18.600000000000001">
      <c r="A430" s="89"/>
      <c r="B430" s="90"/>
      <c r="C430" s="91"/>
      <c r="D430" s="9"/>
      <c r="E430" s="9"/>
      <c r="I430" s="11"/>
    </row>
    <row r="431" spans="1:9" ht="18.600000000000001">
      <c r="A431" s="89"/>
      <c r="B431" s="90"/>
      <c r="C431" s="91"/>
      <c r="D431" s="9"/>
      <c r="E431" s="9"/>
      <c r="I431" s="11"/>
    </row>
    <row r="432" spans="1:9" ht="18.600000000000001">
      <c r="A432" s="89"/>
      <c r="B432" s="90"/>
      <c r="C432" s="91"/>
      <c r="D432" s="9"/>
      <c r="E432" s="9"/>
      <c r="I432" s="11"/>
    </row>
    <row r="433" spans="1:9" ht="18.600000000000001">
      <c r="A433" s="89"/>
      <c r="B433" s="90"/>
      <c r="C433" s="91"/>
      <c r="D433" s="9"/>
      <c r="E433" s="9"/>
      <c r="I433" s="11"/>
    </row>
    <row r="434" spans="1:9" ht="18.600000000000001">
      <c r="A434" s="89"/>
      <c r="B434" s="90"/>
      <c r="C434" s="91"/>
      <c r="D434" s="9"/>
      <c r="E434" s="9"/>
      <c r="I434" s="11"/>
    </row>
    <row r="435" spans="1:9" ht="18.600000000000001">
      <c r="A435" s="89"/>
      <c r="B435" s="90"/>
      <c r="C435" s="91"/>
      <c r="D435" s="9"/>
      <c r="E435" s="9"/>
      <c r="I435" s="11"/>
    </row>
    <row r="436" spans="1:9" ht="18.600000000000001">
      <c r="A436" s="89"/>
      <c r="B436" s="90"/>
      <c r="C436" s="91"/>
      <c r="D436" s="9"/>
      <c r="E436" s="9"/>
      <c r="I436" s="11"/>
    </row>
    <row r="437" spans="1:9" ht="18.600000000000001">
      <c r="A437" s="89"/>
      <c r="B437" s="90"/>
      <c r="C437" s="91"/>
      <c r="D437" s="9"/>
      <c r="E437" s="9"/>
      <c r="I437" s="11"/>
    </row>
    <row r="438" spans="1:9" ht="18.600000000000001">
      <c r="A438" s="89"/>
      <c r="B438" s="90"/>
      <c r="C438" s="91"/>
      <c r="D438" s="9"/>
      <c r="E438" s="9"/>
      <c r="I438" s="11"/>
    </row>
    <row r="439" spans="1:9" ht="18.600000000000001">
      <c r="A439" s="89"/>
      <c r="B439" s="90"/>
      <c r="C439" s="91"/>
      <c r="D439" s="9"/>
      <c r="E439" s="9"/>
      <c r="I439" s="11"/>
    </row>
    <row r="440" spans="1:9" ht="18.600000000000001">
      <c r="A440" s="89"/>
      <c r="B440" s="90"/>
      <c r="C440" s="91"/>
      <c r="D440" s="9"/>
      <c r="E440" s="9"/>
      <c r="I440" s="11"/>
    </row>
    <row r="441" spans="1:9" ht="18.600000000000001">
      <c r="A441" s="89"/>
      <c r="B441" s="90"/>
      <c r="C441" s="91"/>
      <c r="D441" s="9"/>
      <c r="E441" s="9"/>
      <c r="I441" s="11"/>
    </row>
    <row r="442" spans="1:9" ht="18.600000000000001">
      <c r="A442" s="89"/>
      <c r="B442" s="90"/>
      <c r="C442" s="91"/>
      <c r="D442" s="9"/>
      <c r="E442" s="9"/>
      <c r="I442" s="11"/>
    </row>
    <row r="443" spans="1:9" ht="18.600000000000001">
      <c r="A443" s="89"/>
      <c r="B443" s="90"/>
      <c r="C443" s="91"/>
      <c r="D443" s="9"/>
      <c r="E443" s="9"/>
      <c r="I443" s="11"/>
    </row>
    <row r="444" spans="1:9" ht="18.600000000000001">
      <c r="A444" s="89"/>
      <c r="B444" s="90"/>
      <c r="C444" s="91"/>
      <c r="D444" s="9"/>
      <c r="E444" s="9"/>
      <c r="I444" s="11"/>
    </row>
    <row r="445" spans="1:9" ht="18.600000000000001">
      <c r="A445" s="89"/>
      <c r="B445" s="90"/>
      <c r="C445" s="91"/>
      <c r="D445" s="9"/>
      <c r="E445" s="9"/>
      <c r="I445" s="11"/>
    </row>
    <row r="446" spans="1:9" ht="18.600000000000001">
      <c r="A446" s="89"/>
      <c r="B446" s="90"/>
      <c r="C446" s="91"/>
      <c r="D446" s="9"/>
      <c r="E446" s="9"/>
      <c r="I446" s="11"/>
    </row>
    <row r="447" spans="1:9" ht="18.600000000000001">
      <c r="A447" s="89"/>
      <c r="B447" s="90"/>
      <c r="C447" s="91"/>
      <c r="D447" s="9"/>
      <c r="E447" s="9"/>
      <c r="I447" s="11"/>
    </row>
    <row r="448" spans="1:9" ht="18.600000000000001">
      <c r="A448" s="89"/>
      <c r="B448" s="90"/>
      <c r="C448" s="91"/>
      <c r="D448" s="9"/>
      <c r="E448" s="9"/>
      <c r="I448" s="11"/>
    </row>
    <row r="449" spans="1:9" ht="18.600000000000001">
      <c r="A449" s="89"/>
      <c r="B449" s="90"/>
      <c r="C449" s="91"/>
      <c r="D449" s="9"/>
      <c r="E449" s="9"/>
      <c r="I449" s="11"/>
    </row>
    <row r="450" spans="1:9" ht="18.600000000000001">
      <c r="A450" s="89"/>
      <c r="B450" s="90"/>
      <c r="C450" s="91"/>
      <c r="D450" s="9"/>
      <c r="E450" s="9"/>
      <c r="I450" s="11"/>
    </row>
    <row r="451" spans="1:9" ht="18.600000000000001">
      <c r="A451" s="89"/>
      <c r="B451" s="90"/>
      <c r="C451" s="91"/>
      <c r="D451" s="9"/>
      <c r="E451" s="9"/>
      <c r="I451" s="11"/>
    </row>
    <row r="452" spans="1:9" ht="18.600000000000001">
      <c r="A452" s="89"/>
      <c r="B452" s="90"/>
      <c r="C452" s="91"/>
      <c r="D452" s="9"/>
      <c r="E452" s="9"/>
      <c r="I452" s="11"/>
    </row>
    <row r="453" spans="1:9" ht="18.600000000000001">
      <c r="A453" s="89"/>
      <c r="B453" s="90"/>
      <c r="C453" s="91"/>
      <c r="D453" s="9"/>
      <c r="E453" s="9"/>
      <c r="I453" s="11"/>
    </row>
    <row r="454" spans="1:9" ht="18.600000000000001">
      <c r="A454" s="89"/>
      <c r="B454" s="90"/>
      <c r="C454" s="91"/>
      <c r="D454" s="9"/>
      <c r="E454" s="9"/>
      <c r="I454" s="11"/>
    </row>
    <row r="455" spans="1:9" ht="18.600000000000001">
      <c r="A455" s="89"/>
      <c r="B455" s="90"/>
      <c r="C455" s="91"/>
      <c r="D455" s="9"/>
      <c r="E455" s="9"/>
      <c r="I455" s="11"/>
    </row>
    <row r="456" spans="1:9" ht="18.600000000000001">
      <c r="A456" s="89"/>
      <c r="B456" s="90"/>
      <c r="C456" s="91"/>
      <c r="D456" s="9"/>
      <c r="E456" s="9"/>
      <c r="I456" s="11"/>
    </row>
    <row r="457" spans="1:9" ht="18.600000000000001">
      <c r="A457" s="89"/>
      <c r="B457" s="90"/>
      <c r="C457" s="91"/>
      <c r="D457" s="9"/>
      <c r="E457" s="9"/>
      <c r="I457" s="11"/>
    </row>
    <row r="458" spans="1:9" ht="18.600000000000001">
      <c r="A458" s="89"/>
      <c r="B458" s="90"/>
      <c r="C458" s="91"/>
      <c r="D458" s="9"/>
      <c r="E458" s="9"/>
      <c r="I458" s="11"/>
    </row>
    <row r="459" spans="1:9" ht="18.600000000000001">
      <c r="A459" s="89"/>
      <c r="B459" s="90"/>
      <c r="C459" s="91"/>
      <c r="D459" s="9"/>
      <c r="E459" s="9"/>
      <c r="I459" s="11"/>
    </row>
    <row r="460" spans="1:9" ht="18.600000000000001">
      <c r="A460" s="89"/>
      <c r="B460" s="90"/>
      <c r="C460" s="91"/>
      <c r="D460" s="9"/>
      <c r="E460" s="9"/>
      <c r="I460" s="11"/>
    </row>
    <row r="461" spans="1:9" ht="18.600000000000001">
      <c r="A461" s="89"/>
      <c r="B461" s="90"/>
      <c r="C461" s="91"/>
      <c r="D461" s="9"/>
      <c r="E461" s="9"/>
      <c r="I461" s="11"/>
    </row>
    <row r="462" spans="1:9" ht="18.600000000000001">
      <c r="A462" s="89"/>
      <c r="B462" s="90"/>
      <c r="C462" s="91"/>
      <c r="D462" s="9"/>
      <c r="E462" s="9"/>
      <c r="I462" s="11"/>
    </row>
    <row r="463" spans="1:9" ht="18.600000000000001">
      <c r="A463" s="89"/>
      <c r="B463" s="90"/>
      <c r="C463" s="91"/>
      <c r="D463" s="9"/>
      <c r="E463" s="9"/>
      <c r="I463" s="11"/>
    </row>
    <row r="464" spans="1:9" ht="18.600000000000001">
      <c r="A464" s="89"/>
      <c r="B464" s="90"/>
      <c r="C464" s="91"/>
      <c r="D464" s="9"/>
      <c r="E464" s="9"/>
      <c r="I464" s="11"/>
    </row>
    <row r="465" spans="1:9" ht="18.600000000000001">
      <c r="A465" s="89"/>
      <c r="B465" s="90"/>
      <c r="C465" s="91"/>
      <c r="D465" s="9"/>
      <c r="E465" s="9"/>
      <c r="I465" s="11"/>
    </row>
    <row r="466" spans="1:9" ht="18.600000000000001">
      <c r="A466" s="89"/>
      <c r="B466" s="90"/>
      <c r="C466" s="91"/>
      <c r="D466" s="9"/>
      <c r="E466" s="9"/>
      <c r="I466" s="11"/>
    </row>
    <row r="467" spans="1:9" ht="18.600000000000001">
      <c r="A467" s="89"/>
      <c r="B467" s="90"/>
      <c r="C467" s="91"/>
      <c r="D467" s="9"/>
      <c r="E467" s="9"/>
      <c r="I467" s="11"/>
    </row>
    <row r="468" spans="1:9" ht="18.600000000000001">
      <c r="A468" s="89"/>
      <c r="B468" s="90"/>
      <c r="C468" s="91"/>
      <c r="D468" s="9"/>
      <c r="E468" s="9"/>
      <c r="I468" s="11"/>
    </row>
    <row r="469" spans="1:9" ht="18.600000000000001">
      <c r="A469" s="89"/>
      <c r="B469" s="90"/>
      <c r="C469" s="91"/>
      <c r="D469" s="9"/>
      <c r="E469" s="9"/>
      <c r="I469" s="11"/>
    </row>
    <row r="470" spans="1:9" ht="18.600000000000001">
      <c r="A470" s="89"/>
      <c r="B470" s="90"/>
      <c r="C470" s="91"/>
      <c r="D470" s="9"/>
      <c r="E470" s="9"/>
      <c r="I470" s="11"/>
    </row>
    <row r="471" spans="1:9" ht="18.600000000000001">
      <c r="A471" s="89"/>
      <c r="B471" s="90"/>
      <c r="C471" s="91"/>
      <c r="D471" s="9"/>
      <c r="E471" s="9"/>
      <c r="I471" s="11"/>
    </row>
    <row r="472" spans="1:9" ht="18.600000000000001">
      <c r="A472" s="89"/>
      <c r="B472" s="90"/>
      <c r="C472" s="91"/>
      <c r="D472" s="9"/>
      <c r="E472" s="9"/>
      <c r="I472" s="11"/>
    </row>
    <row r="473" spans="1:9" ht="18.600000000000001">
      <c r="A473" s="89"/>
      <c r="B473" s="90"/>
      <c r="C473" s="91"/>
      <c r="D473" s="9"/>
      <c r="E473" s="9"/>
      <c r="I473" s="11"/>
    </row>
    <row r="474" spans="1:9" ht="18.600000000000001">
      <c r="A474" s="89"/>
      <c r="B474" s="90"/>
      <c r="C474" s="91"/>
      <c r="D474" s="9"/>
      <c r="E474" s="9"/>
      <c r="I474" s="11"/>
    </row>
    <row r="475" spans="1:9" ht="18.600000000000001">
      <c r="A475" s="89"/>
      <c r="B475" s="90"/>
      <c r="C475" s="91"/>
      <c r="D475" s="9"/>
      <c r="E475" s="9"/>
      <c r="I475" s="11"/>
    </row>
    <row r="476" spans="1:9" ht="18.600000000000001">
      <c r="A476" s="89"/>
      <c r="B476" s="90"/>
      <c r="C476" s="91"/>
      <c r="D476" s="9"/>
      <c r="E476" s="9"/>
      <c r="I476" s="11"/>
    </row>
    <row r="477" spans="1:9" ht="18.600000000000001">
      <c r="A477" s="89"/>
      <c r="B477" s="90"/>
      <c r="C477" s="91"/>
      <c r="D477" s="9"/>
      <c r="E477" s="9"/>
      <c r="I477" s="11"/>
    </row>
    <row r="478" spans="1:9" ht="18.600000000000001">
      <c r="A478" s="89"/>
      <c r="B478" s="90"/>
      <c r="C478" s="91"/>
      <c r="D478" s="9"/>
      <c r="E478" s="9"/>
      <c r="I478" s="11"/>
    </row>
    <row r="479" spans="1:9" ht="18.600000000000001">
      <c r="A479" s="89"/>
      <c r="B479" s="90"/>
      <c r="C479" s="91"/>
      <c r="D479" s="9"/>
      <c r="E479" s="9"/>
      <c r="I479" s="11"/>
    </row>
    <row r="480" spans="1:9" ht="18.600000000000001">
      <c r="A480" s="89"/>
      <c r="B480" s="90"/>
      <c r="C480" s="91"/>
      <c r="D480" s="9"/>
      <c r="E480" s="9"/>
      <c r="I480" s="11"/>
    </row>
    <row r="481" spans="1:9" ht="18.600000000000001">
      <c r="A481" s="89"/>
      <c r="B481" s="90"/>
      <c r="C481" s="91"/>
      <c r="D481" s="9"/>
      <c r="E481" s="9"/>
      <c r="I481" s="11"/>
    </row>
    <row r="482" spans="1:9" ht="18.600000000000001">
      <c r="A482" s="89"/>
      <c r="B482" s="90"/>
      <c r="C482" s="91"/>
      <c r="D482" s="9"/>
      <c r="E482" s="9"/>
      <c r="I482" s="11"/>
    </row>
    <row r="483" spans="1:9" ht="18.600000000000001">
      <c r="A483" s="89"/>
      <c r="B483" s="90"/>
      <c r="C483" s="91"/>
      <c r="D483" s="9"/>
      <c r="E483" s="9"/>
      <c r="I483" s="11"/>
    </row>
    <row r="484" spans="1:9" ht="18.600000000000001">
      <c r="A484" s="89"/>
      <c r="B484" s="90"/>
      <c r="C484" s="91"/>
      <c r="D484" s="9"/>
      <c r="E484" s="9"/>
      <c r="I484" s="11"/>
    </row>
    <row r="485" spans="1:9" ht="18.600000000000001">
      <c r="A485" s="89"/>
      <c r="B485" s="90"/>
      <c r="C485" s="91"/>
      <c r="D485" s="9"/>
      <c r="E485" s="9"/>
      <c r="I485" s="11"/>
    </row>
    <row r="486" spans="1:9" ht="18.600000000000001">
      <c r="A486" s="89"/>
      <c r="B486" s="90"/>
      <c r="C486" s="91"/>
      <c r="D486" s="9"/>
      <c r="E486" s="9"/>
      <c r="I486" s="11"/>
    </row>
    <row r="487" spans="1:9" ht="18.600000000000001">
      <c r="A487" s="89"/>
      <c r="B487" s="90"/>
      <c r="C487" s="91"/>
      <c r="D487" s="9"/>
      <c r="E487" s="9"/>
      <c r="I487" s="11"/>
    </row>
    <row r="488" spans="1:9" ht="18.600000000000001">
      <c r="A488" s="89"/>
      <c r="B488" s="90"/>
      <c r="C488" s="91"/>
      <c r="D488" s="9"/>
      <c r="E488" s="9"/>
      <c r="I488" s="11"/>
    </row>
    <row r="489" spans="1:9" ht="18.600000000000001">
      <c r="A489" s="89"/>
      <c r="B489" s="90"/>
      <c r="C489" s="91"/>
      <c r="D489" s="9"/>
      <c r="E489" s="9"/>
      <c r="I489" s="11"/>
    </row>
    <row r="490" spans="1:9" ht="18.600000000000001">
      <c r="A490" s="89"/>
      <c r="B490" s="90"/>
      <c r="C490" s="91"/>
      <c r="D490" s="9"/>
      <c r="E490" s="9"/>
      <c r="I490" s="11"/>
    </row>
    <row r="491" spans="1:9" ht="18.600000000000001">
      <c r="A491" s="89"/>
      <c r="B491" s="90"/>
      <c r="C491" s="91"/>
      <c r="D491" s="9"/>
      <c r="E491" s="9"/>
      <c r="I491" s="11"/>
    </row>
    <row r="492" spans="1:9" ht="18.600000000000001">
      <c r="A492" s="89"/>
      <c r="B492" s="90"/>
      <c r="C492" s="91"/>
      <c r="D492" s="9"/>
      <c r="E492" s="9"/>
      <c r="I492" s="11"/>
    </row>
    <row r="493" spans="1:9" ht="18.600000000000001">
      <c r="A493" s="89"/>
      <c r="B493" s="90"/>
      <c r="C493" s="91"/>
      <c r="D493" s="9"/>
      <c r="E493" s="9"/>
      <c r="I493" s="11"/>
    </row>
    <row r="494" spans="1:9" ht="18.600000000000001">
      <c r="A494" s="89"/>
      <c r="B494" s="90"/>
      <c r="C494" s="91"/>
      <c r="D494" s="9"/>
      <c r="E494" s="9"/>
      <c r="I494" s="11"/>
    </row>
    <row r="495" spans="1:9" ht="18.600000000000001">
      <c r="A495" s="89"/>
      <c r="B495" s="90"/>
      <c r="C495" s="91"/>
      <c r="D495" s="9"/>
      <c r="E495" s="9"/>
      <c r="I495" s="11"/>
    </row>
    <row r="496" spans="1:9" ht="18.600000000000001">
      <c r="A496" s="89"/>
      <c r="B496" s="90"/>
      <c r="C496" s="91"/>
      <c r="D496" s="9"/>
      <c r="E496" s="9"/>
      <c r="I496" s="11"/>
    </row>
    <row r="497" spans="1:9" ht="18.600000000000001">
      <c r="A497" s="89"/>
      <c r="B497" s="90"/>
      <c r="C497" s="91"/>
      <c r="D497" s="9"/>
      <c r="E497" s="9"/>
      <c r="I497" s="11"/>
    </row>
    <row r="498" spans="1:9" ht="18.600000000000001">
      <c r="A498" s="89"/>
      <c r="B498" s="90"/>
      <c r="C498" s="91"/>
      <c r="D498" s="9"/>
      <c r="E498" s="9"/>
      <c r="I498" s="11"/>
    </row>
    <row r="499" spans="1:9" ht="18.600000000000001">
      <c r="A499" s="89"/>
      <c r="B499" s="90"/>
      <c r="C499" s="91"/>
      <c r="D499" s="9"/>
      <c r="E499" s="9"/>
      <c r="I499" s="11"/>
    </row>
    <row r="500" spans="1:9" ht="18.600000000000001">
      <c r="A500" s="89"/>
      <c r="B500" s="90"/>
      <c r="C500" s="91"/>
      <c r="D500" s="9"/>
      <c r="E500" s="9"/>
      <c r="I500" s="11"/>
    </row>
    <row r="501" spans="1:9" ht="18.600000000000001">
      <c r="A501" s="89"/>
      <c r="B501" s="90"/>
      <c r="C501" s="91"/>
      <c r="D501" s="9"/>
      <c r="E501" s="9"/>
      <c r="I501" s="11"/>
    </row>
    <row r="502" spans="1:9" ht="18.600000000000001">
      <c r="A502" s="89"/>
      <c r="B502" s="90"/>
      <c r="C502" s="91"/>
      <c r="D502" s="9"/>
      <c r="E502" s="9"/>
      <c r="I502" s="11"/>
    </row>
    <row r="503" spans="1:9" ht="18.600000000000001">
      <c r="A503" s="89"/>
      <c r="B503" s="90"/>
      <c r="C503" s="91"/>
      <c r="D503" s="9"/>
      <c r="E503" s="9"/>
      <c r="I503" s="11"/>
    </row>
    <row r="504" spans="1:9" ht="18.600000000000001">
      <c r="A504" s="89"/>
      <c r="B504" s="90"/>
      <c r="C504" s="91"/>
      <c r="D504" s="9"/>
      <c r="E504" s="9"/>
      <c r="I504" s="11"/>
    </row>
    <row r="505" spans="1:9" ht="18.600000000000001">
      <c r="A505" s="89"/>
      <c r="B505" s="90"/>
      <c r="C505" s="91"/>
      <c r="D505" s="9"/>
      <c r="E505" s="9"/>
      <c r="I505" s="11"/>
    </row>
    <row r="506" spans="1:9" ht="18.600000000000001">
      <c r="A506" s="89"/>
      <c r="B506" s="90"/>
      <c r="C506" s="91"/>
      <c r="D506" s="9"/>
      <c r="E506" s="9"/>
      <c r="I506" s="11"/>
    </row>
    <row r="507" spans="1:9" ht="18.600000000000001">
      <c r="A507" s="89"/>
      <c r="B507" s="90"/>
      <c r="C507" s="91"/>
      <c r="D507" s="9"/>
      <c r="E507" s="9"/>
      <c r="I507" s="11"/>
    </row>
    <row r="508" spans="1:9" ht="18.600000000000001">
      <c r="A508" s="89"/>
      <c r="B508" s="90"/>
      <c r="C508" s="91"/>
      <c r="D508" s="9"/>
      <c r="E508" s="9"/>
      <c r="I508" s="11"/>
    </row>
    <row r="509" spans="1:9" ht="18.600000000000001">
      <c r="A509" s="89"/>
      <c r="B509" s="90"/>
      <c r="C509" s="91"/>
      <c r="D509" s="9"/>
      <c r="E509" s="9"/>
      <c r="I509" s="11"/>
    </row>
    <row r="510" spans="1:9" ht="18.600000000000001">
      <c r="A510" s="89"/>
      <c r="B510" s="90"/>
      <c r="C510" s="91"/>
      <c r="D510" s="9"/>
      <c r="E510" s="9"/>
      <c r="I510" s="11"/>
    </row>
    <row r="511" spans="1:9" ht="18.600000000000001">
      <c r="A511" s="89"/>
      <c r="B511" s="90"/>
      <c r="C511" s="91"/>
      <c r="D511" s="9"/>
      <c r="E511" s="9"/>
      <c r="I511" s="11"/>
    </row>
    <row r="512" spans="1:9" ht="18.600000000000001">
      <c r="A512" s="89"/>
      <c r="B512" s="90"/>
      <c r="C512" s="91"/>
      <c r="D512" s="9"/>
      <c r="E512" s="9"/>
      <c r="I512" s="11"/>
    </row>
    <row r="513" spans="1:9" ht="18.600000000000001">
      <c r="A513" s="89"/>
      <c r="B513" s="90"/>
      <c r="C513" s="91"/>
      <c r="D513" s="9"/>
      <c r="E513" s="9"/>
      <c r="I513" s="11"/>
    </row>
    <row r="514" spans="1:9" ht="18.600000000000001">
      <c r="A514" s="89"/>
      <c r="B514" s="90"/>
      <c r="C514" s="91"/>
      <c r="D514" s="9"/>
      <c r="E514" s="9"/>
      <c r="I514" s="11"/>
    </row>
    <row r="515" spans="1:9" ht="18.600000000000001">
      <c r="A515" s="89"/>
      <c r="B515" s="90"/>
      <c r="C515" s="91"/>
      <c r="D515" s="9"/>
      <c r="E515" s="9"/>
      <c r="I515" s="11"/>
    </row>
    <row r="516" spans="1:9" ht="18.600000000000001">
      <c r="A516" s="89"/>
      <c r="B516" s="90"/>
      <c r="C516" s="91"/>
      <c r="D516" s="9"/>
      <c r="E516" s="9"/>
      <c r="I516" s="11"/>
    </row>
    <row r="517" spans="1:9" ht="18.600000000000001">
      <c r="A517" s="89"/>
      <c r="B517" s="90"/>
      <c r="C517" s="91"/>
      <c r="D517" s="9"/>
      <c r="E517" s="9"/>
      <c r="I517" s="11"/>
    </row>
    <row r="518" spans="1:9" ht="18.600000000000001">
      <c r="A518" s="89"/>
      <c r="B518" s="90"/>
      <c r="C518" s="91"/>
      <c r="D518" s="9"/>
      <c r="E518" s="9"/>
      <c r="I518" s="11"/>
    </row>
    <row r="519" spans="1:9" ht="18.600000000000001">
      <c r="A519" s="89"/>
      <c r="B519" s="90"/>
      <c r="C519" s="91"/>
      <c r="D519" s="9"/>
      <c r="E519" s="9"/>
      <c r="I519" s="11"/>
    </row>
    <row r="520" spans="1:9" ht="18.600000000000001">
      <c r="A520" s="89"/>
      <c r="B520" s="90"/>
      <c r="C520" s="91"/>
      <c r="D520" s="9"/>
      <c r="E520" s="9"/>
      <c r="I520" s="11"/>
    </row>
    <row r="521" spans="1:9" ht="18.600000000000001">
      <c r="A521" s="89"/>
      <c r="B521" s="90"/>
      <c r="C521" s="91"/>
      <c r="D521" s="9"/>
      <c r="E521" s="9"/>
      <c r="I521" s="11"/>
    </row>
    <row r="522" spans="1:9" ht="18.600000000000001">
      <c r="A522" s="89"/>
      <c r="B522" s="90"/>
      <c r="C522" s="91"/>
      <c r="D522" s="9"/>
      <c r="E522" s="9"/>
      <c r="I522" s="11"/>
    </row>
    <row r="523" spans="1:9" ht="18.600000000000001">
      <c r="A523" s="89"/>
      <c r="B523" s="90"/>
      <c r="C523" s="91"/>
      <c r="D523" s="9"/>
      <c r="E523" s="9"/>
      <c r="I523" s="11"/>
    </row>
    <row r="524" spans="1:9" ht="18.600000000000001">
      <c r="A524" s="89"/>
      <c r="B524" s="90"/>
      <c r="C524" s="91"/>
      <c r="D524" s="9"/>
      <c r="E524" s="9"/>
      <c r="I524" s="11"/>
    </row>
    <row r="525" spans="1:9" ht="18.600000000000001">
      <c r="A525" s="89"/>
      <c r="B525" s="90"/>
      <c r="C525" s="91"/>
      <c r="D525" s="9"/>
      <c r="E525" s="9"/>
      <c r="I525" s="11"/>
    </row>
    <row r="526" spans="1:9" ht="18.600000000000001">
      <c r="A526" s="89"/>
      <c r="B526" s="90"/>
      <c r="C526" s="91"/>
      <c r="D526" s="9"/>
      <c r="E526" s="9"/>
      <c r="I526" s="11"/>
    </row>
    <row r="527" spans="1:9" ht="18.600000000000001">
      <c r="A527" s="89"/>
      <c r="B527" s="90"/>
      <c r="C527" s="91"/>
      <c r="D527" s="9"/>
      <c r="E527" s="9"/>
      <c r="I527" s="11"/>
    </row>
    <row r="528" spans="1:9" ht="18.600000000000001">
      <c r="A528" s="89"/>
      <c r="B528" s="90"/>
      <c r="C528" s="91"/>
      <c r="D528" s="9"/>
      <c r="E528" s="9"/>
      <c r="I528" s="11"/>
    </row>
    <row r="529" spans="1:9" ht="18.600000000000001">
      <c r="A529" s="89"/>
      <c r="B529" s="90"/>
      <c r="C529" s="91"/>
      <c r="D529" s="9"/>
      <c r="E529" s="9"/>
      <c r="I529" s="11"/>
    </row>
    <row r="530" spans="1:9" ht="18.600000000000001">
      <c r="A530" s="89"/>
      <c r="B530" s="90"/>
      <c r="C530" s="91"/>
      <c r="D530" s="9"/>
      <c r="E530" s="9"/>
      <c r="I530" s="11"/>
    </row>
    <row r="531" spans="1:9" ht="18.600000000000001">
      <c r="A531" s="89"/>
      <c r="B531" s="90"/>
      <c r="C531" s="91"/>
      <c r="D531" s="9"/>
      <c r="E531" s="9"/>
      <c r="I531" s="11"/>
    </row>
    <row r="532" spans="1:9" ht="18.600000000000001">
      <c r="A532" s="89"/>
      <c r="B532" s="90"/>
      <c r="C532" s="91"/>
      <c r="D532" s="9"/>
      <c r="E532" s="9"/>
      <c r="I532" s="11"/>
    </row>
    <row r="533" spans="1:9" ht="18.600000000000001">
      <c r="A533" s="89"/>
      <c r="B533" s="90"/>
      <c r="C533" s="91"/>
      <c r="D533" s="9"/>
      <c r="E533" s="9"/>
      <c r="I533" s="11"/>
    </row>
    <row r="534" spans="1:9" ht="18.600000000000001">
      <c r="A534" s="89"/>
      <c r="B534" s="90"/>
      <c r="C534" s="91"/>
      <c r="D534" s="9"/>
      <c r="E534" s="9"/>
      <c r="I534" s="11"/>
    </row>
    <row r="535" spans="1:9" ht="18.600000000000001">
      <c r="A535" s="89"/>
      <c r="B535" s="90"/>
      <c r="C535" s="91"/>
      <c r="D535" s="9"/>
      <c r="E535" s="9"/>
      <c r="I535" s="11"/>
    </row>
    <row r="536" spans="1:9" ht="18.600000000000001">
      <c r="A536" s="89"/>
      <c r="B536" s="90"/>
      <c r="C536" s="91"/>
      <c r="D536" s="9"/>
      <c r="E536" s="9"/>
      <c r="I536" s="11"/>
    </row>
    <row r="537" spans="1:9" ht="18.600000000000001">
      <c r="A537" s="89"/>
      <c r="B537" s="90"/>
      <c r="C537" s="91"/>
      <c r="D537" s="9"/>
      <c r="E537" s="9"/>
      <c r="I537" s="11"/>
    </row>
    <row r="538" spans="1:9" ht="18.600000000000001">
      <c r="A538" s="89"/>
      <c r="B538" s="90"/>
      <c r="C538" s="91"/>
      <c r="D538" s="9"/>
      <c r="E538" s="9"/>
      <c r="I538" s="11"/>
    </row>
    <row r="539" spans="1:9" ht="18.600000000000001">
      <c r="A539" s="89"/>
      <c r="B539" s="90"/>
      <c r="C539" s="91"/>
      <c r="D539" s="9"/>
      <c r="E539" s="9"/>
      <c r="I539" s="11"/>
    </row>
    <row r="540" spans="1:9" ht="18.600000000000001">
      <c r="A540" s="89"/>
      <c r="B540" s="90"/>
      <c r="C540" s="91"/>
      <c r="D540" s="9"/>
      <c r="E540" s="9"/>
      <c r="I540" s="11"/>
    </row>
    <row r="541" spans="1:9" ht="18.600000000000001">
      <c r="A541" s="89"/>
      <c r="B541" s="90"/>
      <c r="C541" s="91"/>
      <c r="D541" s="9"/>
      <c r="E541" s="9"/>
      <c r="I541" s="11"/>
    </row>
    <row r="542" spans="1:9" ht="18.600000000000001">
      <c r="A542" s="89"/>
      <c r="B542" s="90"/>
      <c r="C542" s="91"/>
      <c r="D542" s="9"/>
      <c r="E542" s="9"/>
      <c r="I542" s="11"/>
    </row>
    <row r="543" spans="1:9" ht="18.600000000000001">
      <c r="A543" s="89"/>
      <c r="B543" s="90"/>
      <c r="C543" s="91"/>
      <c r="D543" s="9"/>
      <c r="E543" s="9"/>
      <c r="I543" s="11"/>
    </row>
    <row r="544" spans="1:9" ht="18.600000000000001">
      <c r="A544" s="89"/>
      <c r="B544" s="90"/>
      <c r="C544" s="91"/>
      <c r="D544" s="9"/>
      <c r="E544" s="9"/>
      <c r="I544" s="11"/>
    </row>
    <row r="545" spans="1:9" ht="18.600000000000001">
      <c r="A545" s="89"/>
      <c r="B545" s="90"/>
      <c r="C545" s="91"/>
      <c r="D545" s="9"/>
      <c r="E545" s="9"/>
      <c r="I545" s="11"/>
    </row>
    <row r="546" spans="1:9" ht="18.600000000000001">
      <c r="A546" s="89"/>
      <c r="B546" s="90"/>
      <c r="C546" s="91"/>
      <c r="D546" s="9"/>
      <c r="E546" s="9"/>
      <c r="I546" s="11"/>
    </row>
    <row r="547" spans="1:9" ht="18.600000000000001">
      <c r="A547" s="89"/>
      <c r="B547" s="90"/>
      <c r="C547" s="91"/>
      <c r="D547" s="9"/>
      <c r="E547" s="9"/>
      <c r="I547" s="11"/>
    </row>
    <row r="548" spans="1:9" ht="18.600000000000001">
      <c r="A548" s="89"/>
      <c r="B548" s="90"/>
      <c r="C548" s="91"/>
      <c r="D548" s="9"/>
      <c r="E548" s="9"/>
      <c r="I548" s="11"/>
    </row>
    <row r="549" spans="1:9" ht="18.600000000000001">
      <c r="A549" s="89"/>
      <c r="B549" s="90"/>
      <c r="C549" s="91"/>
      <c r="D549" s="9"/>
      <c r="E549" s="9"/>
      <c r="I549" s="11"/>
    </row>
    <row r="550" spans="1:9" ht="18.600000000000001">
      <c r="A550" s="89"/>
      <c r="B550" s="90"/>
      <c r="C550" s="91"/>
      <c r="D550" s="9"/>
      <c r="E550" s="9"/>
      <c r="I550" s="11"/>
    </row>
    <row r="551" spans="1:9" ht="18.600000000000001">
      <c r="A551" s="89"/>
      <c r="B551" s="90"/>
      <c r="C551" s="91"/>
      <c r="D551" s="9"/>
      <c r="E551" s="9"/>
      <c r="I551" s="11"/>
    </row>
    <row r="552" spans="1:9" ht="18.600000000000001">
      <c r="A552" s="89"/>
      <c r="B552" s="90"/>
      <c r="C552" s="91"/>
      <c r="D552" s="9"/>
      <c r="E552" s="9"/>
      <c r="I552" s="11"/>
    </row>
    <row r="553" spans="1:9" ht="18.600000000000001">
      <c r="A553" s="89"/>
      <c r="B553" s="90"/>
      <c r="C553" s="91"/>
      <c r="D553" s="9"/>
      <c r="E553" s="9"/>
      <c r="I553" s="11"/>
    </row>
    <row r="554" spans="1:9" ht="18.600000000000001">
      <c r="A554" s="89"/>
      <c r="B554" s="90"/>
      <c r="C554" s="91"/>
      <c r="D554" s="9"/>
      <c r="E554" s="9"/>
      <c r="I554" s="11"/>
    </row>
    <row r="555" spans="1:9" ht="18.600000000000001">
      <c r="A555" s="89"/>
      <c r="B555" s="90"/>
      <c r="C555" s="91"/>
      <c r="D555" s="9"/>
      <c r="E555" s="9"/>
      <c r="I555" s="11"/>
    </row>
    <row r="556" spans="1:9" ht="18.600000000000001">
      <c r="A556" s="89"/>
      <c r="B556" s="90"/>
      <c r="C556" s="91"/>
      <c r="D556" s="9"/>
      <c r="E556" s="9"/>
      <c r="I556" s="11"/>
    </row>
    <row r="557" spans="1:9" ht="18.600000000000001">
      <c r="A557" s="89"/>
      <c r="B557" s="90"/>
      <c r="C557" s="91"/>
      <c r="D557" s="9"/>
      <c r="E557" s="9"/>
      <c r="I557" s="11"/>
    </row>
    <row r="558" spans="1:9" ht="18.600000000000001">
      <c r="A558" s="89"/>
      <c r="B558" s="90"/>
      <c r="C558" s="91"/>
      <c r="D558" s="9"/>
      <c r="E558" s="9"/>
      <c r="I558" s="11"/>
    </row>
    <row r="559" spans="1:9" ht="18.600000000000001">
      <c r="A559" s="89"/>
      <c r="B559" s="90"/>
      <c r="C559" s="91"/>
      <c r="D559" s="9"/>
      <c r="E559" s="9"/>
      <c r="I559" s="11"/>
    </row>
    <row r="560" spans="1:9" ht="18.600000000000001">
      <c r="A560" s="89"/>
      <c r="B560" s="90"/>
      <c r="C560" s="91"/>
      <c r="D560" s="9"/>
      <c r="E560" s="9"/>
      <c r="I560" s="11"/>
    </row>
    <row r="561" spans="1:9" ht="18.600000000000001">
      <c r="A561" s="89"/>
      <c r="B561" s="90"/>
      <c r="C561" s="91"/>
      <c r="D561" s="9"/>
      <c r="E561" s="9"/>
      <c r="I561" s="11"/>
    </row>
    <row r="562" spans="1:9" ht="18.600000000000001">
      <c r="A562" s="89"/>
      <c r="B562" s="90"/>
      <c r="C562" s="91"/>
      <c r="D562" s="9"/>
      <c r="E562" s="9"/>
      <c r="I562" s="11"/>
    </row>
    <row r="563" spans="1:9" ht="18.600000000000001">
      <c r="A563" s="89"/>
      <c r="B563" s="90"/>
      <c r="C563" s="91"/>
      <c r="D563" s="9"/>
      <c r="E563" s="9"/>
      <c r="I563" s="11"/>
    </row>
    <row r="564" spans="1:9" ht="18.600000000000001">
      <c r="A564" s="89"/>
      <c r="B564" s="90"/>
      <c r="C564" s="91"/>
      <c r="D564" s="9"/>
      <c r="E564" s="9"/>
      <c r="I564" s="11"/>
    </row>
    <row r="565" spans="1:9" ht="18.600000000000001">
      <c r="A565" s="89"/>
      <c r="B565" s="90"/>
      <c r="C565" s="91"/>
      <c r="D565" s="9"/>
      <c r="E565" s="9"/>
      <c r="I565" s="11"/>
    </row>
    <row r="566" spans="1:9" ht="18.600000000000001">
      <c r="A566" s="89"/>
      <c r="B566" s="90"/>
      <c r="C566" s="91"/>
      <c r="D566" s="9"/>
      <c r="E566" s="9"/>
      <c r="I566" s="11"/>
    </row>
    <row r="567" spans="1:9" ht="18.600000000000001">
      <c r="A567" s="89"/>
      <c r="B567" s="90"/>
      <c r="C567" s="91"/>
      <c r="D567" s="9"/>
      <c r="E567" s="9"/>
      <c r="I567" s="11"/>
    </row>
    <row r="568" spans="1:9" ht="18.600000000000001">
      <c r="A568" s="89"/>
      <c r="B568" s="90"/>
      <c r="C568" s="91"/>
      <c r="D568" s="9"/>
      <c r="E568" s="9"/>
      <c r="I568" s="11"/>
    </row>
    <row r="569" spans="1:9" ht="18.600000000000001">
      <c r="A569" s="89"/>
      <c r="B569" s="90"/>
      <c r="C569" s="91"/>
      <c r="D569" s="9"/>
      <c r="E569" s="9"/>
      <c r="I569" s="11"/>
    </row>
    <row r="570" spans="1:9" ht="18.600000000000001">
      <c r="A570" s="89"/>
      <c r="B570" s="90"/>
      <c r="C570" s="91"/>
      <c r="D570" s="9"/>
      <c r="E570" s="9"/>
      <c r="I570" s="11"/>
    </row>
    <row r="571" spans="1:9" ht="18.600000000000001">
      <c r="A571" s="89"/>
      <c r="B571" s="90"/>
      <c r="C571" s="91"/>
      <c r="D571" s="9"/>
      <c r="E571" s="9"/>
      <c r="I571" s="11"/>
    </row>
    <row r="572" spans="1:9" ht="18.600000000000001">
      <c r="A572" s="89"/>
      <c r="B572" s="90"/>
      <c r="C572" s="91"/>
      <c r="D572" s="9"/>
      <c r="E572" s="9"/>
      <c r="I572" s="11"/>
    </row>
    <row r="573" spans="1:9" ht="18.600000000000001">
      <c r="A573" s="89"/>
      <c r="B573" s="90"/>
      <c r="C573" s="91"/>
      <c r="D573" s="9"/>
      <c r="E573" s="9"/>
      <c r="I573" s="11"/>
    </row>
    <row r="574" spans="1:9" ht="18.600000000000001">
      <c r="A574" s="89"/>
      <c r="B574" s="90"/>
      <c r="C574" s="91"/>
      <c r="D574" s="9"/>
      <c r="E574" s="9"/>
      <c r="I574" s="11"/>
    </row>
    <row r="575" spans="1:9" ht="18.600000000000001">
      <c r="A575" s="89"/>
      <c r="B575" s="90"/>
      <c r="C575" s="91"/>
      <c r="D575" s="9"/>
      <c r="E575" s="9"/>
      <c r="I575" s="11"/>
    </row>
    <row r="576" spans="1:9" ht="18.600000000000001">
      <c r="A576" s="89"/>
      <c r="B576" s="90"/>
      <c r="C576" s="91"/>
      <c r="D576" s="9"/>
      <c r="E576" s="9"/>
      <c r="I576" s="11"/>
    </row>
    <row r="577" spans="1:9" ht="18.600000000000001">
      <c r="A577" s="89"/>
      <c r="B577" s="90"/>
      <c r="C577" s="91"/>
      <c r="D577" s="9"/>
      <c r="E577" s="9"/>
      <c r="I577" s="11"/>
    </row>
    <row r="578" spans="1:9" ht="18.600000000000001">
      <c r="A578" s="89"/>
      <c r="B578" s="90"/>
      <c r="C578" s="91"/>
      <c r="D578" s="9"/>
      <c r="E578" s="9"/>
      <c r="I578" s="11"/>
    </row>
    <row r="579" spans="1:9" ht="18.600000000000001">
      <c r="A579" s="89"/>
      <c r="B579" s="90"/>
      <c r="C579" s="91"/>
      <c r="D579" s="9"/>
      <c r="E579" s="9"/>
      <c r="I579" s="11"/>
    </row>
    <row r="580" spans="1:9" ht="18.600000000000001">
      <c r="A580" s="89"/>
      <c r="B580" s="90"/>
      <c r="C580" s="91"/>
      <c r="D580" s="9"/>
      <c r="E580" s="9"/>
      <c r="I580" s="11"/>
    </row>
    <row r="581" spans="1:9" ht="18.600000000000001">
      <c r="A581" s="89"/>
      <c r="B581" s="90"/>
      <c r="C581" s="91"/>
      <c r="D581" s="9"/>
      <c r="E581" s="9"/>
      <c r="I581" s="11"/>
    </row>
    <row r="582" spans="1:9" ht="18.600000000000001">
      <c r="A582" s="89"/>
      <c r="B582" s="90"/>
      <c r="C582" s="91"/>
      <c r="D582" s="9"/>
      <c r="E582" s="9"/>
      <c r="I582" s="11"/>
    </row>
    <row r="583" spans="1:9" ht="18.600000000000001">
      <c r="A583" s="89"/>
      <c r="B583" s="90"/>
      <c r="C583" s="91"/>
      <c r="D583" s="9"/>
      <c r="E583" s="9"/>
      <c r="I583" s="11"/>
    </row>
    <row r="584" spans="1:9" ht="18.600000000000001">
      <c r="A584" s="89"/>
      <c r="B584" s="90"/>
      <c r="C584" s="91"/>
      <c r="D584" s="9"/>
      <c r="E584" s="9"/>
      <c r="I584" s="11"/>
    </row>
    <row r="585" spans="1:9" ht="18.600000000000001">
      <c r="A585" s="89"/>
      <c r="B585" s="90"/>
      <c r="C585" s="91"/>
      <c r="D585" s="9"/>
      <c r="E585" s="9"/>
      <c r="I585" s="11"/>
    </row>
    <row r="586" spans="1:9" ht="18.600000000000001">
      <c r="A586" s="89"/>
      <c r="B586" s="90"/>
      <c r="C586" s="91"/>
      <c r="D586" s="9"/>
      <c r="E586" s="9"/>
      <c r="I586" s="11"/>
    </row>
    <row r="587" spans="1:9" ht="18.600000000000001">
      <c r="A587" s="89"/>
      <c r="B587" s="90"/>
      <c r="C587" s="91"/>
      <c r="D587" s="9"/>
      <c r="E587" s="9"/>
      <c r="I587" s="11"/>
    </row>
    <row r="588" spans="1:9" ht="18.600000000000001">
      <c r="A588" s="89"/>
      <c r="B588" s="90"/>
      <c r="C588" s="91"/>
      <c r="D588" s="9"/>
      <c r="E588" s="9"/>
      <c r="I588" s="11"/>
    </row>
    <row r="589" spans="1:9" ht="18.600000000000001">
      <c r="A589" s="89"/>
      <c r="B589" s="90"/>
      <c r="C589" s="91"/>
      <c r="D589" s="9"/>
      <c r="E589" s="9"/>
      <c r="I589" s="11"/>
    </row>
    <row r="590" spans="1:9" ht="18.600000000000001">
      <c r="A590" s="89"/>
      <c r="B590" s="90"/>
      <c r="C590" s="91"/>
      <c r="D590" s="9"/>
      <c r="E590" s="9"/>
      <c r="I590" s="11"/>
    </row>
    <row r="591" spans="1:9" ht="18.600000000000001">
      <c r="A591" s="89"/>
      <c r="B591" s="90"/>
      <c r="C591" s="91"/>
      <c r="D591" s="9"/>
      <c r="E591" s="9"/>
      <c r="I591" s="11"/>
    </row>
    <row r="592" spans="1:9" ht="18.600000000000001">
      <c r="A592" s="89"/>
      <c r="B592" s="90"/>
      <c r="C592" s="91"/>
      <c r="D592" s="9"/>
      <c r="E592" s="9"/>
      <c r="I592" s="11"/>
    </row>
    <row r="593" spans="1:9" ht="18.600000000000001">
      <c r="A593" s="89"/>
      <c r="B593" s="90"/>
      <c r="C593" s="91"/>
      <c r="D593" s="9"/>
      <c r="E593" s="9"/>
      <c r="I593" s="11"/>
    </row>
    <row r="594" spans="1:9" ht="18.600000000000001">
      <c r="A594" s="89"/>
      <c r="B594" s="90"/>
      <c r="C594" s="91"/>
      <c r="D594" s="9"/>
      <c r="E594" s="9"/>
      <c r="I594" s="11"/>
    </row>
    <row r="595" spans="1:9" ht="18.600000000000001">
      <c r="A595" s="89"/>
      <c r="B595" s="90"/>
      <c r="C595" s="91"/>
      <c r="D595" s="9"/>
      <c r="E595" s="9"/>
      <c r="I595" s="11"/>
    </row>
    <row r="596" spans="1:9" ht="18.600000000000001">
      <c r="A596" s="89"/>
      <c r="B596" s="90"/>
      <c r="C596" s="91"/>
      <c r="D596" s="9"/>
      <c r="E596" s="9"/>
      <c r="I596" s="11"/>
    </row>
    <row r="597" spans="1:9" ht="18.600000000000001">
      <c r="A597" s="89"/>
      <c r="B597" s="90"/>
      <c r="C597" s="91"/>
      <c r="D597" s="9"/>
      <c r="E597" s="9"/>
      <c r="I597" s="11"/>
    </row>
    <row r="598" spans="1:9" ht="18.600000000000001">
      <c r="A598" s="89"/>
      <c r="B598" s="90"/>
      <c r="C598" s="91"/>
      <c r="D598" s="9"/>
      <c r="E598" s="9"/>
      <c r="I598" s="11"/>
    </row>
    <row r="599" spans="1:9" ht="18.600000000000001">
      <c r="A599" s="89"/>
      <c r="B599" s="90"/>
      <c r="C599" s="91"/>
      <c r="D599" s="9"/>
      <c r="E599" s="9"/>
      <c r="I599" s="11"/>
    </row>
    <row r="600" spans="1:9" ht="18.600000000000001">
      <c r="A600" s="89"/>
      <c r="B600" s="90"/>
      <c r="C600" s="91"/>
      <c r="D600" s="9"/>
      <c r="E600" s="9"/>
      <c r="I600" s="11"/>
    </row>
    <row r="601" spans="1:9" ht="18.600000000000001">
      <c r="A601" s="89"/>
      <c r="B601" s="90"/>
      <c r="C601" s="91"/>
      <c r="D601" s="9"/>
      <c r="E601" s="9"/>
      <c r="I601" s="11"/>
    </row>
    <row r="602" spans="1:9" ht="18.600000000000001">
      <c r="A602" s="89"/>
      <c r="B602" s="90"/>
      <c r="C602" s="91"/>
      <c r="D602" s="9"/>
      <c r="E602" s="9"/>
      <c r="I602" s="11"/>
    </row>
    <row r="603" spans="1:9" ht="18.600000000000001">
      <c r="A603" s="89"/>
      <c r="B603" s="90"/>
      <c r="C603" s="91"/>
      <c r="D603" s="9"/>
      <c r="E603" s="9"/>
      <c r="I603" s="11"/>
    </row>
    <row r="604" spans="1:9" ht="18.600000000000001">
      <c r="A604" s="89"/>
      <c r="B604" s="90"/>
      <c r="C604" s="91"/>
      <c r="D604" s="9"/>
      <c r="E604" s="9"/>
      <c r="I604" s="11"/>
    </row>
    <row r="605" spans="1:9" ht="18.600000000000001">
      <c r="A605" s="89"/>
      <c r="B605" s="90"/>
      <c r="C605" s="91"/>
      <c r="D605" s="9"/>
      <c r="E605" s="9"/>
      <c r="I605" s="11"/>
    </row>
    <row r="606" spans="1:9" ht="18.600000000000001">
      <c r="A606" s="89"/>
      <c r="B606" s="90"/>
      <c r="C606" s="91"/>
      <c r="D606" s="9"/>
      <c r="E606" s="9"/>
      <c r="I606" s="11"/>
    </row>
    <row r="607" spans="1:9" ht="18.600000000000001">
      <c r="A607" s="89"/>
      <c r="B607" s="90"/>
      <c r="C607" s="91"/>
      <c r="D607" s="9"/>
      <c r="E607" s="9"/>
      <c r="I607" s="11"/>
    </row>
    <row r="608" spans="1:9" ht="18.600000000000001">
      <c r="A608" s="89"/>
      <c r="B608" s="90"/>
      <c r="C608" s="91"/>
      <c r="D608" s="9"/>
      <c r="E608" s="9"/>
      <c r="I608" s="11"/>
    </row>
    <row r="609" spans="1:9" ht="18.600000000000001">
      <c r="A609" s="89"/>
      <c r="B609" s="90"/>
      <c r="C609" s="91"/>
      <c r="D609" s="9"/>
      <c r="E609" s="9"/>
      <c r="I609" s="11"/>
    </row>
    <row r="610" spans="1:9" ht="18.600000000000001">
      <c r="A610" s="89"/>
      <c r="B610" s="90"/>
      <c r="C610" s="91"/>
      <c r="D610" s="9"/>
      <c r="E610" s="9"/>
      <c r="I610" s="11"/>
    </row>
    <row r="611" spans="1:9" ht="18.600000000000001">
      <c r="A611" s="89"/>
      <c r="B611" s="90"/>
      <c r="C611" s="91"/>
      <c r="D611" s="9"/>
      <c r="E611" s="9"/>
      <c r="I611" s="11"/>
    </row>
    <row r="612" spans="1:9" ht="18.600000000000001">
      <c r="A612" s="89"/>
      <c r="B612" s="90"/>
      <c r="C612" s="91"/>
      <c r="D612" s="9"/>
      <c r="E612" s="9"/>
      <c r="I612" s="11"/>
    </row>
    <row r="613" spans="1:9" ht="18.600000000000001">
      <c r="A613" s="89"/>
      <c r="B613" s="90"/>
      <c r="C613" s="91"/>
      <c r="D613" s="9"/>
      <c r="E613" s="9"/>
      <c r="I613" s="11"/>
    </row>
    <row r="614" spans="1:9" ht="18.600000000000001">
      <c r="A614" s="89"/>
      <c r="B614" s="90"/>
      <c r="C614" s="91"/>
      <c r="D614" s="9"/>
      <c r="E614" s="9"/>
      <c r="I614" s="11"/>
    </row>
    <row r="615" spans="1:9" ht="18.600000000000001">
      <c r="A615" s="89"/>
      <c r="B615" s="90"/>
      <c r="C615" s="91"/>
      <c r="D615" s="9"/>
      <c r="E615" s="9"/>
      <c r="I615" s="11"/>
    </row>
    <row r="616" spans="1:9" ht="18.600000000000001">
      <c r="A616" s="89"/>
      <c r="B616" s="90"/>
      <c r="C616" s="91"/>
      <c r="D616" s="9"/>
      <c r="E616" s="9"/>
      <c r="I616" s="11"/>
    </row>
    <row r="617" spans="1:9" ht="18.600000000000001">
      <c r="A617" s="89"/>
      <c r="B617" s="90"/>
      <c r="C617" s="91"/>
      <c r="D617" s="9"/>
      <c r="E617" s="9"/>
      <c r="I617" s="11"/>
    </row>
    <row r="618" spans="1:9" ht="18.600000000000001">
      <c r="A618" s="89"/>
      <c r="B618" s="90"/>
      <c r="C618" s="91"/>
      <c r="D618" s="9"/>
      <c r="E618" s="9"/>
      <c r="I618" s="11"/>
    </row>
    <row r="619" spans="1:9" ht="18.600000000000001">
      <c r="A619" s="89"/>
      <c r="B619" s="90"/>
      <c r="C619" s="91"/>
      <c r="D619" s="9"/>
      <c r="E619" s="9"/>
      <c r="I619" s="11"/>
    </row>
    <row r="620" spans="1:9" ht="18.600000000000001">
      <c r="A620" s="89"/>
      <c r="B620" s="90"/>
      <c r="C620" s="91"/>
      <c r="D620" s="9"/>
      <c r="E620" s="9"/>
      <c r="I620" s="11"/>
    </row>
    <row r="621" spans="1:9" ht="18.600000000000001">
      <c r="A621" s="89"/>
      <c r="B621" s="90"/>
      <c r="C621" s="91"/>
      <c r="D621" s="9"/>
      <c r="E621" s="9"/>
      <c r="I621" s="11"/>
    </row>
    <row r="622" spans="1:9" ht="18.600000000000001">
      <c r="A622" s="89"/>
      <c r="B622" s="90"/>
      <c r="C622" s="91"/>
      <c r="D622" s="9"/>
      <c r="E622" s="9"/>
      <c r="I622" s="11"/>
    </row>
    <row r="623" spans="1:9" ht="18.600000000000001">
      <c r="A623" s="89"/>
      <c r="B623" s="90"/>
      <c r="C623" s="91"/>
      <c r="D623" s="9"/>
      <c r="E623" s="9"/>
      <c r="I623" s="11"/>
    </row>
    <row r="624" spans="1:9" ht="18.600000000000001">
      <c r="A624" s="89"/>
      <c r="B624" s="90"/>
      <c r="C624" s="91"/>
      <c r="D624" s="9"/>
      <c r="E624" s="9"/>
      <c r="I624" s="11"/>
    </row>
    <row r="625" spans="1:9" ht="18.600000000000001">
      <c r="A625" s="89"/>
      <c r="B625" s="90"/>
      <c r="C625" s="91"/>
      <c r="D625" s="9"/>
      <c r="E625" s="9"/>
      <c r="I625" s="11"/>
    </row>
    <row r="626" spans="1:9" ht="18.600000000000001">
      <c r="A626" s="89"/>
      <c r="B626" s="90"/>
      <c r="C626" s="91"/>
      <c r="D626" s="9"/>
      <c r="E626" s="9"/>
      <c r="I626" s="11"/>
    </row>
    <row r="627" spans="1:9" ht="18.600000000000001">
      <c r="A627" s="89"/>
      <c r="B627" s="90"/>
      <c r="C627" s="91"/>
      <c r="D627" s="9"/>
      <c r="E627" s="9"/>
      <c r="I627" s="11"/>
    </row>
    <row r="628" spans="1:9" ht="18.600000000000001">
      <c r="A628" s="89"/>
      <c r="B628" s="90"/>
      <c r="C628" s="91"/>
      <c r="D628" s="9"/>
      <c r="E628" s="9"/>
      <c r="I628" s="11"/>
    </row>
    <row r="629" spans="1:9" ht="18.600000000000001">
      <c r="A629" s="89"/>
      <c r="B629" s="90"/>
      <c r="C629" s="91"/>
      <c r="D629" s="9"/>
      <c r="E629" s="9"/>
      <c r="I629" s="11"/>
    </row>
    <row r="630" spans="1:9" ht="18.600000000000001">
      <c r="A630" s="89"/>
      <c r="B630" s="90"/>
      <c r="C630" s="91"/>
      <c r="D630" s="9"/>
      <c r="E630" s="9"/>
      <c r="I630" s="11"/>
    </row>
    <row r="631" spans="1:9" ht="18.600000000000001">
      <c r="A631" s="89"/>
      <c r="B631" s="90"/>
      <c r="C631" s="91"/>
      <c r="D631" s="9"/>
      <c r="E631" s="9"/>
      <c r="I631" s="11"/>
    </row>
    <row r="632" spans="1:9" ht="18.600000000000001">
      <c r="A632" s="89"/>
      <c r="B632" s="90"/>
      <c r="C632" s="91"/>
      <c r="D632" s="9"/>
      <c r="E632" s="9"/>
      <c r="I632" s="11"/>
    </row>
    <row r="633" spans="1:9" ht="18.600000000000001">
      <c r="A633" s="89"/>
      <c r="B633" s="90"/>
      <c r="C633" s="91"/>
      <c r="D633" s="9"/>
      <c r="E633" s="9"/>
      <c r="I633" s="11"/>
    </row>
    <row r="634" spans="1:9" ht="18.600000000000001">
      <c r="A634" s="89"/>
      <c r="B634" s="90"/>
      <c r="C634" s="91"/>
      <c r="D634" s="9"/>
      <c r="E634" s="9"/>
      <c r="I634" s="11"/>
    </row>
    <row r="635" spans="1:9" ht="18.600000000000001">
      <c r="A635" s="89"/>
      <c r="B635" s="90"/>
      <c r="C635" s="91"/>
      <c r="D635" s="9"/>
      <c r="E635" s="9"/>
      <c r="I635" s="11"/>
    </row>
    <row r="636" spans="1:9" ht="18.600000000000001">
      <c r="A636" s="89"/>
      <c r="B636" s="90"/>
      <c r="C636" s="91"/>
      <c r="D636" s="9"/>
      <c r="E636" s="9"/>
      <c r="I636" s="11"/>
    </row>
    <row r="637" spans="1:9" ht="18.600000000000001">
      <c r="A637" s="89"/>
      <c r="B637" s="90"/>
      <c r="C637" s="91"/>
      <c r="D637" s="9"/>
      <c r="E637" s="9"/>
      <c r="I637" s="11"/>
    </row>
    <row r="638" spans="1:9" ht="18.600000000000001">
      <c r="A638" s="89"/>
      <c r="B638" s="90"/>
      <c r="C638" s="91"/>
      <c r="D638" s="9"/>
      <c r="E638" s="9"/>
      <c r="I638" s="11"/>
    </row>
    <row r="639" spans="1:9" ht="18.600000000000001">
      <c r="A639" s="89"/>
      <c r="B639" s="90"/>
      <c r="C639" s="91"/>
      <c r="D639" s="9"/>
      <c r="E639" s="9"/>
      <c r="I639" s="11"/>
    </row>
    <row r="640" spans="1:9" ht="18.600000000000001">
      <c r="A640" s="89"/>
      <c r="B640" s="90"/>
      <c r="C640" s="91"/>
      <c r="D640" s="9"/>
      <c r="E640" s="9"/>
      <c r="I640" s="11"/>
    </row>
    <row r="641" spans="1:9" ht="18.600000000000001">
      <c r="A641" s="89"/>
      <c r="B641" s="90"/>
      <c r="C641" s="91"/>
      <c r="D641" s="9"/>
      <c r="E641" s="9"/>
      <c r="I641" s="11"/>
    </row>
    <row r="642" spans="1:9" ht="18.600000000000001">
      <c r="A642" s="89"/>
      <c r="B642" s="90"/>
      <c r="C642" s="91"/>
      <c r="D642" s="9"/>
      <c r="E642" s="9"/>
      <c r="I642" s="11"/>
    </row>
    <row r="643" spans="1:9" ht="18.600000000000001">
      <c r="A643" s="89"/>
      <c r="B643" s="90"/>
      <c r="C643" s="91"/>
      <c r="D643" s="9"/>
      <c r="E643" s="9"/>
      <c r="I643" s="11"/>
    </row>
    <row r="644" spans="1:9" ht="18.600000000000001">
      <c r="A644" s="89"/>
      <c r="B644" s="90"/>
      <c r="C644" s="91"/>
      <c r="D644" s="9"/>
      <c r="E644" s="9"/>
      <c r="I644" s="11"/>
    </row>
    <row r="645" spans="1:9" ht="18.600000000000001">
      <c r="A645" s="89"/>
      <c r="B645" s="90"/>
      <c r="C645" s="91"/>
      <c r="D645" s="9"/>
      <c r="E645" s="9"/>
      <c r="I645" s="11"/>
    </row>
    <row r="646" spans="1:9" ht="18.600000000000001">
      <c r="A646" s="89"/>
      <c r="B646" s="90"/>
      <c r="C646" s="91"/>
      <c r="D646" s="9"/>
      <c r="E646" s="9"/>
      <c r="I646" s="11"/>
    </row>
    <row r="647" spans="1:9" ht="18.600000000000001">
      <c r="A647" s="89"/>
      <c r="B647" s="90"/>
      <c r="C647" s="91"/>
      <c r="D647" s="9"/>
      <c r="E647" s="9"/>
      <c r="I647" s="11"/>
    </row>
    <row r="648" spans="1:9" ht="18.600000000000001">
      <c r="A648" s="89"/>
      <c r="B648" s="90"/>
      <c r="C648" s="91"/>
      <c r="D648" s="9"/>
      <c r="E648" s="9"/>
      <c r="I648" s="11"/>
    </row>
    <row r="649" spans="1:9" ht="18.600000000000001">
      <c r="A649" s="89"/>
      <c r="B649" s="90"/>
      <c r="C649" s="91"/>
      <c r="D649" s="9"/>
      <c r="E649" s="9"/>
      <c r="I649" s="11"/>
    </row>
    <row r="650" spans="1:9" ht="18.600000000000001">
      <c r="A650" s="89"/>
      <c r="B650" s="90"/>
      <c r="C650" s="91"/>
      <c r="D650" s="9"/>
      <c r="E650" s="9"/>
      <c r="I650" s="11"/>
    </row>
    <row r="651" spans="1:9" ht="18.600000000000001">
      <c r="A651" s="89"/>
      <c r="B651" s="90"/>
      <c r="C651" s="91"/>
      <c r="D651" s="9"/>
      <c r="E651" s="9"/>
      <c r="I651" s="11"/>
    </row>
    <row r="652" spans="1:9" ht="18.600000000000001">
      <c r="A652" s="89"/>
      <c r="B652" s="90"/>
      <c r="C652" s="91"/>
      <c r="D652" s="9"/>
      <c r="E652" s="9"/>
      <c r="I652" s="11"/>
    </row>
    <row r="653" spans="1:9" ht="18.600000000000001">
      <c r="A653" s="89"/>
      <c r="B653" s="90"/>
      <c r="C653" s="91"/>
      <c r="D653" s="9"/>
      <c r="E653" s="9"/>
      <c r="I653" s="11"/>
    </row>
    <row r="654" spans="1:9" ht="18.600000000000001">
      <c r="A654" s="89"/>
      <c r="B654" s="90"/>
      <c r="C654" s="91"/>
      <c r="D654" s="9"/>
      <c r="E654" s="9"/>
      <c r="I654" s="11"/>
    </row>
    <row r="655" spans="1:9" ht="18.600000000000001">
      <c r="A655" s="89"/>
      <c r="B655" s="90"/>
      <c r="C655" s="91"/>
      <c r="D655" s="9"/>
      <c r="E655" s="9"/>
      <c r="I655" s="11"/>
    </row>
    <row r="656" spans="1:9" ht="18.600000000000001">
      <c r="A656" s="89"/>
      <c r="B656" s="90"/>
      <c r="C656" s="91"/>
      <c r="D656" s="9"/>
      <c r="E656" s="9"/>
      <c r="I656" s="11"/>
    </row>
    <row r="657" spans="1:9" ht="18.600000000000001">
      <c r="A657" s="89"/>
      <c r="B657" s="90"/>
      <c r="C657" s="91"/>
      <c r="D657" s="9"/>
      <c r="E657" s="9"/>
      <c r="I657" s="11"/>
    </row>
    <row r="658" spans="1:9" ht="18.600000000000001">
      <c r="A658" s="89"/>
      <c r="B658" s="90"/>
      <c r="C658" s="91"/>
      <c r="D658" s="9"/>
      <c r="E658" s="9"/>
      <c r="I658" s="11"/>
    </row>
    <row r="659" spans="1:9" ht="18.600000000000001">
      <c r="A659" s="89"/>
      <c r="B659" s="90"/>
      <c r="C659" s="91"/>
      <c r="D659" s="9"/>
      <c r="E659" s="9"/>
      <c r="I659" s="11"/>
    </row>
    <row r="660" spans="1:9" ht="18.600000000000001">
      <c r="A660" s="89"/>
      <c r="B660" s="90"/>
      <c r="C660" s="91"/>
      <c r="D660" s="9"/>
      <c r="E660" s="9"/>
      <c r="I660" s="11"/>
    </row>
    <row r="661" spans="1:9" ht="18.600000000000001">
      <c r="A661" s="89"/>
      <c r="B661" s="90"/>
      <c r="C661" s="91"/>
      <c r="D661" s="9"/>
      <c r="E661" s="9"/>
      <c r="I661" s="11"/>
    </row>
    <row r="662" spans="1:9" ht="18.600000000000001">
      <c r="A662" s="89"/>
      <c r="B662" s="90"/>
      <c r="C662" s="91"/>
      <c r="D662" s="9"/>
      <c r="E662" s="9"/>
      <c r="I662" s="11"/>
    </row>
    <row r="663" spans="1:9" ht="18.600000000000001">
      <c r="A663" s="89"/>
      <c r="B663" s="90"/>
      <c r="C663" s="91"/>
      <c r="D663" s="9"/>
      <c r="E663" s="9"/>
      <c r="I663" s="11"/>
    </row>
    <row r="664" spans="1:9" ht="18.600000000000001">
      <c r="A664" s="89"/>
      <c r="B664" s="90"/>
      <c r="C664" s="91"/>
      <c r="D664" s="9"/>
      <c r="E664" s="9"/>
      <c r="I664" s="11"/>
    </row>
    <row r="665" spans="1:9" ht="18.600000000000001">
      <c r="A665" s="89"/>
      <c r="B665" s="90"/>
      <c r="C665" s="91"/>
      <c r="D665" s="9"/>
      <c r="E665" s="9"/>
      <c r="I665" s="11"/>
    </row>
    <row r="666" spans="1:9" ht="18.600000000000001">
      <c r="A666" s="89"/>
      <c r="B666" s="90"/>
      <c r="C666" s="91"/>
      <c r="D666" s="9"/>
      <c r="E666" s="9"/>
      <c r="I666" s="11"/>
    </row>
    <row r="667" spans="1:9" ht="18.600000000000001">
      <c r="A667" s="89"/>
      <c r="B667" s="90"/>
      <c r="C667" s="91"/>
      <c r="D667" s="9"/>
      <c r="E667" s="9"/>
      <c r="I667" s="11"/>
    </row>
    <row r="668" spans="1:9" ht="18.600000000000001">
      <c r="A668" s="89"/>
      <c r="B668" s="90"/>
      <c r="C668" s="91"/>
      <c r="D668" s="9"/>
      <c r="E668" s="9"/>
      <c r="I668" s="11"/>
    </row>
    <row r="669" spans="1:9" ht="18.600000000000001">
      <c r="A669" s="89"/>
      <c r="B669" s="90"/>
      <c r="C669" s="91"/>
      <c r="D669" s="9"/>
      <c r="E669" s="9"/>
      <c r="I669" s="11"/>
    </row>
    <row r="670" spans="1:9" ht="18.600000000000001">
      <c r="A670" s="89"/>
      <c r="B670" s="90"/>
      <c r="C670" s="91"/>
      <c r="D670" s="9"/>
      <c r="E670" s="9"/>
      <c r="I670" s="11"/>
    </row>
    <row r="671" spans="1:9" ht="18.600000000000001">
      <c r="A671" s="89"/>
      <c r="B671" s="90"/>
      <c r="C671" s="91"/>
      <c r="D671" s="9"/>
      <c r="E671" s="9"/>
      <c r="I671" s="11"/>
    </row>
    <row r="672" spans="1:9" ht="18.600000000000001">
      <c r="A672" s="89"/>
      <c r="B672" s="90"/>
      <c r="C672" s="91"/>
      <c r="D672" s="9"/>
      <c r="E672" s="9"/>
      <c r="I672" s="11"/>
    </row>
    <row r="673" spans="1:9" ht="18.600000000000001">
      <c r="A673" s="89"/>
      <c r="B673" s="90"/>
      <c r="C673" s="91"/>
      <c r="D673" s="9"/>
      <c r="E673" s="9"/>
      <c r="I673" s="11"/>
    </row>
    <row r="674" spans="1:9" ht="18.600000000000001">
      <c r="A674" s="89"/>
      <c r="B674" s="90"/>
      <c r="C674" s="91"/>
      <c r="D674" s="9"/>
      <c r="E674" s="9"/>
      <c r="I674" s="11"/>
    </row>
    <row r="675" spans="1:9" ht="18.600000000000001">
      <c r="A675" s="89"/>
      <c r="B675" s="90"/>
      <c r="C675" s="91"/>
      <c r="D675" s="9"/>
      <c r="E675" s="9"/>
      <c r="I675" s="11"/>
    </row>
    <row r="676" spans="1:9" ht="18.600000000000001">
      <c r="A676" s="89"/>
      <c r="B676" s="90"/>
      <c r="C676" s="91"/>
      <c r="D676" s="9"/>
      <c r="E676" s="9"/>
      <c r="I676" s="11"/>
    </row>
    <row r="677" spans="1:9" ht="18.600000000000001">
      <c r="A677" s="89"/>
      <c r="B677" s="90"/>
      <c r="C677" s="91"/>
      <c r="D677" s="9"/>
      <c r="E677" s="9"/>
      <c r="I677" s="11"/>
    </row>
    <row r="678" spans="1:9" ht="18.600000000000001">
      <c r="A678" s="89"/>
      <c r="B678" s="90"/>
      <c r="C678" s="91"/>
      <c r="D678" s="9"/>
      <c r="E678" s="9"/>
      <c r="I678" s="11"/>
    </row>
    <row r="679" spans="1:9" ht="18.600000000000001">
      <c r="A679" s="89"/>
      <c r="B679" s="90"/>
      <c r="C679" s="91"/>
      <c r="D679" s="9"/>
      <c r="E679" s="9"/>
      <c r="I679" s="11"/>
    </row>
    <row r="680" spans="1:9" ht="18.600000000000001">
      <c r="A680" s="89"/>
      <c r="B680" s="90"/>
      <c r="C680" s="91"/>
      <c r="D680" s="9"/>
      <c r="E680" s="9"/>
      <c r="I680" s="11"/>
    </row>
    <row r="681" spans="1:9" ht="18.600000000000001">
      <c r="A681" s="89"/>
      <c r="B681" s="90"/>
      <c r="C681" s="91"/>
      <c r="D681" s="9"/>
      <c r="E681" s="9"/>
      <c r="I681" s="11"/>
    </row>
    <row r="682" spans="1:9" ht="18.600000000000001">
      <c r="A682" s="89"/>
      <c r="B682" s="90"/>
      <c r="C682" s="91"/>
      <c r="D682" s="9"/>
      <c r="E682" s="9"/>
      <c r="I682" s="11"/>
    </row>
    <row r="683" spans="1:9" ht="18.600000000000001">
      <c r="A683" s="89"/>
      <c r="B683" s="90"/>
      <c r="C683" s="91"/>
      <c r="D683" s="9"/>
      <c r="E683" s="9"/>
      <c r="I683" s="11"/>
    </row>
    <row r="684" spans="1:9" ht="18.600000000000001">
      <c r="A684" s="89"/>
      <c r="B684" s="90"/>
      <c r="C684" s="91"/>
      <c r="D684" s="9"/>
      <c r="E684" s="9"/>
      <c r="I684" s="11"/>
    </row>
    <row r="685" spans="1:9" ht="18.600000000000001">
      <c r="A685" s="89"/>
      <c r="B685" s="90"/>
      <c r="C685" s="91"/>
      <c r="D685" s="9"/>
      <c r="E685" s="9"/>
      <c r="I685" s="11"/>
    </row>
    <row r="686" spans="1:9" ht="18.600000000000001">
      <c r="A686" s="89"/>
      <c r="B686" s="90"/>
      <c r="C686" s="91"/>
      <c r="D686" s="9"/>
      <c r="E686" s="9"/>
      <c r="I686" s="11"/>
    </row>
    <row r="687" spans="1:9" ht="18.600000000000001">
      <c r="A687" s="89"/>
      <c r="B687" s="90"/>
      <c r="C687" s="91"/>
      <c r="D687" s="9"/>
      <c r="E687" s="9"/>
      <c r="I687" s="11"/>
    </row>
    <row r="688" spans="1:9" ht="18.600000000000001">
      <c r="A688" s="89"/>
      <c r="B688" s="90"/>
      <c r="C688" s="91"/>
      <c r="D688" s="9"/>
      <c r="E688" s="9"/>
      <c r="I688" s="11"/>
    </row>
    <row r="689" spans="1:9" ht="18.600000000000001">
      <c r="A689" s="89"/>
      <c r="B689" s="90"/>
      <c r="C689" s="91"/>
      <c r="D689" s="9"/>
      <c r="E689" s="9"/>
      <c r="I689" s="11"/>
    </row>
    <row r="690" spans="1:9" ht="18.600000000000001">
      <c r="A690" s="89"/>
      <c r="B690" s="90"/>
      <c r="C690" s="91"/>
      <c r="D690" s="9"/>
      <c r="E690" s="9"/>
      <c r="I690" s="11"/>
    </row>
    <row r="691" spans="1:9" ht="18.600000000000001">
      <c r="A691" s="89"/>
      <c r="B691" s="90"/>
      <c r="C691" s="91"/>
      <c r="D691" s="9"/>
      <c r="E691" s="9"/>
      <c r="I691" s="11"/>
    </row>
    <row r="692" spans="1:9" ht="18.600000000000001">
      <c r="A692" s="89"/>
      <c r="B692" s="90"/>
      <c r="C692" s="91"/>
      <c r="D692" s="9"/>
      <c r="E692" s="9"/>
      <c r="I692" s="11"/>
    </row>
    <row r="693" spans="1:9" ht="18.600000000000001">
      <c r="A693" s="89"/>
      <c r="B693" s="90"/>
      <c r="C693" s="91"/>
      <c r="D693" s="9"/>
      <c r="E693" s="9"/>
      <c r="I693" s="11"/>
    </row>
    <row r="694" spans="1:9" ht="18.600000000000001">
      <c r="A694" s="89"/>
      <c r="B694" s="90"/>
      <c r="C694" s="91"/>
      <c r="D694" s="9"/>
      <c r="E694" s="9"/>
      <c r="I694" s="11"/>
    </row>
    <row r="695" spans="1:9" ht="18.600000000000001">
      <c r="A695" s="89"/>
      <c r="B695" s="90"/>
      <c r="C695" s="91"/>
      <c r="D695" s="9"/>
      <c r="E695" s="9"/>
      <c r="I695" s="11"/>
    </row>
    <row r="696" spans="1:9" ht="18.600000000000001">
      <c r="A696" s="89"/>
      <c r="B696" s="90"/>
      <c r="C696" s="91"/>
      <c r="D696" s="9"/>
      <c r="E696" s="9"/>
      <c r="I696" s="11"/>
    </row>
    <row r="697" spans="1:9" ht="18.600000000000001">
      <c r="A697" s="89"/>
      <c r="B697" s="90"/>
      <c r="C697" s="91"/>
      <c r="D697" s="9"/>
      <c r="E697" s="9"/>
      <c r="I697" s="11"/>
    </row>
    <row r="698" spans="1:9" ht="18.600000000000001">
      <c r="A698" s="89"/>
      <c r="B698" s="90"/>
      <c r="C698" s="91"/>
      <c r="D698" s="9"/>
      <c r="E698" s="9"/>
      <c r="I698" s="11"/>
    </row>
    <row r="699" spans="1:9" ht="18.600000000000001">
      <c r="A699" s="89"/>
      <c r="B699" s="90"/>
      <c r="C699" s="91"/>
      <c r="D699" s="9"/>
      <c r="E699" s="9"/>
      <c r="I699" s="11"/>
    </row>
    <row r="700" spans="1:9" ht="18.600000000000001">
      <c r="A700" s="89"/>
      <c r="B700" s="90"/>
      <c r="C700" s="91"/>
      <c r="D700" s="9"/>
      <c r="E700" s="9"/>
      <c r="I700" s="11"/>
    </row>
    <row r="701" spans="1:9" ht="18.600000000000001">
      <c r="A701" s="89"/>
      <c r="B701" s="90"/>
      <c r="C701" s="91"/>
      <c r="D701" s="9"/>
      <c r="E701" s="9"/>
      <c r="I701" s="11"/>
    </row>
    <row r="702" spans="1:9" ht="18.600000000000001">
      <c r="A702" s="89"/>
      <c r="B702" s="90"/>
      <c r="C702" s="91"/>
      <c r="D702" s="9"/>
      <c r="E702" s="9"/>
      <c r="I702" s="11"/>
    </row>
    <row r="703" spans="1:9" ht="18.600000000000001">
      <c r="A703" s="89"/>
      <c r="B703" s="90"/>
      <c r="C703" s="91"/>
      <c r="D703" s="9"/>
      <c r="E703" s="9"/>
      <c r="I703" s="11"/>
    </row>
    <row r="704" spans="1:9" ht="18.600000000000001">
      <c r="A704" s="89"/>
      <c r="B704" s="90"/>
      <c r="C704" s="91"/>
      <c r="D704" s="9"/>
      <c r="E704" s="9"/>
      <c r="I704" s="11"/>
    </row>
    <row r="705" spans="1:9" ht="18.600000000000001">
      <c r="A705" s="89"/>
      <c r="B705" s="90"/>
      <c r="C705" s="91"/>
      <c r="D705" s="9"/>
      <c r="E705" s="9"/>
      <c r="I705" s="11"/>
    </row>
    <row r="706" spans="1:9" ht="18.600000000000001">
      <c r="A706" s="89"/>
      <c r="B706" s="90"/>
      <c r="C706" s="91"/>
      <c r="D706" s="9"/>
      <c r="E706" s="9"/>
      <c r="I706" s="11"/>
    </row>
    <row r="707" spans="1:9" ht="18.600000000000001">
      <c r="A707" s="89"/>
      <c r="B707" s="90"/>
      <c r="C707" s="91"/>
      <c r="D707" s="9"/>
      <c r="E707" s="9"/>
      <c r="I707" s="11"/>
    </row>
    <row r="708" spans="1:9" ht="18.600000000000001">
      <c r="A708" s="89"/>
      <c r="B708" s="90"/>
      <c r="C708" s="91"/>
      <c r="D708" s="9"/>
      <c r="E708" s="9"/>
      <c r="I708" s="11"/>
    </row>
    <row r="709" spans="1:9" ht="18.600000000000001">
      <c r="A709" s="89"/>
      <c r="B709" s="90"/>
      <c r="C709" s="91"/>
      <c r="D709" s="9"/>
      <c r="E709" s="9"/>
      <c r="I709" s="11"/>
    </row>
    <row r="710" spans="1:9" ht="18.600000000000001">
      <c r="A710" s="89"/>
      <c r="B710" s="90"/>
      <c r="C710" s="91"/>
      <c r="D710" s="9"/>
      <c r="E710" s="9"/>
      <c r="I710" s="11"/>
    </row>
    <row r="711" spans="1:9" ht="18.600000000000001">
      <c r="A711" s="89"/>
      <c r="B711" s="90"/>
      <c r="C711" s="91"/>
      <c r="D711" s="9"/>
      <c r="E711" s="9"/>
      <c r="I711" s="11"/>
    </row>
    <row r="712" spans="1:9" ht="18.600000000000001">
      <c r="A712" s="89"/>
      <c r="B712" s="90"/>
      <c r="C712" s="91"/>
      <c r="D712" s="9"/>
      <c r="E712" s="9"/>
      <c r="I712" s="11"/>
    </row>
    <row r="713" spans="1:9" ht="18.600000000000001">
      <c r="A713" s="89"/>
      <c r="B713" s="90"/>
      <c r="C713" s="91"/>
      <c r="D713" s="9"/>
      <c r="E713" s="9"/>
      <c r="I713" s="11"/>
    </row>
    <row r="714" spans="1:9" ht="18.600000000000001">
      <c r="A714" s="89"/>
      <c r="B714" s="90"/>
      <c r="C714" s="91"/>
      <c r="D714" s="9"/>
      <c r="E714" s="9"/>
      <c r="I714" s="11"/>
    </row>
    <row r="715" spans="1:9" ht="18.600000000000001">
      <c r="A715" s="89"/>
      <c r="B715" s="90"/>
      <c r="C715" s="91"/>
      <c r="D715" s="9"/>
      <c r="E715" s="9"/>
      <c r="I715" s="11"/>
    </row>
    <row r="716" spans="1:9" ht="18.600000000000001">
      <c r="A716" s="89"/>
      <c r="B716" s="90"/>
      <c r="C716" s="91"/>
      <c r="D716" s="9"/>
      <c r="E716" s="9"/>
      <c r="I716" s="11"/>
    </row>
    <row r="717" spans="1:9" ht="18.600000000000001">
      <c r="A717" s="89"/>
      <c r="B717" s="90"/>
      <c r="C717" s="91"/>
      <c r="D717" s="9"/>
      <c r="E717" s="9"/>
      <c r="I717" s="11"/>
    </row>
    <row r="718" spans="1:9" ht="18.600000000000001">
      <c r="A718" s="89"/>
      <c r="B718" s="90"/>
      <c r="C718" s="91"/>
      <c r="D718" s="9"/>
      <c r="E718" s="9"/>
      <c r="I718" s="11"/>
    </row>
    <row r="719" spans="1:9" ht="18.600000000000001">
      <c r="A719" s="89"/>
      <c r="B719" s="90"/>
      <c r="C719" s="91"/>
      <c r="D719" s="9"/>
      <c r="E719" s="9"/>
      <c r="I719" s="11"/>
    </row>
    <row r="720" spans="1:9" ht="18.600000000000001">
      <c r="A720" s="89"/>
      <c r="B720" s="90"/>
      <c r="C720" s="91"/>
      <c r="D720" s="9"/>
      <c r="E720" s="9"/>
      <c r="I720" s="11"/>
    </row>
    <row r="721" spans="1:9" ht="18.600000000000001">
      <c r="A721" s="89"/>
      <c r="B721" s="90"/>
      <c r="C721" s="91"/>
      <c r="D721" s="9"/>
      <c r="E721" s="9"/>
      <c r="I721" s="11"/>
    </row>
    <row r="722" spans="1:9" ht="18.600000000000001">
      <c r="A722" s="89"/>
      <c r="B722" s="90"/>
      <c r="C722" s="91"/>
      <c r="D722" s="9"/>
      <c r="E722" s="9"/>
      <c r="I722" s="11"/>
    </row>
    <row r="723" spans="1:9" ht="18.600000000000001">
      <c r="A723" s="89"/>
      <c r="B723" s="90"/>
      <c r="C723" s="91"/>
      <c r="D723" s="9"/>
      <c r="E723" s="9"/>
      <c r="I723" s="11"/>
    </row>
    <row r="724" spans="1:9" ht="18.600000000000001">
      <c r="A724" s="89"/>
      <c r="B724" s="90"/>
      <c r="C724" s="91"/>
      <c r="D724" s="9"/>
      <c r="E724" s="9"/>
      <c r="I724" s="11"/>
    </row>
    <row r="725" spans="1:9" ht="18.600000000000001">
      <c r="A725" s="89"/>
      <c r="B725" s="90"/>
      <c r="C725" s="91"/>
      <c r="D725" s="9"/>
      <c r="E725" s="9"/>
      <c r="I725" s="11"/>
    </row>
    <row r="726" spans="1:9" ht="18.600000000000001">
      <c r="A726" s="89"/>
      <c r="B726" s="90"/>
      <c r="C726" s="91"/>
      <c r="D726" s="9"/>
      <c r="E726" s="9"/>
      <c r="I726" s="11"/>
    </row>
    <row r="727" spans="1:9" ht="18.600000000000001">
      <c r="A727" s="89"/>
      <c r="B727" s="90"/>
      <c r="C727" s="91"/>
      <c r="D727" s="9"/>
      <c r="E727" s="9"/>
      <c r="I727" s="11"/>
    </row>
    <row r="728" spans="1:9" ht="18.600000000000001">
      <c r="A728" s="89"/>
      <c r="B728" s="90"/>
      <c r="C728" s="91"/>
      <c r="D728" s="9"/>
      <c r="E728" s="9"/>
      <c r="I728" s="11"/>
    </row>
    <row r="729" spans="1:9" ht="18.600000000000001">
      <c r="A729" s="89"/>
      <c r="B729" s="90"/>
      <c r="C729" s="91"/>
      <c r="D729" s="9"/>
      <c r="E729" s="9"/>
      <c r="I729" s="11"/>
    </row>
    <row r="730" spans="1:9" ht="18.600000000000001">
      <c r="A730" s="89"/>
      <c r="B730" s="90"/>
      <c r="C730" s="91"/>
      <c r="D730" s="9"/>
      <c r="E730" s="9"/>
      <c r="I730" s="11"/>
    </row>
    <row r="731" spans="1:9" ht="18.600000000000001">
      <c r="A731" s="89"/>
      <c r="B731" s="90"/>
      <c r="C731" s="91"/>
      <c r="D731" s="9"/>
      <c r="E731" s="9"/>
      <c r="I731" s="11"/>
    </row>
    <row r="732" spans="1:9" ht="18.600000000000001">
      <c r="A732" s="89"/>
      <c r="B732" s="90"/>
      <c r="C732" s="91"/>
      <c r="D732" s="9"/>
      <c r="E732" s="9"/>
      <c r="I732" s="11"/>
    </row>
    <row r="733" spans="1:9" ht="18.600000000000001">
      <c r="A733" s="89"/>
      <c r="B733" s="90"/>
      <c r="C733" s="91"/>
      <c r="D733" s="9"/>
      <c r="E733" s="9"/>
      <c r="I733" s="11"/>
    </row>
    <row r="734" spans="1:9" ht="18.600000000000001">
      <c r="A734" s="89"/>
      <c r="B734" s="90"/>
      <c r="C734" s="91"/>
      <c r="D734" s="9"/>
      <c r="E734" s="9"/>
      <c r="I734" s="11"/>
    </row>
    <row r="735" spans="1:9" ht="18.600000000000001">
      <c r="A735" s="89"/>
      <c r="B735" s="90"/>
      <c r="C735" s="91"/>
      <c r="D735" s="9"/>
      <c r="E735" s="9"/>
      <c r="I735" s="11"/>
    </row>
    <row r="736" spans="1:9" ht="18.600000000000001">
      <c r="A736" s="89"/>
      <c r="B736" s="90"/>
      <c r="C736" s="91"/>
      <c r="D736" s="9"/>
      <c r="E736" s="9"/>
      <c r="I736" s="11"/>
    </row>
    <row r="737" spans="1:9" ht="18.600000000000001">
      <c r="A737" s="89"/>
      <c r="B737" s="90"/>
      <c r="C737" s="91"/>
      <c r="D737" s="9"/>
      <c r="E737" s="9"/>
      <c r="I737" s="11"/>
    </row>
    <row r="738" spans="1:9" ht="18.600000000000001">
      <c r="A738" s="89"/>
      <c r="B738" s="90"/>
      <c r="C738" s="91"/>
      <c r="D738" s="9"/>
      <c r="E738" s="9"/>
      <c r="I738" s="11"/>
    </row>
    <row r="739" spans="1:9" ht="18.600000000000001">
      <c r="A739" s="89"/>
      <c r="B739" s="90"/>
      <c r="C739" s="91"/>
      <c r="D739" s="9"/>
      <c r="E739" s="9"/>
      <c r="I739" s="11"/>
    </row>
    <row r="740" spans="1:9" ht="18.600000000000001">
      <c r="A740" s="89"/>
      <c r="B740" s="90"/>
      <c r="C740" s="91"/>
      <c r="D740" s="9"/>
      <c r="E740" s="9"/>
      <c r="I740" s="11"/>
    </row>
    <row r="741" spans="1:9" ht="18.600000000000001">
      <c r="A741" s="89"/>
      <c r="B741" s="90"/>
      <c r="C741" s="91"/>
      <c r="D741" s="9"/>
      <c r="E741" s="9"/>
      <c r="I741" s="11"/>
    </row>
    <row r="742" spans="1:9" ht="18.600000000000001">
      <c r="A742" s="89"/>
      <c r="B742" s="90"/>
      <c r="C742" s="91"/>
      <c r="D742" s="9"/>
      <c r="E742" s="9"/>
      <c r="I742" s="11"/>
    </row>
    <row r="743" spans="1:9" ht="18.600000000000001">
      <c r="A743" s="89"/>
      <c r="B743" s="90"/>
      <c r="C743" s="91"/>
      <c r="D743" s="9"/>
      <c r="E743" s="9"/>
      <c r="I743" s="11"/>
    </row>
    <row r="744" spans="1:9" ht="18.600000000000001">
      <c r="A744" s="89"/>
      <c r="B744" s="90"/>
      <c r="C744" s="91"/>
      <c r="D744" s="9"/>
      <c r="E744" s="9"/>
      <c r="I744" s="11"/>
    </row>
    <row r="745" spans="1:9" ht="18.600000000000001">
      <c r="A745" s="89"/>
      <c r="B745" s="90"/>
      <c r="C745" s="91"/>
      <c r="D745" s="9"/>
      <c r="E745" s="9"/>
      <c r="I745" s="11"/>
    </row>
    <row r="746" spans="1:9" ht="18.600000000000001">
      <c r="A746" s="89"/>
      <c r="B746" s="90"/>
      <c r="C746" s="91"/>
      <c r="D746" s="9"/>
      <c r="E746" s="9"/>
      <c r="I746" s="11"/>
    </row>
    <row r="747" spans="1:9" ht="18.600000000000001">
      <c r="A747" s="89"/>
      <c r="B747" s="90"/>
      <c r="C747" s="91"/>
      <c r="D747" s="9"/>
      <c r="E747" s="9"/>
      <c r="I747" s="11"/>
    </row>
    <row r="748" spans="1:9" ht="18.600000000000001">
      <c r="A748" s="89"/>
      <c r="B748" s="90"/>
      <c r="C748" s="91"/>
      <c r="D748" s="9"/>
      <c r="E748" s="9"/>
      <c r="I748" s="11"/>
    </row>
    <row r="749" spans="1:9" ht="18.600000000000001">
      <c r="A749" s="89"/>
      <c r="B749" s="90"/>
      <c r="C749" s="91"/>
      <c r="D749" s="9"/>
      <c r="E749" s="9"/>
      <c r="I749" s="11"/>
    </row>
    <row r="750" spans="1:9" ht="18.600000000000001">
      <c r="A750" s="89"/>
      <c r="B750" s="90"/>
      <c r="C750" s="91"/>
      <c r="D750" s="9"/>
      <c r="E750" s="9"/>
      <c r="I750" s="11"/>
    </row>
    <row r="751" spans="1:9" ht="18.600000000000001">
      <c r="A751" s="89"/>
      <c r="B751" s="90"/>
      <c r="C751" s="91"/>
      <c r="D751" s="9"/>
      <c r="E751" s="9"/>
      <c r="I751" s="11"/>
    </row>
    <row r="752" spans="1:9" ht="18.600000000000001">
      <c r="A752" s="89"/>
      <c r="B752" s="90"/>
      <c r="C752" s="91"/>
      <c r="D752" s="9"/>
      <c r="E752" s="9"/>
      <c r="I752" s="11"/>
    </row>
    <row r="753" spans="1:9" ht="18.600000000000001">
      <c r="A753" s="89"/>
      <c r="B753" s="90"/>
      <c r="C753" s="91"/>
      <c r="D753" s="9"/>
      <c r="E753" s="9"/>
      <c r="I753" s="11"/>
    </row>
    <row r="754" spans="1:9" ht="18.600000000000001">
      <c r="A754" s="89"/>
      <c r="B754" s="90"/>
      <c r="C754" s="91"/>
      <c r="D754" s="9"/>
      <c r="E754" s="9"/>
      <c r="I754" s="11"/>
    </row>
    <row r="755" spans="1:9" ht="18.600000000000001">
      <c r="A755" s="89"/>
      <c r="B755" s="90"/>
      <c r="C755" s="91"/>
      <c r="D755" s="9"/>
      <c r="E755" s="9"/>
      <c r="I755" s="11"/>
    </row>
    <row r="756" spans="1:9" ht="18.600000000000001">
      <c r="A756" s="89"/>
      <c r="B756" s="90"/>
      <c r="C756" s="91"/>
      <c r="D756" s="9"/>
      <c r="E756" s="9"/>
      <c r="I756" s="11"/>
    </row>
    <row r="757" spans="1:9" ht="18.600000000000001">
      <c r="A757" s="89"/>
      <c r="B757" s="90"/>
      <c r="C757" s="91"/>
      <c r="D757" s="9"/>
      <c r="E757" s="9"/>
      <c r="I757" s="11"/>
    </row>
    <row r="758" spans="1:9" ht="18.600000000000001">
      <c r="A758" s="89"/>
      <c r="B758" s="90"/>
      <c r="C758" s="91"/>
      <c r="D758" s="9"/>
      <c r="E758" s="9"/>
      <c r="I758" s="11"/>
    </row>
    <row r="759" spans="1:9" ht="18.600000000000001">
      <c r="A759" s="89"/>
      <c r="B759" s="90"/>
      <c r="C759" s="91"/>
      <c r="D759" s="9"/>
      <c r="E759" s="9"/>
      <c r="I759" s="11"/>
    </row>
    <row r="760" spans="1:9" ht="18.600000000000001">
      <c r="A760" s="89"/>
      <c r="B760" s="90"/>
      <c r="C760" s="91"/>
      <c r="D760" s="9"/>
      <c r="E760" s="9"/>
      <c r="I760" s="11"/>
    </row>
    <row r="761" spans="1:9" ht="18.600000000000001">
      <c r="A761" s="89"/>
      <c r="B761" s="90"/>
      <c r="C761" s="91"/>
      <c r="D761" s="9"/>
      <c r="E761" s="9"/>
      <c r="I761" s="11"/>
    </row>
    <row r="762" spans="1:9" ht="18.600000000000001">
      <c r="A762" s="89"/>
      <c r="B762" s="90"/>
      <c r="C762" s="91"/>
      <c r="D762" s="9"/>
      <c r="E762" s="9"/>
      <c r="I762" s="11"/>
    </row>
    <row r="763" spans="1:9" ht="18.600000000000001">
      <c r="A763" s="89"/>
      <c r="B763" s="90"/>
      <c r="C763" s="91"/>
      <c r="D763" s="9"/>
      <c r="E763" s="9"/>
      <c r="I763" s="11"/>
    </row>
    <row r="764" spans="1:9" ht="18.600000000000001">
      <c r="A764" s="89"/>
      <c r="B764" s="90"/>
      <c r="C764" s="91"/>
      <c r="D764" s="9"/>
      <c r="E764" s="9"/>
      <c r="I764" s="11"/>
    </row>
    <row r="765" spans="1:9" ht="18.600000000000001">
      <c r="A765" s="89"/>
      <c r="B765" s="90"/>
      <c r="C765" s="91"/>
      <c r="D765" s="9"/>
      <c r="E765" s="9"/>
      <c r="I765" s="11"/>
    </row>
    <row r="766" spans="1:9" ht="18.600000000000001">
      <c r="A766" s="89"/>
      <c r="B766" s="90"/>
      <c r="C766" s="91"/>
      <c r="D766" s="9"/>
      <c r="E766" s="9"/>
      <c r="I766" s="11"/>
    </row>
    <row r="767" spans="1:9" ht="18.600000000000001">
      <c r="A767" s="89"/>
      <c r="B767" s="90"/>
      <c r="C767" s="91"/>
      <c r="D767" s="9"/>
      <c r="E767" s="9"/>
      <c r="I767" s="11"/>
    </row>
    <row r="768" spans="1:9" ht="18.600000000000001">
      <c r="A768" s="89"/>
      <c r="B768" s="90"/>
      <c r="C768" s="91"/>
      <c r="D768" s="9"/>
      <c r="E768" s="9"/>
      <c r="I768" s="11"/>
    </row>
    <row r="769" spans="1:9" ht="18.600000000000001">
      <c r="A769" s="89"/>
      <c r="B769" s="90"/>
      <c r="C769" s="91"/>
      <c r="D769" s="9"/>
      <c r="E769" s="9"/>
      <c r="I769" s="11"/>
    </row>
    <row r="770" spans="1:9" ht="18.600000000000001">
      <c r="A770" s="89"/>
      <c r="B770" s="90"/>
      <c r="C770" s="91"/>
      <c r="D770" s="9"/>
      <c r="E770" s="9"/>
      <c r="I770" s="11"/>
    </row>
    <row r="771" spans="1:9" ht="18.600000000000001">
      <c r="A771" s="89"/>
      <c r="B771" s="90"/>
      <c r="C771" s="91"/>
      <c r="D771" s="9"/>
      <c r="E771" s="9"/>
      <c r="I771" s="11"/>
    </row>
    <row r="772" spans="1:9" ht="18.600000000000001">
      <c r="A772" s="89"/>
      <c r="B772" s="90"/>
      <c r="C772" s="91"/>
      <c r="D772" s="9"/>
      <c r="E772" s="9"/>
      <c r="I772" s="11"/>
    </row>
    <row r="773" spans="1:9" ht="18.600000000000001">
      <c r="A773" s="89"/>
      <c r="B773" s="90"/>
      <c r="C773" s="91"/>
      <c r="D773" s="9"/>
      <c r="E773" s="9"/>
      <c r="I773" s="11"/>
    </row>
    <row r="774" spans="1:9" ht="18.600000000000001">
      <c r="A774" s="89"/>
      <c r="B774" s="90"/>
      <c r="C774" s="91"/>
      <c r="D774" s="9"/>
      <c r="E774" s="9"/>
      <c r="I774" s="11"/>
    </row>
    <row r="775" spans="1:9" ht="18.600000000000001">
      <c r="A775" s="89"/>
      <c r="B775" s="90"/>
      <c r="C775" s="91"/>
      <c r="D775" s="9"/>
      <c r="E775" s="9"/>
      <c r="I775" s="11"/>
    </row>
    <row r="776" spans="1:9" ht="18.600000000000001">
      <c r="A776" s="89"/>
      <c r="B776" s="90"/>
      <c r="C776" s="91"/>
      <c r="D776" s="9"/>
      <c r="E776" s="9"/>
      <c r="I776" s="11"/>
    </row>
    <row r="777" spans="1:9" ht="18.600000000000001">
      <c r="A777" s="89"/>
      <c r="B777" s="90"/>
      <c r="C777" s="91"/>
      <c r="D777" s="9"/>
      <c r="E777" s="9"/>
      <c r="I777" s="11"/>
    </row>
    <row r="778" spans="1:9" ht="18.600000000000001">
      <c r="A778" s="89"/>
      <c r="B778" s="90"/>
      <c r="C778" s="91"/>
      <c r="D778" s="9"/>
      <c r="E778" s="9"/>
      <c r="I778" s="11"/>
    </row>
    <row r="779" spans="1:9" ht="18.600000000000001">
      <c r="A779" s="89"/>
      <c r="B779" s="90"/>
      <c r="C779" s="91"/>
      <c r="D779" s="9"/>
      <c r="E779" s="9"/>
      <c r="I779" s="11"/>
    </row>
    <row r="780" spans="1:9" ht="18.600000000000001">
      <c r="A780" s="89"/>
      <c r="B780" s="90"/>
      <c r="C780" s="91"/>
      <c r="D780" s="9"/>
      <c r="E780" s="9"/>
      <c r="I780" s="11"/>
    </row>
    <row r="781" spans="1:9" ht="18.600000000000001">
      <c r="A781" s="89"/>
      <c r="B781" s="90"/>
      <c r="C781" s="91"/>
      <c r="D781" s="9"/>
      <c r="E781" s="9"/>
      <c r="I781" s="11"/>
    </row>
    <row r="782" spans="1:9" ht="18.600000000000001">
      <c r="A782" s="89"/>
      <c r="B782" s="90"/>
      <c r="C782" s="91"/>
      <c r="D782" s="9"/>
      <c r="E782" s="9"/>
      <c r="I782" s="11"/>
    </row>
    <row r="783" spans="1:9" ht="18.600000000000001">
      <c r="A783" s="89"/>
      <c r="B783" s="90"/>
      <c r="C783" s="91"/>
      <c r="D783" s="9"/>
      <c r="E783" s="9"/>
      <c r="I783" s="11"/>
    </row>
    <row r="784" spans="1:9" ht="18.600000000000001">
      <c r="A784" s="89"/>
      <c r="B784" s="90"/>
      <c r="C784" s="91"/>
      <c r="D784" s="9"/>
      <c r="E784" s="9"/>
      <c r="I784" s="11"/>
    </row>
    <row r="785" spans="1:9" ht="18.600000000000001">
      <c r="A785" s="89"/>
      <c r="B785" s="90"/>
      <c r="C785" s="91"/>
      <c r="D785" s="9"/>
      <c r="E785" s="9"/>
      <c r="I785" s="11"/>
    </row>
    <row r="786" spans="1:9" ht="18.600000000000001">
      <c r="A786" s="89"/>
      <c r="B786" s="90"/>
      <c r="C786" s="91"/>
      <c r="D786" s="9"/>
      <c r="E786" s="9"/>
      <c r="I786" s="11"/>
    </row>
    <row r="787" spans="1:9" ht="18.600000000000001">
      <c r="A787" s="89"/>
      <c r="B787" s="90"/>
      <c r="C787" s="91"/>
      <c r="D787" s="9"/>
      <c r="E787" s="9"/>
      <c r="I787" s="11"/>
    </row>
    <row r="788" spans="1:9" ht="18.600000000000001">
      <c r="A788" s="89"/>
      <c r="B788" s="90"/>
      <c r="C788" s="91"/>
      <c r="D788" s="9"/>
      <c r="E788" s="9"/>
      <c r="I788" s="11"/>
    </row>
    <row r="789" spans="1:9" ht="18.600000000000001">
      <c r="A789" s="89"/>
      <c r="B789" s="90"/>
      <c r="C789" s="91"/>
      <c r="D789" s="9"/>
      <c r="E789" s="9"/>
      <c r="I789" s="11"/>
    </row>
    <row r="790" spans="1:9" ht="18.600000000000001">
      <c r="A790" s="89"/>
      <c r="B790" s="90"/>
      <c r="C790" s="91"/>
      <c r="D790" s="9"/>
      <c r="E790" s="9"/>
      <c r="I790" s="11"/>
    </row>
    <row r="791" spans="1:9" ht="18.600000000000001">
      <c r="A791" s="89"/>
      <c r="B791" s="90"/>
      <c r="C791" s="91"/>
      <c r="D791" s="9"/>
      <c r="E791" s="9"/>
      <c r="I791" s="11"/>
    </row>
    <row r="792" spans="1:9" ht="18.600000000000001">
      <c r="A792" s="89"/>
      <c r="B792" s="90"/>
      <c r="C792" s="91"/>
      <c r="D792" s="9"/>
      <c r="E792" s="9"/>
      <c r="I792" s="11"/>
    </row>
    <row r="793" spans="1:9" ht="18.600000000000001">
      <c r="A793" s="89"/>
      <c r="B793" s="90"/>
      <c r="C793" s="91"/>
      <c r="D793" s="9"/>
      <c r="E793" s="9"/>
      <c r="I793" s="11"/>
    </row>
    <row r="794" spans="1:9" ht="18.600000000000001">
      <c r="A794" s="89"/>
      <c r="B794" s="90"/>
      <c r="C794" s="91"/>
      <c r="D794" s="9"/>
      <c r="E794" s="9"/>
      <c r="I794" s="11"/>
    </row>
    <row r="795" spans="1:9" ht="18.600000000000001">
      <c r="A795" s="89"/>
      <c r="B795" s="90"/>
      <c r="C795" s="91"/>
      <c r="D795" s="9"/>
      <c r="E795" s="9"/>
      <c r="I795" s="11"/>
    </row>
    <row r="796" spans="1:9" ht="18.600000000000001">
      <c r="A796" s="89"/>
      <c r="B796" s="90"/>
      <c r="C796" s="91"/>
      <c r="D796" s="9"/>
      <c r="E796" s="9"/>
      <c r="I796" s="11"/>
    </row>
    <row r="797" spans="1:9" ht="18.600000000000001">
      <c r="A797" s="89"/>
      <c r="B797" s="90"/>
      <c r="C797" s="91"/>
      <c r="D797" s="9"/>
      <c r="E797" s="9"/>
      <c r="I797" s="11"/>
    </row>
    <row r="798" spans="1:9" ht="18.600000000000001">
      <c r="A798" s="89"/>
      <c r="B798" s="90"/>
      <c r="C798" s="91"/>
      <c r="D798" s="9"/>
      <c r="E798" s="9"/>
      <c r="I798" s="11"/>
    </row>
    <row r="799" spans="1:9" ht="18.600000000000001">
      <c r="A799" s="89"/>
      <c r="B799" s="90"/>
      <c r="C799" s="91"/>
      <c r="D799" s="9"/>
      <c r="E799" s="9"/>
      <c r="I799" s="11"/>
    </row>
    <row r="800" spans="1:9" ht="18.600000000000001">
      <c r="A800" s="89"/>
      <c r="B800" s="90"/>
      <c r="C800" s="91"/>
      <c r="D800" s="9"/>
      <c r="E800" s="9"/>
      <c r="I800" s="11"/>
    </row>
    <row r="801" spans="1:9" ht="18.600000000000001">
      <c r="A801" s="89"/>
      <c r="B801" s="90"/>
      <c r="C801" s="91"/>
      <c r="D801" s="9"/>
      <c r="E801" s="9"/>
      <c r="I801" s="11"/>
    </row>
    <row r="802" spans="1:9" ht="18.600000000000001">
      <c r="A802" s="89"/>
      <c r="B802" s="90"/>
      <c r="C802" s="91"/>
      <c r="D802" s="9"/>
      <c r="E802" s="9"/>
      <c r="I802" s="11"/>
    </row>
    <row r="803" spans="1:9" ht="18.600000000000001">
      <c r="A803" s="89"/>
      <c r="B803" s="90"/>
      <c r="C803" s="91"/>
      <c r="D803" s="9"/>
      <c r="E803" s="9"/>
      <c r="I803" s="11"/>
    </row>
    <row r="804" spans="1:9" ht="18.600000000000001">
      <c r="A804" s="89"/>
      <c r="B804" s="90"/>
      <c r="C804" s="91"/>
      <c r="D804" s="9"/>
      <c r="E804" s="9"/>
      <c r="I804" s="11"/>
    </row>
    <row r="805" spans="1:9" ht="18.600000000000001">
      <c r="A805" s="89"/>
      <c r="B805" s="90"/>
      <c r="C805" s="91"/>
      <c r="D805" s="9"/>
      <c r="E805" s="9"/>
      <c r="I805" s="11"/>
    </row>
    <row r="806" spans="1:9" ht="18.600000000000001">
      <c r="A806" s="89"/>
      <c r="B806" s="90"/>
      <c r="C806" s="91"/>
      <c r="D806" s="9"/>
      <c r="E806" s="9"/>
      <c r="I806" s="11"/>
    </row>
    <row r="807" spans="1:9" ht="18.600000000000001">
      <c r="A807" s="89"/>
      <c r="B807" s="90"/>
      <c r="C807" s="91"/>
      <c r="D807" s="9"/>
      <c r="E807" s="9"/>
      <c r="I807" s="11"/>
    </row>
    <row r="808" spans="1:9" ht="18.600000000000001">
      <c r="A808" s="89"/>
      <c r="B808" s="90"/>
      <c r="C808" s="91"/>
      <c r="D808" s="9"/>
      <c r="E808" s="9"/>
      <c r="I808" s="11"/>
    </row>
    <row r="809" spans="1:9" ht="18.600000000000001">
      <c r="A809" s="89"/>
      <c r="B809" s="90"/>
      <c r="C809" s="91"/>
      <c r="D809" s="9"/>
      <c r="E809" s="9"/>
      <c r="I809" s="11"/>
    </row>
    <row r="810" spans="1:9" ht="18.600000000000001">
      <c r="A810" s="89"/>
      <c r="B810" s="90"/>
      <c r="C810" s="91"/>
      <c r="D810" s="9"/>
      <c r="E810" s="9"/>
      <c r="I810" s="11"/>
    </row>
    <row r="811" spans="1:9" ht="18.600000000000001">
      <c r="A811" s="89"/>
      <c r="B811" s="90"/>
      <c r="C811" s="91"/>
      <c r="D811" s="9"/>
      <c r="E811" s="9"/>
      <c r="I811" s="11"/>
    </row>
    <row r="812" spans="1:9" ht="18.600000000000001">
      <c r="A812" s="89"/>
      <c r="B812" s="90"/>
      <c r="C812" s="91"/>
      <c r="D812" s="9"/>
      <c r="E812" s="9"/>
      <c r="I812" s="11"/>
    </row>
    <row r="813" spans="1:9" ht="18.600000000000001">
      <c r="A813" s="89"/>
      <c r="B813" s="90"/>
      <c r="C813" s="91"/>
      <c r="D813" s="9"/>
      <c r="E813" s="9"/>
      <c r="I813" s="11"/>
    </row>
    <row r="814" spans="1:9" ht="18.600000000000001">
      <c r="A814" s="89"/>
      <c r="B814" s="90"/>
      <c r="C814" s="91"/>
      <c r="D814" s="9"/>
      <c r="E814" s="9"/>
      <c r="I814" s="11"/>
    </row>
    <row r="815" spans="1:9" ht="18.600000000000001">
      <c r="A815" s="89"/>
      <c r="B815" s="90"/>
      <c r="C815" s="91"/>
      <c r="D815" s="9"/>
      <c r="E815" s="9"/>
      <c r="I815" s="11"/>
    </row>
    <row r="816" spans="1:9" ht="18.600000000000001">
      <c r="A816" s="89"/>
      <c r="B816" s="90"/>
      <c r="C816" s="91"/>
      <c r="D816" s="9"/>
      <c r="E816" s="9"/>
      <c r="I816" s="11"/>
    </row>
    <row r="817" spans="1:9" ht="18.600000000000001">
      <c r="A817" s="89"/>
      <c r="B817" s="90"/>
      <c r="C817" s="91"/>
      <c r="D817" s="9"/>
      <c r="E817" s="9"/>
      <c r="I817" s="11"/>
    </row>
    <row r="818" spans="1:9" ht="18.600000000000001">
      <c r="A818" s="89"/>
      <c r="B818" s="90"/>
      <c r="C818" s="91"/>
      <c r="D818" s="9"/>
      <c r="E818" s="9"/>
      <c r="I818" s="11"/>
    </row>
    <row r="819" spans="1:9" ht="18.600000000000001">
      <c r="A819" s="89"/>
      <c r="B819" s="90"/>
      <c r="C819" s="91"/>
      <c r="D819" s="9"/>
      <c r="E819" s="9"/>
      <c r="I819" s="11"/>
    </row>
    <row r="820" spans="1:9" ht="18.600000000000001">
      <c r="A820" s="89"/>
      <c r="B820" s="90"/>
      <c r="C820" s="91"/>
      <c r="D820" s="9"/>
      <c r="E820" s="9"/>
      <c r="I820" s="11"/>
    </row>
    <row r="821" spans="1:9" ht="18.600000000000001">
      <c r="A821" s="89"/>
      <c r="B821" s="90"/>
      <c r="C821" s="91"/>
      <c r="D821" s="9"/>
      <c r="E821" s="9"/>
      <c r="I821" s="11"/>
    </row>
    <row r="822" spans="1:9" ht="18.600000000000001">
      <c r="A822" s="89"/>
      <c r="B822" s="90"/>
      <c r="C822" s="91"/>
      <c r="D822" s="9"/>
      <c r="E822" s="9"/>
      <c r="I822" s="11"/>
    </row>
    <row r="823" spans="1:9" ht="18.600000000000001">
      <c r="A823" s="89"/>
      <c r="B823" s="90"/>
      <c r="C823" s="91"/>
      <c r="D823" s="9"/>
      <c r="E823" s="9"/>
      <c r="I823" s="11"/>
    </row>
    <row r="824" spans="1:9" ht="18.600000000000001">
      <c r="A824" s="89"/>
      <c r="B824" s="90"/>
      <c r="C824" s="91"/>
      <c r="D824" s="9"/>
      <c r="E824" s="9"/>
      <c r="I824" s="11"/>
    </row>
    <row r="825" spans="1:9" ht="18.600000000000001">
      <c r="A825" s="89"/>
      <c r="B825" s="90"/>
      <c r="C825" s="91"/>
      <c r="D825" s="9"/>
      <c r="E825" s="9"/>
      <c r="I825" s="11"/>
    </row>
    <row r="826" spans="1:9" ht="18.600000000000001">
      <c r="A826" s="89"/>
      <c r="B826" s="90"/>
      <c r="C826" s="91"/>
      <c r="D826" s="9"/>
      <c r="E826" s="9"/>
      <c r="I826" s="11"/>
    </row>
    <row r="827" spans="1:9" ht="18.600000000000001">
      <c r="A827" s="89"/>
      <c r="B827" s="90"/>
      <c r="C827" s="91"/>
      <c r="D827" s="9"/>
      <c r="E827" s="9"/>
      <c r="I827" s="11"/>
    </row>
    <row r="828" spans="1:9" ht="18.600000000000001">
      <c r="A828" s="89"/>
      <c r="B828" s="90"/>
      <c r="C828" s="91"/>
      <c r="D828" s="9"/>
      <c r="E828" s="9"/>
      <c r="I828" s="11"/>
    </row>
    <row r="829" spans="1:9" ht="18.600000000000001">
      <c r="A829" s="89"/>
      <c r="B829" s="90"/>
      <c r="C829" s="91"/>
      <c r="D829" s="9"/>
      <c r="E829" s="9"/>
      <c r="I829" s="11"/>
    </row>
    <row r="830" spans="1:9" ht="18.600000000000001">
      <c r="A830" s="89"/>
      <c r="B830" s="90"/>
      <c r="C830" s="91"/>
      <c r="D830" s="9"/>
      <c r="E830" s="9"/>
      <c r="I830" s="11"/>
    </row>
    <row r="831" spans="1:9" ht="18.600000000000001">
      <c r="A831" s="89"/>
      <c r="B831" s="90"/>
      <c r="C831" s="91"/>
      <c r="D831" s="9"/>
      <c r="E831" s="9"/>
      <c r="I831" s="11"/>
    </row>
    <row r="832" spans="1:9" ht="18.600000000000001">
      <c r="A832" s="89"/>
      <c r="B832" s="90"/>
      <c r="C832" s="91"/>
      <c r="D832" s="9"/>
      <c r="E832" s="9"/>
      <c r="I832" s="11"/>
    </row>
    <row r="833" spans="1:9" ht="18.600000000000001">
      <c r="A833" s="89"/>
      <c r="B833" s="90"/>
      <c r="C833" s="91"/>
      <c r="D833" s="9"/>
      <c r="E833" s="9"/>
      <c r="I833" s="11"/>
    </row>
    <row r="834" spans="1:9" ht="18.600000000000001">
      <c r="A834" s="89"/>
      <c r="B834" s="90"/>
      <c r="C834" s="91"/>
      <c r="D834" s="9"/>
      <c r="E834" s="9"/>
      <c r="I834" s="11"/>
    </row>
    <row r="835" spans="1:9" ht="18.600000000000001">
      <c r="A835" s="89"/>
      <c r="B835" s="90"/>
      <c r="C835" s="91"/>
      <c r="D835" s="9"/>
      <c r="E835" s="9"/>
      <c r="I835" s="11"/>
    </row>
    <row r="836" spans="1:9" ht="18.600000000000001">
      <c r="A836" s="89"/>
      <c r="B836" s="90"/>
      <c r="C836" s="91"/>
      <c r="D836" s="9"/>
      <c r="E836" s="9"/>
      <c r="I836" s="11"/>
    </row>
    <row r="837" spans="1:9" ht="18.600000000000001">
      <c r="A837" s="89"/>
      <c r="B837" s="90"/>
      <c r="C837" s="91"/>
      <c r="D837" s="9"/>
      <c r="E837" s="9"/>
      <c r="I837" s="11"/>
    </row>
    <row r="838" spans="1:9" ht="18.600000000000001">
      <c r="A838" s="89"/>
      <c r="B838" s="90"/>
      <c r="C838" s="91"/>
      <c r="D838" s="9"/>
      <c r="E838" s="9"/>
      <c r="I838" s="11"/>
    </row>
    <row r="839" spans="1:9" ht="18.600000000000001">
      <c r="A839" s="89"/>
      <c r="B839" s="90"/>
      <c r="C839" s="91"/>
      <c r="D839" s="9"/>
      <c r="E839" s="9"/>
      <c r="I839" s="11"/>
    </row>
    <row r="840" spans="1:9" ht="18.600000000000001">
      <c r="A840" s="89"/>
      <c r="B840" s="90"/>
      <c r="C840" s="91"/>
      <c r="D840" s="9"/>
      <c r="E840" s="9"/>
      <c r="I840" s="11"/>
    </row>
    <row r="841" spans="1:9" ht="18.600000000000001">
      <c r="A841" s="89"/>
      <c r="B841" s="90"/>
      <c r="C841" s="91"/>
      <c r="D841" s="9"/>
      <c r="E841" s="9"/>
      <c r="I841" s="11"/>
    </row>
    <row r="842" spans="1:9" ht="18.600000000000001">
      <c r="A842" s="89"/>
      <c r="B842" s="90"/>
      <c r="C842" s="91"/>
      <c r="D842" s="9"/>
      <c r="E842" s="9"/>
      <c r="I842" s="11"/>
    </row>
    <row r="843" spans="1:9" ht="18.600000000000001">
      <c r="A843" s="89"/>
      <c r="B843" s="90"/>
      <c r="C843" s="91"/>
      <c r="D843" s="9"/>
      <c r="E843" s="9"/>
      <c r="I843" s="11"/>
    </row>
    <row r="844" spans="1:9" ht="18.600000000000001">
      <c r="A844" s="89"/>
      <c r="B844" s="90"/>
      <c r="C844" s="91"/>
      <c r="D844" s="9"/>
      <c r="E844" s="9"/>
      <c r="I844" s="11"/>
    </row>
    <row r="845" spans="1:9" ht="18.600000000000001">
      <c r="A845" s="89"/>
      <c r="B845" s="90"/>
      <c r="C845" s="91"/>
      <c r="D845" s="9"/>
      <c r="E845" s="9"/>
      <c r="I845" s="11"/>
    </row>
    <row r="846" spans="1:9" ht="18.600000000000001">
      <c r="A846" s="89"/>
      <c r="B846" s="90"/>
      <c r="C846" s="91"/>
      <c r="D846" s="9"/>
      <c r="E846" s="9"/>
      <c r="I846" s="11"/>
    </row>
    <row r="847" spans="1:9" ht="18.600000000000001">
      <c r="A847" s="89"/>
      <c r="B847" s="90"/>
      <c r="C847" s="91"/>
      <c r="D847" s="9"/>
      <c r="E847" s="9"/>
      <c r="I847" s="11"/>
    </row>
    <row r="848" spans="1:9" ht="18.600000000000001">
      <c r="A848" s="89"/>
      <c r="B848" s="90"/>
      <c r="C848" s="91"/>
      <c r="D848" s="9"/>
      <c r="E848" s="9"/>
      <c r="I848" s="11"/>
    </row>
    <row r="849" spans="1:9" ht="18.600000000000001">
      <c r="A849" s="89"/>
      <c r="B849" s="90"/>
      <c r="C849" s="91"/>
      <c r="D849" s="9"/>
      <c r="E849" s="9"/>
      <c r="I849" s="11"/>
    </row>
    <row r="850" spans="1:9" ht="18.600000000000001">
      <c r="A850" s="89"/>
      <c r="B850" s="90"/>
      <c r="C850" s="91"/>
      <c r="D850" s="9"/>
      <c r="E850" s="9"/>
      <c r="I850" s="11"/>
    </row>
    <row r="851" spans="1:9" ht="18.600000000000001">
      <c r="A851" s="89"/>
      <c r="B851" s="90"/>
      <c r="C851" s="91"/>
      <c r="D851" s="9"/>
      <c r="E851" s="9"/>
      <c r="I851" s="11"/>
    </row>
    <row r="852" spans="1:9" ht="18.600000000000001">
      <c r="A852" s="89"/>
      <c r="B852" s="90"/>
      <c r="C852" s="91"/>
      <c r="D852" s="9"/>
      <c r="E852" s="9"/>
      <c r="I852" s="11"/>
    </row>
    <row r="853" spans="1:9" ht="18.600000000000001">
      <c r="A853" s="89"/>
      <c r="B853" s="90"/>
      <c r="C853" s="91"/>
      <c r="D853" s="9"/>
      <c r="E853" s="9"/>
      <c r="I853" s="11"/>
    </row>
    <row r="854" spans="1:9" ht="18.600000000000001">
      <c r="A854" s="89"/>
      <c r="B854" s="90"/>
      <c r="C854" s="91"/>
      <c r="D854" s="9"/>
      <c r="E854" s="9"/>
      <c r="I854" s="11"/>
    </row>
    <row r="855" spans="1:9" ht="18.600000000000001">
      <c r="A855" s="89"/>
      <c r="B855" s="90"/>
      <c r="C855" s="91"/>
      <c r="D855" s="9"/>
      <c r="E855" s="9"/>
      <c r="I855" s="11"/>
    </row>
    <row r="856" spans="1:9" ht="18.600000000000001">
      <c r="A856" s="89"/>
      <c r="B856" s="90"/>
      <c r="C856" s="91"/>
      <c r="D856" s="9"/>
      <c r="E856" s="9"/>
      <c r="I856" s="11"/>
    </row>
    <row r="857" spans="1:9" ht="18.600000000000001">
      <c r="A857" s="89"/>
      <c r="B857" s="90"/>
      <c r="C857" s="91"/>
      <c r="D857" s="9"/>
      <c r="E857" s="9"/>
      <c r="I857" s="11"/>
    </row>
    <row r="858" spans="1:9" ht="18.600000000000001">
      <c r="A858" s="89"/>
      <c r="B858" s="90"/>
      <c r="C858" s="91"/>
      <c r="D858" s="9"/>
      <c r="E858" s="9"/>
      <c r="I858" s="11"/>
    </row>
    <row r="859" spans="1:9" ht="18.600000000000001">
      <c r="A859" s="89"/>
      <c r="B859" s="90"/>
      <c r="C859" s="91"/>
      <c r="D859" s="9"/>
      <c r="E859" s="9"/>
      <c r="I859" s="11"/>
    </row>
    <row r="860" spans="1:9" ht="18.600000000000001">
      <c r="A860" s="89"/>
      <c r="B860" s="90"/>
      <c r="C860" s="91"/>
      <c r="D860" s="9"/>
      <c r="E860" s="9"/>
      <c r="I860" s="11"/>
    </row>
    <row r="861" spans="1:9" ht="18.600000000000001">
      <c r="A861" s="89"/>
      <c r="B861" s="90"/>
      <c r="C861" s="91"/>
      <c r="D861" s="9"/>
      <c r="E861" s="9"/>
      <c r="I861" s="11"/>
    </row>
    <row r="862" spans="1:9" ht="18.600000000000001">
      <c r="A862" s="89"/>
      <c r="B862" s="90"/>
      <c r="C862" s="91"/>
      <c r="D862" s="9"/>
      <c r="E862" s="9"/>
      <c r="I862" s="11"/>
    </row>
    <row r="863" spans="1:9" ht="18.600000000000001">
      <c r="A863" s="89"/>
      <c r="B863" s="90"/>
      <c r="C863" s="91"/>
      <c r="D863" s="9"/>
      <c r="E863" s="9"/>
      <c r="I863" s="11"/>
    </row>
    <row r="864" spans="1:9" ht="18.600000000000001">
      <c r="A864" s="89"/>
      <c r="B864" s="90"/>
      <c r="C864" s="91"/>
      <c r="D864" s="9"/>
      <c r="E864" s="9"/>
      <c r="I864" s="11"/>
    </row>
    <row r="865" spans="1:9" ht="18.600000000000001">
      <c r="A865" s="89"/>
      <c r="B865" s="90"/>
      <c r="C865" s="91"/>
      <c r="D865" s="9"/>
      <c r="E865" s="9"/>
      <c r="I865" s="11"/>
    </row>
    <row r="866" spans="1:9" ht="18.600000000000001">
      <c r="A866" s="89"/>
      <c r="B866" s="90"/>
      <c r="C866" s="91"/>
      <c r="D866" s="9"/>
      <c r="E866" s="9"/>
      <c r="I866" s="11"/>
    </row>
    <row r="867" spans="1:9" ht="18.600000000000001">
      <c r="A867" s="89"/>
      <c r="B867" s="90"/>
      <c r="C867" s="91"/>
      <c r="D867" s="9"/>
      <c r="E867" s="9"/>
      <c r="I867" s="11"/>
    </row>
    <row r="868" spans="1:9" ht="18.600000000000001">
      <c r="A868" s="89"/>
      <c r="B868" s="90"/>
      <c r="C868" s="91"/>
      <c r="D868" s="9"/>
      <c r="E868" s="9"/>
      <c r="I868" s="11"/>
    </row>
    <row r="869" spans="1:9" ht="18.600000000000001">
      <c r="A869" s="89"/>
      <c r="B869" s="90"/>
      <c r="C869" s="91"/>
      <c r="D869" s="9"/>
      <c r="E869" s="9"/>
      <c r="I869" s="11"/>
    </row>
    <row r="870" spans="1:9" ht="18.600000000000001">
      <c r="A870" s="89"/>
      <c r="B870" s="90"/>
      <c r="C870" s="91"/>
      <c r="D870" s="9"/>
      <c r="E870" s="9"/>
      <c r="I870" s="11"/>
    </row>
    <row r="871" spans="1:9" ht="18.600000000000001">
      <c r="A871" s="89"/>
      <c r="B871" s="90"/>
      <c r="C871" s="91"/>
      <c r="D871" s="9"/>
      <c r="E871" s="9"/>
      <c r="I871" s="11"/>
    </row>
    <row r="872" spans="1:9" ht="18.600000000000001">
      <c r="A872" s="89"/>
      <c r="B872" s="90"/>
      <c r="C872" s="91"/>
      <c r="D872" s="9"/>
      <c r="E872" s="9"/>
      <c r="I872" s="11"/>
    </row>
    <row r="873" spans="1:9" ht="18.600000000000001">
      <c r="A873" s="89"/>
      <c r="B873" s="90"/>
      <c r="C873" s="91"/>
      <c r="D873" s="9"/>
      <c r="E873" s="9"/>
      <c r="I873" s="11"/>
    </row>
    <row r="874" spans="1:9" ht="18.600000000000001">
      <c r="A874" s="89"/>
      <c r="B874" s="90"/>
      <c r="C874" s="91"/>
      <c r="D874" s="9"/>
      <c r="E874" s="9"/>
      <c r="I874" s="11"/>
    </row>
    <row r="875" spans="1:9" ht="18.600000000000001">
      <c r="A875" s="89"/>
      <c r="B875" s="90"/>
      <c r="C875" s="91"/>
      <c r="D875" s="9"/>
      <c r="E875" s="9"/>
      <c r="I875" s="11"/>
    </row>
    <row r="876" spans="1:9" ht="18.600000000000001">
      <c r="A876" s="89"/>
      <c r="B876" s="90"/>
      <c r="C876" s="91"/>
      <c r="D876" s="9"/>
      <c r="E876" s="9"/>
      <c r="I876" s="11"/>
    </row>
    <row r="877" spans="1:9" ht="18.600000000000001">
      <c r="A877" s="89"/>
      <c r="B877" s="90"/>
      <c r="C877" s="91"/>
      <c r="D877" s="9"/>
      <c r="E877" s="9"/>
      <c r="I877" s="11"/>
    </row>
    <row r="878" spans="1:9" ht="18.600000000000001">
      <c r="A878" s="89"/>
      <c r="B878" s="90"/>
      <c r="C878" s="91"/>
      <c r="D878" s="9"/>
      <c r="E878" s="9"/>
      <c r="I878" s="11"/>
    </row>
    <row r="879" spans="1:9" ht="18.600000000000001">
      <c r="A879" s="89"/>
      <c r="B879" s="90"/>
      <c r="C879" s="91"/>
      <c r="D879" s="9"/>
      <c r="E879" s="9"/>
      <c r="I879" s="11"/>
    </row>
    <row r="880" spans="1:9" ht="18.600000000000001">
      <c r="A880" s="89"/>
      <c r="B880" s="90"/>
      <c r="C880" s="91"/>
      <c r="D880" s="9"/>
      <c r="E880" s="9"/>
      <c r="I880" s="11"/>
    </row>
    <row r="881" spans="1:9" ht="18.600000000000001">
      <c r="A881" s="89"/>
      <c r="B881" s="90"/>
      <c r="C881" s="91"/>
      <c r="D881" s="9"/>
      <c r="E881" s="9"/>
      <c r="I881" s="11"/>
    </row>
    <row r="882" spans="1:9" ht="18.600000000000001">
      <c r="A882" s="89"/>
      <c r="B882" s="90"/>
      <c r="C882" s="91"/>
      <c r="D882" s="9"/>
      <c r="E882" s="9"/>
      <c r="I882" s="11"/>
    </row>
    <row r="883" spans="1:9" ht="18.600000000000001">
      <c r="A883" s="89"/>
      <c r="B883" s="90"/>
      <c r="C883" s="91"/>
      <c r="D883" s="9"/>
      <c r="E883" s="9"/>
      <c r="I883" s="11"/>
    </row>
    <row r="884" spans="1:9" ht="18.600000000000001">
      <c r="A884" s="89"/>
      <c r="B884" s="90"/>
      <c r="C884" s="91"/>
      <c r="D884" s="9"/>
      <c r="E884" s="9"/>
      <c r="I884" s="11"/>
    </row>
    <row r="885" spans="1:9" ht="18.600000000000001">
      <c r="A885" s="89"/>
      <c r="B885" s="90"/>
      <c r="C885" s="91"/>
      <c r="D885" s="9"/>
      <c r="E885" s="9"/>
      <c r="I885" s="11"/>
    </row>
    <row r="886" spans="1:9" ht="18.600000000000001">
      <c r="A886" s="89"/>
      <c r="B886" s="90"/>
      <c r="C886" s="91"/>
      <c r="D886" s="9"/>
      <c r="E886" s="9"/>
      <c r="I886" s="11"/>
    </row>
    <row r="887" spans="1:9" ht="18.600000000000001">
      <c r="A887" s="89"/>
      <c r="B887" s="90"/>
      <c r="C887" s="91"/>
      <c r="D887" s="9"/>
      <c r="E887" s="9"/>
      <c r="I887" s="11"/>
    </row>
    <row r="888" spans="1:9" ht="18.600000000000001">
      <c r="A888" s="89"/>
      <c r="B888" s="90"/>
      <c r="C888" s="91"/>
      <c r="D888" s="9"/>
      <c r="E888" s="9"/>
      <c r="I888" s="11"/>
    </row>
    <row r="889" spans="1:9" ht="18.600000000000001">
      <c r="A889" s="89"/>
      <c r="B889" s="90"/>
      <c r="C889" s="91"/>
      <c r="D889" s="9"/>
      <c r="E889" s="9"/>
      <c r="I889" s="11"/>
    </row>
    <row r="890" spans="1:9" ht="18.600000000000001">
      <c r="A890" s="89"/>
      <c r="B890" s="90"/>
      <c r="C890" s="91"/>
      <c r="D890" s="9"/>
      <c r="E890" s="9"/>
      <c r="I890" s="11"/>
    </row>
    <row r="891" spans="1:9" ht="18.600000000000001">
      <c r="A891" s="89"/>
      <c r="B891" s="90"/>
      <c r="C891" s="91"/>
      <c r="D891" s="9"/>
      <c r="E891" s="9"/>
      <c r="I891" s="11"/>
    </row>
    <row r="892" spans="1:9" ht="18.600000000000001">
      <c r="A892" s="89"/>
      <c r="B892" s="90"/>
      <c r="C892" s="91"/>
      <c r="D892" s="9"/>
      <c r="E892" s="9"/>
      <c r="I892" s="11"/>
    </row>
    <row r="893" spans="1:9" ht="18.600000000000001">
      <c r="A893" s="89"/>
      <c r="B893" s="90"/>
      <c r="C893" s="91"/>
      <c r="D893" s="9"/>
      <c r="E893" s="9"/>
      <c r="I893" s="11"/>
    </row>
    <row r="894" spans="1:9" ht="18.600000000000001">
      <c r="A894" s="89"/>
      <c r="B894" s="90"/>
      <c r="C894" s="91"/>
      <c r="D894" s="9"/>
      <c r="E894" s="9"/>
      <c r="I894" s="11"/>
    </row>
    <row r="895" spans="1:9" ht="18.600000000000001">
      <c r="A895" s="89"/>
      <c r="B895" s="90"/>
      <c r="C895" s="91"/>
      <c r="D895" s="9"/>
      <c r="E895" s="9"/>
      <c r="I895" s="11"/>
    </row>
    <row r="896" spans="1:9" ht="18.600000000000001">
      <c r="A896" s="89"/>
      <c r="B896" s="90"/>
      <c r="C896" s="91"/>
      <c r="D896" s="9"/>
      <c r="E896" s="9"/>
      <c r="I896" s="11"/>
    </row>
    <row r="897" spans="1:9" ht="18.600000000000001">
      <c r="A897" s="89"/>
      <c r="B897" s="90"/>
      <c r="C897" s="91"/>
      <c r="D897" s="9"/>
      <c r="E897" s="9"/>
      <c r="I897" s="11"/>
    </row>
    <row r="898" spans="1:9" ht="18.600000000000001">
      <c r="A898" s="89"/>
      <c r="B898" s="90"/>
      <c r="C898" s="91"/>
      <c r="D898" s="9"/>
      <c r="E898" s="9"/>
      <c r="I898" s="11"/>
    </row>
    <row r="899" spans="1:9" ht="18.600000000000001">
      <c r="A899" s="89"/>
      <c r="B899" s="90"/>
      <c r="C899" s="91"/>
      <c r="D899" s="9"/>
      <c r="E899" s="9"/>
      <c r="I899" s="11"/>
    </row>
    <row r="900" spans="1:9" ht="18.600000000000001">
      <c r="A900" s="89"/>
      <c r="B900" s="90"/>
      <c r="C900" s="91"/>
      <c r="D900" s="9"/>
      <c r="E900" s="9"/>
      <c r="I900" s="11"/>
    </row>
    <row r="901" spans="1:9" ht="18.600000000000001">
      <c r="A901" s="89"/>
      <c r="B901" s="90"/>
      <c r="C901" s="91"/>
      <c r="D901" s="9"/>
      <c r="E901" s="9"/>
      <c r="I901" s="11"/>
    </row>
    <row r="902" spans="1:9" ht="18.600000000000001">
      <c r="A902" s="89"/>
      <c r="B902" s="90"/>
      <c r="C902" s="91"/>
      <c r="D902" s="9"/>
      <c r="E902" s="9"/>
      <c r="I902" s="11"/>
    </row>
    <row r="903" spans="1:9" ht="18.600000000000001">
      <c r="A903" s="89"/>
      <c r="B903" s="90"/>
      <c r="C903" s="91"/>
      <c r="D903" s="9"/>
      <c r="E903" s="9"/>
      <c r="I903" s="11"/>
    </row>
    <row r="904" spans="1:9" ht="18.600000000000001">
      <c r="A904" s="89"/>
      <c r="B904" s="90"/>
      <c r="C904" s="91"/>
      <c r="D904" s="9"/>
      <c r="E904" s="9"/>
      <c r="I904" s="11"/>
    </row>
    <row r="905" spans="1:9" ht="18.600000000000001">
      <c r="A905" s="89"/>
      <c r="B905" s="90"/>
      <c r="C905" s="91"/>
      <c r="D905" s="9"/>
      <c r="E905" s="9"/>
      <c r="I905" s="11"/>
    </row>
    <row r="906" spans="1:9" ht="18.600000000000001">
      <c r="A906" s="89"/>
      <c r="B906" s="90"/>
      <c r="C906" s="91"/>
      <c r="D906" s="9"/>
      <c r="E906" s="9"/>
      <c r="I906" s="11"/>
    </row>
    <row r="907" spans="1:9" ht="18.600000000000001">
      <c r="A907" s="89"/>
      <c r="B907" s="90"/>
      <c r="C907" s="91"/>
      <c r="D907" s="9"/>
      <c r="E907" s="9"/>
      <c r="I907" s="11"/>
    </row>
    <row r="908" spans="1:9" ht="18.600000000000001">
      <c r="A908" s="89"/>
      <c r="B908" s="90"/>
      <c r="C908" s="91"/>
      <c r="D908" s="9"/>
      <c r="E908" s="9"/>
      <c r="I908" s="11"/>
    </row>
    <row r="909" spans="1:9" ht="18.600000000000001">
      <c r="A909" s="89"/>
      <c r="B909" s="90"/>
      <c r="C909" s="91"/>
      <c r="D909" s="9"/>
      <c r="E909" s="9"/>
      <c r="I909" s="11"/>
    </row>
    <row r="910" spans="1:9" ht="18.600000000000001">
      <c r="A910" s="89"/>
      <c r="B910" s="90"/>
      <c r="C910" s="91"/>
      <c r="D910" s="9"/>
      <c r="E910" s="9"/>
      <c r="I910" s="11"/>
    </row>
    <row r="911" spans="1:9" ht="18.600000000000001">
      <c r="A911" s="89"/>
      <c r="B911" s="90"/>
      <c r="C911" s="91"/>
      <c r="D911" s="9"/>
      <c r="E911" s="9"/>
      <c r="I911" s="11"/>
    </row>
    <row r="912" spans="1:9" ht="18.600000000000001">
      <c r="A912" s="89"/>
      <c r="B912" s="90"/>
      <c r="C912" s="91"/>
      <c r="D912" s="9"/>
      <c r="E912" s="9"/>
      <c r="I912" s="11"/>
    </row>
    <row r="913" spans="1:9" ht="18.600000000000001">
      <c r="A913" s="89"/>
      <c r="B913" s="90"/>
      <c r="C913" s="91"/>
      <c r="D913" s="9"/>
      <c r="E913" s="9"/>
      <c r="I913" s="11"/>
    </row>
    <row r="914" spans="1:9" ht="18.600000000000001">
      <c r="A914" s="89"/>
      <c r="B914" s="90"/>
      <c r="C914" s="91"/>
      <c r="D914" s="9"/>
      <c r="E914" s="9"/>
      <c r="I914" s="11"/>
    </row>
    <row r="915" spans="1:9" ht="18.600000000000001">
      <c r="A915" s="89"/>
      <c r="B915" s="90"/>
      <c r="C915" s="91"/>
      <c r="D915" s="9"/>
      <c r="E915" s="9"/>
      <c r="I915" s="11"/>
    </row>
    <row r="916" spans="1:9" ht="18.600000000000001">
      <c r="A916" s="89"/>
      <c r="B916" s="90"/>
      <c r="C916" s="91"/>
      <c r="D916" s="9"/>
      <c r="E916" s="9"/>
      <c r="I916" s="11"/>
    </row>
    <row r="917" spans="1:9" ht="18.600000000000001">
      <c r="A917" s="89"/>
      <c r="B917" s="90"/>
      <c r="C917" s="91"/>
      <c r="D917" s="9"/>
      <c r="E917" s="9"/>
      <c r="I917" s="11"/>
    </row>
    <row r="918" spans="1:9" ht="18.600000000000001">
      <c r="A918" s="89"/>
      <c r="B918" s="90"/>
      <c r="C918" s="91"/>
      <c r="D918" s="9"/>
      <c r="E918" s="9"/>
      <c r="I918" s="11"/>
    </row>
    <row r="919" spans="1:9" ht="18.600000000000001">
      <c r="A919" s="89"/>
      <c r="B919" s="90"/>
      <c r="C919" s="91"/>
      <c r="D919" s="9"/>
      <c r="E919" s="9"/>
      <c r="I919" s="11"/>
    </row>
    <row r="920" spans="1:9" ht="18.600000000000001">
      <c r="A920" s="89"/>
      <c r="B920" s="90"/>
      <c r="C920" s="91"/>
      <c r="D920" s="9"/>
      <c r="E920" s="9"/>
      <c r="I920" s="11"/>
    </row>
    <row r="921" spans="1:9" ht="18.600000000000001">
      <c r="A921" s="89"/>
      <c r="B921" s="90"/>
      <c r="C921" s="91"/>
      <c r="D921" s="9"/>
      <c r="E921" s="9"/>
      <c r="I921" s="11"/>
    </row>
    <row r="922" spans="1:9" ht="18.600000000000001">
      <c r="A922" s="89"/>
      <c r="B922" s="90"/>
      <c r="C922" s="91"/>
      <c r="D922" s="9"/>
      <c r="E922" s="9"/>
      <c r="I922" s="11"/>
    </row>
    <row r="923" spans="1:9" ht="18.600000000000001">
      <c r="A923" s="89"/>
      <c r="B923" s="90"/>
      <c r="C923" s="91"/>
      <c r="D923" s="9"/>
      <c r="E923" s="9"/>
      <c r="I923" s="11"/>
    </row>
    <row r="924" spans="1:9" ht="18.600000000000001">
      <c r="A924" s="89"/>
      <c r="B924" s="90"/>
      <c r="C924" s="91"/>
      <c r="D924" s="9"/>
      <c r="E924" s="9"/>
      <c r="I924" s="11"/>
    </row>
    <row r="925" spans="1:9" ht="18.600000000000001">
      <c r="A925" s="89"/>
      <c r="B925" s="90"/>
      <c r="C925" s="91"/>
      <c r="D925" s="9"/>
      <c r="E925" s="9"/>
      <c r="I925" s="11"/>
    </row>
    <row r="926" spans="1:9" ht="18.600000000000001">
      <c r="A926" s="89"/>
      <c r="B926" s="90"/>
      <c r="C926" s="91"/>
      <c r="D926" s="9"/>
      <c r="E926" s="9"/>
      <c r="I926" s="11"/>
    </row>
    <row r="927" spans="1:9" ht="18.600000000000001">
      <c r="A927" s="89"/>
      <c r="B927" s="90"/>
      <c r="C927" s="91"/>
      <c r="D927" s="9"/>
      <c r="E927" s="9"/>
      <c r="I927" s="11"/>
    </row>
    <row r="928" spans="1:9" ht="18.600000000000001">
      <c r="A928" s="89"/>
      <c r="B928" s="90"/>
      <c r="C928" s="91"/>
      <c r="D928" s="9"/>
      <c r="E928" s="9"/>
      <c r="I928" s="11"/>
    </row>
    <row r="929" spans="1:9" ht="18.600000000000001">
      <c r="A929" s="89"/>
      <c r="B929" s="90"/>
      <c r="C929" s="91"/>
      <c r="D929" s="9"/>
      <c r="E929" s="9"/>
      <c r="I929" s="11"/>
    </row>
    <row r="930" spans="1:9" ht="18.600000000000001">
      <c r="A930" s="89"/>
      <c r="B930" s="90"/>
      <c r="C930" s="91"/>
      <c r="D930" s="9"/>
      <c r="E930" s="9"/>
      <c r="I930" s="11"/>
    </row>
    <row r="931" spans="1:9" ht="18.600000000000001">
      <c r="A931" s="89"/>
      <c r="B931" s="90"/>
      <c r="C931" s="91"/>
      <c r="D931" s="9"/>
      <c r="E931" s="9"/>
      <c r="I931" s="11"/>
    </row>
    <row r="932" spans="1:9" ht="18.600000000000001">
      <c r="A932" s="89"/>
      <c r="B932" s="90"/>
      <c r="C932" s="91"/>
      <c r="D932" s="9"/>
      <c r="E932" s="9"/>
      <c r="I932" s="11"/>
    </row>
    <row r="933" spans="1:9" ht="18.600000000000001">
      <c r="A933" s="89"/>
      <c r="B933" s="90"/>
      <c r="C933" s="91"/>
      <c r="D933" s="9"/>
      <c r="E933" s="9"/>
      <c r="I933" s="11"/>
    </row>
    <row r="934" spans="1:9" ht="18.600000000000001">
      <c r="A934" s="89"/>
      <c r="B934" s="90"/>
      <c r="C934" s="91"/>
      <c r="D934" s="9"/>
      <c r="E934" s="9"/>
      <c r="I934" s="11"/>
    </row>
    <row r="935" spans="1:9" ht="18.600000000000001">
      <c r="A935" s="89"/>
      <c r="B935" s="90"/>
      <c r="C935" s="91"/>
      <c r="D935" s="9"/>
      <c r="E935" s="9"/>
      <c r="I935" s="11"/>
    </row>
    <row r="936" spans="1:9" ht="18.600000000000001">
      <c r="A936" s="89"/>
      <c r="B936" s="90"/>
      <c r="C936" s="91"/>
      <c r="D936" s="9"/>
      <c r="E936" s="9"/>
      <c r="I936" s="11"/>
    </row>
    <row r="937" spans="1:9" ht="18.600000000000001">
      <c r="A937" s="89"/>
      <c r="B937" s="90"/>
      <c r="C937" s="91"/>
      <c r="D937" s="9"/>
      <c r="E937" s="9"/>
      <c r="I937" s="11"/>
    </row>
    <row r="938" spans="1:9" ht="18.600000000000001">
      <c r="A938" s="89"/>
      <c r="B938" s="90"/>
      <c r="C938" s="91"/>
      <c r="D938" s="9"/>
      <c r="E938" s="9"/>
      <c r="I938" s="11"/>
    </row>
    <row r="939" spans="1:9" ht="18.600000000000001">
      <c r="A939" s="89"/>
      <c r="B939" s="90"/>
      <c r="C939" s="91"/>
      <c r="D939" s="9"/>
      <c r="E939" s="9"/>
      <c r="I939" s="11"/>
    </row>
    <row r="940" spans="1:9" ht="18.600000000000001">
      <c r="A940" s="89"/>
      <c r="B940" s="90"/>
      <c r="C940" s="91"/>
      <c r="D940" s="9"/>
      <c r="E940" s="9"/>
      <c r="I940" s="11"/>
    </row>
    <row r="941" spans="1:9" ht="18.600000000000001">
      <c r="A941" s="89"/>
      <c r="B941" s="90"/>
      <c r="C941" s="91"/>
      <c r="D941" s="9"/>
      <c r="E941" s="9"/>
      <c r="I941" s="11"/>
    </row>
    <row r="942" spans="1:9" ht="18.600000000000001">
      <c r="A942" s="89"/>
      <c r="B942" s="90"/>
      <c r="C942" s="91"/>
      <c r="D942" s="9"/>
      <c r="E942" s="9"/>
      <c r="I942" s="11"/>
    </row>
    <row r="943" spans="1:9" ht="18.600000000000001">
      <c r="A943" s="89"/>
      <c r="B943" s="90"/>
      <c r="C943" s="91"/>
      <c r="D943" s="9"/>
      <c r="E943" s="9"/>
      <c r="I943" s="11"/>
    </row>
    <row r="944" spans="1:9" ht="18.600000000000001">
      <c r="A944" s="89"/>
      <c r="B944" s="90"/>
      <c r="C944" s="91"/>
      <c r="D944" s="9"/>
      <c r="E944" s="9"/>
      <c r="I944" s="11"/>
    </row>
    <row r="945" spans="1:9" ht="18.600000000000001">
      <c r="A945" s="89"/>
      <c r="B945" s="90"/>
      <c r="C945" s="91"/>
      <c r="D945" s="9"/>
      <c r="E945" s="9"/>
      <c r="I945" s="11"/>
    </row>
    <row r="946" spans="1:9" ht="18.600000000000001">
      <c r="A946" s="89"/>
      <c r="B946" s="90"/>
      <c r="C946" s="91"/>
      <c r="D946" s="9"/>
      <c r="E946" s="9"/>
      <c r="I946" s="11"/>
    </row>
    <row r="947" spans="1:9" ht="18.600000000000001">
      <c r="A947" s="89"/>
      <c r="B947" s="90"/>
      <c r="C947" s="91"/>
      <c r="D947" s="9"/>
      <c r="E947" s="9"/>
      <c r="I947" s="11"/>
    </row>
    <row r="948" spans="1:9" ht="18.600000000000001">
      <c r="A948" s="89"/>
      <c r="B948" s="90"/>
      <c r="C948" s="91"/>
      <c r="D948" s="9"/>
      <c r="E948" s="9"/>
      <c r="I948" s="11"/>
    </row>
    <row r="949" spans="1:9" ht="18.600000000000001">
      <c r="A949" s="89"/>
      <c r="B949" s="90"/>
      <c r="C949" s="91"/>
      <c r="D949" s="9"/>
      <c r="E949" s="9"/>
      <c r="I949" s="11"/>
    </row>
    <row r="950" spans="1:9" ht="18.600000000000001">
      <c r="A950" s="89"/>
      <c r="B950" s="90"/>
      <c r="C950" s="91"/>
      <c r="D950" s="9"/>
      <c r="E950" s="9"/>
      <c r="I950" s="11"/>
    </row>
    <row r="951" spans="1:9" ht="18.600000000000001">
      <c r="A951" s="89"/>
      <c r="B951" s="90"/>
      <c r="C951" s="91"/>
      <c r="D951" s="9"/>
      <c r="E951" s="9"/>
      <c r="I951" s="11"/>
    </row>
    <row r="952" spans="1:9" ht="18.600000000000001">
      <c r="A952" s="89"/>
      <c r="B952" s="90"/>
      <c r="C952" s="91"/>
      <c r="D952" s="9"/>
      <c r="E952" s="9"/>
      <c r="I952" s="11"/>
    </row>
    <row r="953" spans="1:9" ht="18.600000000000001">
      <c r="A953" s="89"/>
      <c r="B953" s="90"/>
      <c r="C953" s="91"/>
      <c r="D953" s="9"/>
      <c r="E953" s="9"/>
      <c r="I953" s="11"/>
    </row>
    <row r="954" spans="1:9" ht="18.600000000000001">
      <c r="A954" s="89"/>
      <c r="B954" s="90"/>
      <c r="C954" s="91"/>
      <c r="D954" s="9"/>
      <c r="E954" s="9"/>
      <c r="I954" s="11"/>
    </row>
    <row r="955" spans="1:9" ht="18.600000000000001">
      <c r="A955" s="89"/>
      <c r="B955" s="90"/>
      <c r="C955" s="91"/>
      <c r="D955" s="9"/>
      <c r="E955" s="9"/>
      <c r="I955" s="11"/>
    </row>
    <row r="956" spans="1:9" ht="18.600000000000001">
      <c r="A956" s="89"/>
      <c r="B956" s="90"/>
      <c r="C956" s="91"/>
      <c r="D956" s="9"/>
      <c r="E956" s="9"/>
      <c r="I956" s="11"/>
    </row>
    <row r="957" spans="1:9" ht="18.600000000000001">
      <c r="A957" s="89"/>
      <c r="B957" s="90"/>
      <c r="C957" s="91"/>
      <c r="D957" s="9"/>
      <c r="E957" s="9"/>
      <c r="I957" s="11"/>
    </row>
    <row r="958" spans="1:9" ht="18.600000000000001">
      <c r="A958" s="89"/>
      <c r="B958" s="90"/>
      <c r="C958" s="91"/>
      <c r="D958" s="9"/>
      <c r="E958" s="9"/>
      <c r="I958" s="11"/>
    </row>
    <row r="959" spans="1:9" ht="18.600000000000001">
      <c r="A959" s="89"/>
      <c r="B959" s="90"/>
      <c r="C959" s="91"/>
      <c r="D959" s="9"/>
      <c r="E959" s="9"/>
      <c r="I959" s="11"/>
    </row>
    <row r="960" spans="1:9" ht="18.600000000000001">
      <c r="A960" s="89"/>
      <c r="B960" s="90"/>
      <c r="C960" s="91"/>
      <c r="D960" s="9"/>
      <c r="E960" s="9"/>
      <c r="I960" s="11"/>
    </row>
    <row r="961" spans="1:9" ht="18.600000000000001">
      <c r="A961" s="89"/>
      <c r="B961" s="90"/>
      <c r="C961" s="91"/>
      <c r="D961" s="9"/>
      <c r="E961" s="9"/>
      <c r="I961" s="11"/>
    </row>
    <row r="962" spans="1:9" ht="18.600000000000001">
      <c r="A962" s="89"/>
      <c r="B962" s="90"/>
      <c r="C962" s="91"/>
      <c r="D962" s="9"/>
      <c r="E962" s="9"/>
      <c r="I962" s="11"/>
    </row>
    <row r="963" spans="1:9" ht="18.600000000000001">
      <c r="A963" s="89"/>
      <c r="B963" s="90"/>
      <c r="C963" s="91"/>
      <c r="D963" s="9"/>
      <c r="E963" s="9"/>
      <c r="I963" s="11"/>
    </row>
    <row r="964" spans="1:9" ht="18.600000000000001">
      <c r="A964" s="89"/>
      <c r="B964" s="90"/>
      <c r="C964" s="91"/>
      <c r="D964" s="9"/>
      <c r="E964" s="9"/>
      <c r="I964" s="11"/>
    </row>
    <row r="965" spans="1:9" ht="18.600000000000001">
      <c r="A965" s="89"/>
      <c r="B965" s="90"/>
      <c r="C965" s="91"/>
      <c r="D965" s="9"/>
      <c r="E965" s="9"/>
      <c r="I965" s="11"/>
    </row>
    <row r="966" spans="1:9" ht="18.600000000000001">
      <c r="A966" s="89"/>
      <c r="B966" s="90"/>
      <c r="C966" s="91"/>
      <c r="D966" s="9"/>
      <c r="E966" s="9"/>
      <c r="I966" s="11"/>
    </row>
    <row r="967" spans="1:9" ht="18.600000000000001">
      <c r="A967" s="89"/>
      <c r="B967" s="90"/>
      <c r="C967" s="91"/>
      <c r="D967" s="9"/>
      <c r="E967" s="9"/>
      <c r="I967" s="11"/>
    </row>
    <row r="968" spans="1:9" ht="18.600000000000001">
      <c r="A968" s="89"/>
      <c r="B968" s="90"/>
      <c r="C968" s="91"/>
      <c r="D968" s="9"/>
      <c r="E968" s="9"/>
      <c r="I968" s="11"/>
    </row>
    <row r="969" spans="1:9" ht="18.600000000000001">
      <c r="A969" s="89"/>
      <c r="B969" s="90"/>
      <c r="C969" s="91"/>
      <c r="D969" s="9"/>
      <c r="E969" s="9"/>
      <c r="I969" s="11"/>
    </row>
    <row r="970" spans="1:9" ht="18.600000000000001">
      <c r="A970" s="89"/>
      <c r="B970" s="90"/>
      <c r="C970" s="91"/>
      <c r="D970" s="9"/>
      <c r="E970" s="9"/>
      <c r="I970" s="11"/>
    </row>
    <row r="971" spans="1:9" ht="18.600000000000001">
      <c r="A971" s="89"/>
      <c r="B971" s="90"/>
      <c r="C971" s="91"/>
      <c r="D971" s="9"/>
      <c r="E971" s="9"/>
      <c r="I971" s="11"/>
    </row>
    <row r="972" spans="1:9" ht="18.600000000000001">
      <c r="A972" s="89"/>
      <c r="B972" s="90"/>
      <c r="C972" s="91"/>
      <c r="D972" s="9"/>
      <c r="E972" s="9"/>
      <c r="I972" s="11"/>
    </row>
    <row r="973" spans="1:9" ht="18.600000000000001">
      <c r="A973" s="89"/>
      <c r="B973" s="90"/>
      <c r="C973" s="91"/>
      <c r="D973" s="9"/>
      <c r="E973" s="9"/>
      <c r="I973" s="11"/>
    </row>
    <row r="974" spans="1:9" ht="18.600000000000001">
      <c r="A974" s="89"/>
      <c r="B974" s="90"/>
      <c r="C974" s="91"/>
      <c r="D974" s="9"/>
      <c r="E974" s="9"/>
      <c r="I974" s="11"/>
    </row>
    <row r="975" spans="1:9" ht="18.600000000000001">
      <c r="A975" s="89"/>
      <c r="B975" s="90"/>
      <c r="C975" s="91"/>
      <c r="D975" s="9"/>
      <c r="E975" s="9"/>
      <c r="I975" s="11"/>
    </row>
    <row r="976" spans="1:9" ht="18.600000000000001">
      <c r="A976" s="89"/>
      <c r="B976" s="90"/>
      <c r="C976" s="91"/>
      <c r="D976" s="9"/>
      <c r="E976" s="9"/>
      <c r="I976" s="11"/>
    </row>
    <row r="977" spans="1:9" ht="18.600000000000001">
      <c r="A977" s="89"/>
      <c r="B977" s="90"/>
      <c r="C977" s="91"/>
      <c r="D977" s="9"/>
      <c r="E977" s="9"/>
      <c r="I977" s="11"/>
    </row>
    <row r="978" spans="1:9" ht="18.600000000000001">
      <c r="A978" s="89"/>
      <c r="B978" s="90"/>
      <c r="C978" s="91"/>
      <c r="D978" s="9"/>
      <c r="E978" s="9"/>
      <c r="I978" s="11"/>
    </row>
    <row r="979" spans="1:9" ht="18.600000000000001">
      <c r="A979" s="89"/>
      <c r="B979" s="90"/>
      <c r="C979" s="91"/>
      <c r="D979" s="9"/>
      <c r="E979" s="9"/>
      <c r="I979" s="11"/>
    </row>
    <row r="980" spans="1:9" ht="18.600000000000001">
      <c r="A980" s="89"/>
      <c r="B980" s="90"/>
      <c r="C980" s="91"/>
      <c r="D980" s="9"/>
      <c r="E980" s="9"/>
      <c r="I980" s="11"/>
    </row>
    <row r="981" spans="1:9" ht="18.600000000000001">
      <c r="A981" s="89"/>
      <c r="B981" s="90"/>
      <c r="C981" s="91"/>
      <c r="D981" s="9"/>
      <c r="E981" s="9"/>
      <c r="I981" s="11"/>
    </row>
    <row r="982" spans="1:9" ht="18.600000000000001">
      <c r="A982" s="89"/>
      <c r="B982" s="90"/>
      <c r="C982" s="91"/>
      <c r="D982" s="9"/>
      <c r="E982" s="9"/>
      <c r="I982" s="11"/>
    </row>
    <row r="983" spans="1:9" ht="18.600000000000001">
      <c r="A983" s="89"/>
      <c r="B983" s="90"/>
      <c r="C983" s="91"/>
      <c r="D983" s="9"/>
      <c r="E983" s="9"/>
      <c r="I983" s="11"/>
    </row>
    <row r="984" spans="1:9" ht="18.600000000000001">
      <c r="A984" s="89"/>
      <c r="B984" s="90"/>
      <c r="C984" s="91"/>
      <c r="D984" s="9"/>
      <c r="E984" s="9"/>
      <c r="I984" s="11"/>
    </row>
    <row r="985" spans="1:9" ht="18.600000000000001">
      <c r="A985" s="89"/>
      <c r="B985" s="90"/>
      <c r="C985" s="91"/>
      <c r="D985" s="9"/>
      <c r="E985" s="9"/>
      <c r="I985" s="11"/>
    </row>
    <row r="986" spans="1:9" ht="18.600000000000001">
      <c r="A986" s="89"/>
      <c r="B986" s="90"/>
      <c r="C986" s="91"/>
      <c r="D986" s="9"/>
      <c r="E986" s="9"/>
      <c r="I986" s="11"/>
    </row>
    <row r="987" spans="1:9" ht="18.600000000000001">
      <c r="A987" s="89"/>
      <c r="B987" s="90"/>
      <c r="C987" s="91"/>
      <c r="D987" s="9"/>
      <c r="E987" s="9"/>
      <c r="I987" s="11"/>
    </row>
    <row r="988" spans="1:9" ht="18.600000000000001">
      <c r="A988" s="89"/>
      <c r="B988" s="90"/>
      <c r="C988" s="91"/>
      <c r="D988" s="9"/>
      <c r="E988" s="9"/>
      <c r="I988" s="11"/>
    </row>
    <row r="989" spans="1:9" ht="18.600000000000001">
      <c r="A989" s="89"/>
      <c r="B989" s="90"/>
      <c r="C989" s="91"/>
      <c r="D989" s="9"/>
      <c r="E989" s="9"/>
      <c r="I989" s="11"/>
    </row>
    <row r="990" spans="1:9" ht="18.600000000000001">
      <c r="A990" s="89"/>
      <c r="B990" s="90"/>
      <c r="C990" s="91"/>
      <c r="D990" s="9"/>
      <c r="E990" s="9"/>
      <c r="I990" s="11"/>
    </row>
    <row r="991" spans="1:9" ht="18.600000000000001">
      <c r="A991" s="89"/>
      <c r="B991" s="90"/>
      <c r="C991" s="91"/>
      <c r="D991" s="9"/>
      <c r="E991" s="9"/>
      <c r="I991" s="11"/>
    </row>
    <row r="992" spans="1:9" ht="18.600000000000001">
      <c r="A992" s="89"/>
      <c r="B992" s="90"/>
      <c r="C992" s="91"/>
      <c r="D992" s="9"/>
      <c r="E992" s="9"/>
      <c r="I992" s="11"/>
    </row>
    <row r="993" spans="1:9" ht="18.600000000000001">
      <c r="A993" s="89"/>
      <c r="B993" s="90"/>
      <c r="C993" s="91"/>
      <c r="D993" s="9"/>
      <c r="E993" s="9"/>
      <c r="I993" s="11"/>
    </row>
    <row r="994" spans="1:9" ht="18.600000000000001">
      <c r="A994" s="89"/>
      <c r="B994" s="90"/>
      <c r="C994" s="91"/>
      <c r="D994" s="9"/>
      <c r="E994" s="9"/>
      <c r="I994" s="11"/>
    </row>
    <row r="995" spans="1:9" ht="18.600000000000001">
      <c r="A995" s="89"/>
      <c r="B995" s="90"/>
      <c r="C995" s="91"/>
      <c r="D995" s="9"/>
      <c r="E995" s="9"/>
      <c r="I995" s="11"/>
    </row>
    <row r="996" spans="1:9" ht="18.600000000000001">
      <c r="A996" s="89"/>
      <c r="B996" s="90"/>
      <c r="C996" s="91"/>
      <c r="D996" s="9"/>
      <c r="E996" s="9"/>
      <c r="I996" s="11"/>
    </row>
    <row r="997" spans="1:9" ht="18.600000000000001">
      <c r="A997" s="89"/>
      <c r="B997" s="90"/>
      <c r="C997" s="91"/>
      <c r="D997" s="9"/>
      <c r="E997" s="9"/>
      <c r="I997" s="11"/>
    </row>
    <row r="998" spans="1:9" ht="18.600000000000001">
      <c r="A998" s="89"/>
      <c r="B998" s="90"/>
      <c r="C998" s="91"/>
      <c r="D998" s="9"/>
      <c r="E998" s="9"/>
      <c r="I998" s="11"/>
    </row>
    <row r="999" spans="1:9" ht="18.600000000000001">
      <c r="A999" s="89"/>
      <c r="B999" s="90"/>
      <c r="C999" s="91"/>
      <c r="D999" s="9"/>
      <c r="E999" s="9"/>
      <c r="I999" s="11"/>
    </row>
    <row r="1000" spans="1:9" ht="18.600000000000001">
      <c r="A1000" s="89"/>
      <c r="B1000" s="90"/>
      <c r="C1000" s="91"/>
      <c r="D1000" s="9"/>
      <c r="E1000" s="9"/>
      <c r="I1000" s="11"/>
    </row>
    <row r="1001" spans="1:9" ht="18.600000000000001">
      <c r="A1001" s="89"/>
      <c r="B1001" s="90"/>
      <c r="C1001" s="91"/>
      <c r="D1001" s="9"/>
      <c r="E1001" s="9"/>
      <c r="I1001" s="11"/>
    </row>
    <row r="1002" spans="1:9" ht="18.600000000000001">
      <c r="A1002" s="89"/>
      <c r="B1002" s="90"/>
      <c r="C1002" s="91"/>
      <c r="D1002" s="9"/>
      <c r="E1002" s="9"/>
      <c r="I1002" s="11"/>
    </row>
    <row r="1003" spans="1:9" ht="18.600000000000001">
      <c r="A1003" s="89"/>
      <c r="B1003" s="90"/>
      <c r="C1003" s="91"/>
      <c r="D1003" s="9"/>
      <c r="E1003" s="9"/>
      <c r="I1003" s="11"/>
    </row>
    <row r="1004" spans="1:9" ht="18.600000000000001">
      <c r="A1004" s="89"/>
      <c r="B1004" s="90"/>
      <c r="C1004" s="91"/>
      <c r="D1004" s="9"/>
      <c r="E1004" s="9"/>
      <c r="I1004" s="11"/>
    </row>
    <row r="1005" spans="1:9" ht="18.600000000000001">
      <c r="A1005" s="89"/>
      <c r="B1005" s="90"/>
      <c r="C1005" s="91"/>
      <c r="D1005" s="9"/>
      <c r="E1005" s="9"/>
      <c r="I1005" s="11"/>
    </row>
    <row r="1006" spans="1:9" ht="18.600000000000001">
      <c r="A1006" s="89"/>
      <c r="B1006" s="90"/>
      <c r="C1006" s="91"/>
      <c r="D1006" s="9"/>
      <c r="E1006" s="9"/>
      <c r="I1006" s="11"/>
    </row>
    <row r="1007" spans="1:9" ht="18.600000000000001">
      <c r="A1007" s="89"/>
      <c r="B1007" s="90"/>
      <c r="C1007" s="91"/>
      <c r="D1007" s="9"/>
      <c r="E1007" s="9"/>
      <c r="I1007" s="11"/>
    </row>
    <row r="1008" spans="1:9" ht="18.600000000000001">
      <c r="A1008" s="89"/>
      <c r="B1008" s="90"/>
      <c r="C1008" s="91"/>
      <c r="D1008" s="9"/>
      <c r="E1008" s="9"/>
      <c r="I1008" s="11"/>
    </row>
    <row r="1009" spans="1:9" ht="18.600000000000001">
      <c r="A1009" s="89"/>
      <c r="B1009" s="90"/>
      <c r="C1009" s="91"/>
      <c r="D1009" s="9"/>
      <c r="E1009" s="9"/>
      <c r="I1009" s="11"/>
    </row>
    <row r="1010" spans="1:9" ht="18.600000000000001">
      <c r="A1010" s="89"/>
      <c r="B1010" s="90"/>
      <c r="C1010" s="91"/>
      <c r="D1010" s="9"/>
      <c r="E1010" s="9"/>
      <c r="I1010" s="11"/>
    </row>
    <row r="1011" spans="1:9" ht="18.600000000000001">
      <c r="A1011" s="89"/>
      <c r="B1011" s="90"/>
      <c r="C1011" s="91"/>
      <c r="D1011" s="9"/>
      <c r="E1011" s="9"/>
      <c r="I1011" s="11"/>
    </row>
    <row r="1012" spans="1:9" ht="18.600000000000001">
      <c r="A1012" s="89"/>
      <c r="B1012" s="90"/>
      <c r="C1012" s="91"/>
      <c r="D1012" s="9"/>
      <c r="E1012" s="9"/>
      <c r="I1012" s="11"/>
    </row>
    <row r="1013" spans="1:9" ht="18.600000000000001">
      <c r="A1013" s="89"/>
      <c r="B1013" s="90"/>
      <c r="C1013" s="91"/>
      <c r="D1013" s="9"/>
      <c r="E1013" s="9"/>
      <c r="I1013" s="11"/>
    </row>
    <row r="1014" spans="1:9" ht="18.600000000000001">
      <c r="A1014" s="89"/>
      <c r="B1014" s="90"/>
      <c r="C1014" s="91"/>
      <c r="D1014" s="9"/>
      <c r="E1014" s="9"/>
      <c r="I1014" s="11"/>
    </row>
    <row r="1015" spans="1:9" ht="18.600000000000001">
      <c r="A1015" s="89"/>
      <c r="B1015" s="90"/>
      <c r="C1015" s="91"/>
      <c r="D1015" s="9"/>
      <c r="E1015" s="9"/>
      <c r="I1015" s="11"/>
    </row>
    <row r="1016" spans="1:9" ht="18.600000000000001">
      <c r="A1016" s="89"/>
      <c r="B1016" s="90"/>
      <c r="C1016" s="91"/>
      <c r="D1016" s="9"/>
      <c r="E1016" s="9"/>
      <c r="I1016" s="11"/>
    </row>
    <row r="1017" spans="1:9" ht="18.600000000000001">
      <c r="A1017" s="89"/>
      <c r="B1017" s="90"/>
      <c r="C1017" s="91"/>
      <c r="D1017" s="9"/>
      <c r="E1017" s="9"/>
      <c r="I1017" s="11"/>
    </row>
    <row r="1018" spans="1:9" ht="18.600000000000001">
      <c r="A1018" s="89"/>
      <c r="B1018" s="90"/>
      <c r="C1018" s="91"/>
      <c r="D1018" s="9"/>
      <c r="E1018" s="9"/>
      <c r="I1018" s="11"/>
    </row>
    <row r="1019" spans="1:9" ht="18.600000000000001">
      <c r="A1019" s="89"/>
      <c r="B1019" s="90"/>
      <c r="C1019" s="91"/>
      <c r="D1019" s="9"/>
      <c r="E1019" s="9"/>
      <c r="I1019" s="11"/>
    </row>
    <row r="1020" spans="1:9" ht="18.600000000000001">
      <c r="A1020" s="89"/>
      <c r="B1020" s="90"/>
      <c r="C1020" s="91"/>
      <c r="D1020" s="9"/>
      <c r="E1020" s="9"/>
      <c r="I1020" s="11"/>
    </row>
    <row r="1021" spans="1:9" ht="18.600000000000001">
      <c r="A1021" s="89"/>
      <c r="B1021" s="90"/>
      <c r="C1021" s="91"/>
      <c r="D1021" s="9"/>
      <c r="E1021" s="9"/>
      <c r="I1021" s="11"/>
    </row>
    <row r="1022" spans="1:9" ht="18.600000000000001">
      <c r="A1022" s="89"/>
      <c r="B1022" s="90"/>
      <c r="C1022" s="91"/>
      <c r="D1022" s="9"/>
      <c r="E1022" s="9"/>
      <c r="I1022" s="11"/>
    </row>
    <row r="1023" spans="1:9" ht="18.600000000000001">
      <c r="A1023" s="89"/>
      <c r="B1023" s="90"/>
      <c r="C1023" s="91"/>
      <c r="D1023" s="9"/>
      <c r="E1023" s="9"/>
      <c r="I1023" s="11"/>
    </row>
    <row r="1024" spans="1:9" ht="18.600000000000001">
      <c r="A1024" s="89"/>
      <c r="B1024" s="90"/>
      <c r="C1024" s="91"/>
      <c r="D1024" s="9"/>
      <c r="E1024" s="9"/>
      <c r="I1024" s="11"/>
    </row>
    <row r="1025" spans="1:9" ht="18.600000000000001">
      <c r="A1025" s="89"/>
      <c r="B1025" s="90"/>
      <c r="C1025" s="91"/>
      <c r="D1025" s="9"/>
      <c r="E1025" s="9"/>
      <c r="I1025" s="11"/>
    </row>
    <row r="1026" spans="1:9" ht="18.600000000000001">
      <c r="A1026" s="89"/>
      <c r="B1026" s="90"/>
      <c r="C1026" s="91"/>
      <c r="D1026" s="9"/>
      <c r="E1026" s="9"/>
      <c r="I1026" s="11"/>
    </row>
    <row r="1027" spans="1:9" ht="18.600000000000001">
      <c r="A1027" s="89"/>
      <c r="B1027" s="90"/>
      <c r="C1027" s="91"/>
      <c r="D1027" s="9"/>
      <c r="E1027" s="9"/>
      <c r="I1027" s="11"/>
    </row>
  </sheetData>
  <mergeCells count="9">
    <mergeCell ref="I3:I4"/>
    <mergeCell ref="A5:H5"/>
    <mergeCell ref="A47:H47"/>
    <mergeCell ref="A3:A4"/>
    <mergeCell ref="B3:B4"/>
    <mergeCell ref="C3:C4"/>
    <mergeCell ref="D3:D4"/>
    <mergeCell ref="E3:E4"/>
    <mergeCell ref="F3:H3"/>
  </mergeCells>
  <printOptions horizontalCentered="1"/>
  <pageMargins left="0.25" right="0.60114652807209312" top="0.4" bottom="0.5" header="0" footer="0"/>
  <pageSetup paperSize="14" fitToWidth="0"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957"/>
  <sheetViews>
    <sheetView workbookViewId="0"/>
  </sheetViews>
  <sheetFormatPr defaultColWidth="14.44140625" defaultRowHeight="15" customHeight="1"/>
  <cols>
    <col min="1" max="1" width="4.6640625" customWidth="1"/>
    <col min="2" max="2" width="20.6640625" customWidth="1"/>
    <col min="3" max="3" width="8" customWidth="1"/>
    <col min="4" max="4" width="35.6640625" customWidth="1"/>
    <col min="5" max="5" width="10.109375" customWidth="1"/>
    <col min="6" max="6" width="17.33203125" customWidth="1"/>
    <col min="7" max="7" width="15.88671875" customWidth="1"/>
    <col min="8" max="8" width="15.5546875" customWidth="1"/>
    <col min="9" max="9" width="23.33203125" customWidth="1"/>
    <col min="10" max="10" width="30.6640625" customWidth="1"/>
    <col min="11" max="11" width="21.5546875" customWidth="1"/>
    <col min="12" max="12" width="104.6640625" customWidth="1"/>
    <col min="13" max="13" width="73.33203125" customWidth="1"/>
    <col min="14" max="14" width="30.33203125" customWidth="1"/>
    <col min="15" max="15" width="13.5546875" customWidth="1"/>
    <col min="16" max="16" width="46.109375" customWidth="1"/>
    <col min="17" max="17" width="54.6640625" customWidth="1"/>
    <col min="18" max="32" width="8.6640625" customWidth="1"/>
  </cols>
  <sheetData>
    <row r="1" spans="1:32" ht="15.6">
      <c r="A1" s="155"/>
      <c r="B1" s="155"/>
      <c r="C1" s="156"/>
      <c r="D1" s="156"/>
      <c r="E1" s="156"/>
      <c r="F1" s="157"/>
      <c r="G1" s="157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</row>
    <row r="2" spans="1:32" ht="15.6">
      <c r="A2" s="155"/>
      <c r="B2" s="155"/>
      <c r="C2" s="156"/>
      <c r="D2" s="156"/>
      <c r="E2" s="156"/>
      <c r="F2" s="157"/>
      <c r="G2" s="157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</row>
    <row r="3" spans="1:32" ht="15.6">
      <c r="A3" s="155"/>
      <c r="B3" s="155"/>
      <c r="C3" s="156"/>
      <c r="D3" s="156"/>
      <c r="E3" s="156"/>
      <c r="F3" s="157"/>
      <c r="G3" s="157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</row>
    <row r="4" spans="1:32" ht="23.4">
      <c r="A4" s="159"/>
      <c r="B4" s="159"/>
      <c r="C4" s="160"/>
      <c r="D4" s="160"/>
      <c r="E4" s="160"/>
      <c r="F4" s="161"/>
      <c r="G4" s="161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</row>
    <row r="5" spans="1:32" ht="23.4">
      <c r="A5" s="159"/>
      <c r="B5" s="159"/>
      <c r="C5" s="160"/>
      <c r="D5" s="160"/>
      <c r="E5" s="160"/>
      <c r="F5" s="161"/>
      <c r="G5" s="161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</row>
    <row r="6" spans="1:32" ht="23.4">
      <c r="A6" s="159"/>
      <c r="B6" s="159"/>
      <c r="C6" s="160"/>
      <c r="D6" s="160"/>
      <c r="E6" s="160"/>
      <c r="F6" s="161"/>
      <c r="G6" s="161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</row>
    <row r="7" spans="1:32" ht="15.6">
      <c r="A7" s="158"/>
      <c r="B7" s="158"/>
      <c r="C7" s="162"/>
      <c r="D7" s="162"/>
      <c r="E7" s="160" t="s">
        <v>539</v>
      </c>
      <c r="F7" s="161"/>
      <c r="G7" s="161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</row>
    <row r="8" spans="1:32" ht="15.6">
      <c r="A8" s="155"/>
      <c r="B8" s="155"/>
      <c r="C8" s="156"/>
      <c r="D8" s="156"/>
      <c r="E8" s="156"/>
      <c r="F8" s="157"/>
      <c r="G8" s="157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</row>
    <row r="9" spans="1:32" ht="21">
      <c r="A9" s="163"/>
      <c r="B9" s="164" t="s">
        <v>48</v>
      </c>
      <c r="C9" s="663" t="s">
        <v>540</v>
      </c>
      <c r="D9" s="165" t="s">
        <v>41</v>
      </c>
      <c r="E9" s="165" t="s">
        <v>42</v>
      </c>
      <c r="F9" s="166" t="s">
        <v>541</v>
      </c>
      <c r="G9" s="167" t="s">
        <v>542</v>
      </c>
      <c r="H9" s="165" t="s">
        <v>543</v>
      </c>
      <c r="I9" s="165" t="s">
        <v>53</v>
      </c>
      <c r="J9" s="165" t="s">
        <v>54</v>
      </c>
      <c r="K9" s="165" t="s">
        <v>55</v>
      </c>
      <c r="L9" s="165"/>
      <c r="M9" s="165"/>
      <c r="N9" s="663" t="s">
        <v>46</v>
      </c>
      <c r="O9" s="165" t="s">
        <v>45</v>
      </c>
      <c r="P9" s="165" t="s">
        <v>47</v>
      </c>
      <c r="Q9" s="165" t="s">
        <v>544</v>
      </c>
      <c r="R9" s="156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</row>
    <row r="10" spans="1:32" ht="21">
      <c r="A10" s="168"/>
      <c r="B10" s="169"/>
      <c r="C10" s="646"/>
      <c r="D10" s="170"/>
      <c r="E10" s="170"/>
      <c r="F10" s="171"/>
      <c r="G10" s="171"/>
      <c r="H10" s="170"/>
      <c r="I10" s="170"/>
      <c r="J10" s="170"/>
      <c r="K10" s="170"/>
      <c r="L10" s="170"/>
      <c r="M10" s="170"/>
      <c r="N10" s="646"/>
      <c r="O10" s="170"/>
      <c r="P10" s="170"/>
      <c r="Q10" s="170"/>
      <c r="R10" s="156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</row>
    <row r="11" spans="1:32" ht="24.6">
      <c r="A11" s="172">
        <v>1</v>
      </c>
      <c r="B11" s="173" t="s">
        <v>299</v>
      </c>
      <c r="C11" s="3" t="s">
        <v>545</v>
      </c>
      <c r="D11" s="5" t="s">
        <v>520</v>
      </c>
      <c r="E11" s="5">
        <v>11</v>
      </c>
      <c r="F11" s="174">
        <v>22316</v>
      </c>
      <c r="G11" s="174">
        <f t="shared" ref="G11:G13" si="0">F11*0.2</f>
        <v>4463.2</v>
      </c>
      <c r="H11" s="174">
        <f t="shared" ref="H11:H13" si="1">F11+G11</f>
        <v>26779.200000000001</v>
      </c>
      <c r="I11" s="5" t="s">
        <v>363</v>
      </c>
      <c r="J11" s="5" t="s">
        <v>364</v>
      </c>
      <c r="K11" s="5" t="s">
        <v>365</v>
      </c>
      <c r="L11" s="42" t="s">
        <v>546</v>
      </c>
      <c r="M11" s="5"/>
      <c r="N11" s="175">
        <v>32384</v>
      </c>
      <c r="O11" s="5" t="s">
        <v>64</v>
      </c>
      <c r="P11" s="176" t="s">
        <v>547</v>
      </c>
      <c r="Q11" s="5" t="s">
        <v>26</v>
      </c>
      <c r="R11" s="156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</row>
    <row r="12" spans="1:32" ht="24.6">
      <c r="A12" s="172">
        <v>2</v>
      </c>
      <c r="B12" s="173" t="s">
        <v>455</v>
      </c>
      <c r="C12" s="4" t="s">
        <v>545</v>
      </c>
      <c r="D12" s="178" t="s">
        <v>518</v>
      </c>
      <c r="E12" s="5">
        <v>15</v>
      </c>
      <c r="F12" s="179">
        <v>32053</v>
      </c>
      <c r="G12" s="174">
        <f t="shared" si="0"/>
        <v>6410.6</v>
      </c>
      <c r="H12" s="174">
        <f t="shared" si="1"/>
        <v>38463.599999999999</v>
      </c>
      <c r="I12" s="176" t="s">
        <v>141</v>
      </c>
      <c r="J12" s="176" t="s">
        <v>142</v>
      </c>
      <c r="K12" s="176" t="s">
        <v>143</v>
      </c>
      <c r="L12" s="42" t="s">
        <v>548</v>
      </c>
      <c r="M12" s="5"/>
      <c r="N12" s="180">
        <v>34927</v>
      </c>
      <c r="O12" s="5" t="s">
        <v>85</v>
      </c>
      <c r="P12" s="181" t="s">
        <v>549</v>
      </c>
      <c r="Q12" s="5" t="s">
        <v>27</v>
      </c>
      <c r="R12" s="156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</row>
    <row r="13" spans="1:32" ht="24.6">
      <c r="A13" s="172">
        <v>3</v>
      </c>
      <c r="B13" s="661" t="s">
        <v>299</v>
      </c>
      <c r="C13" s="4" t="s">
        <v>545</v>
      </c>
      <c r="D13" s="178" t="s">
        <v>550</v>
      </c>
      <c r="E13" s="5">
        <v>11</v>
      </c>
      <c r="F13" s="174">
        <v>22316</v>
      </c>
      <c r="G13" s="174">
        <f t="shared" si="0"/>
        <v>4463.2</v>
      </c>
      <c r="H13" s="174">
        <f t="shared" si="1"/>
        <v>26779.200000000001</v>
      </c>
      <c r="I13" s="5" t="s">
        <v>296</v>
      </c>
      <c r="J13" s="5" t="s">
        <v>297</v>
      </c>
      <c r="K13" s="5" t="s">
        <v>298</v>
      </c>
      <c r="L13" s="42" t="s">
        <v>551</v>
      </c>
      <c r="M13" s="5"/>
      <c r="N13" s="180">
        <v>35555</v>
      </c>
      <c r="O13" s="5" t="s">
        <v>64</v>
      </c>
      <c r="P13" s="176" t="s">
        <v>552</v>
      </c>
      <c r="Q13" s="5" t="s">
        <v>28</v>
      </c>
      <c r="R13" s="156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</row>
    <row r="14" spans="1:32" ht="24.6">
      <c r="A14" s="172">
        <v>4</v>
      </c>
      <c r="B14" s="662"/>
      <c r="C14" s="5"/>
      <c r="D14" s="5" t="s">
        <v>520</v>
      </c>
      <c r="E14" s="5">
        <v>11</v>
      </c>
      <c r="F14" s="182">
        <v>25439</v>
      </c>
      <c r="G14" s="182">
        <f t="shared" ref="G14:G17" si="2">F14*20%</f>
        <v>5087.8</v>
      </c>
      <c r="H14" s="182">
        <f t="shared" ref="H14:H17" si="3">F14*1.2</f>
        <v>30526.799999999999</v>
      </c>
      <c r="I14" s="27" t="s">
        <v>134</v>
      </c>
      <c r="J14" s="27" t="s">
        <v>135</v>
      </c>
      <c r="K14" s="27" t="s">
        <v>136</v>
      </c>
      <c r="L14" s="5" t="s">
        <v>553</v>
      </c>
      <c r="M14" s="5"/>
      <c r="N14" s="183">
        <v>35234</v>
      </c>
      <c r="O14" s="5" t="s">
        <v>64</v>
      </c>
      <c r="P14" s="5">
        <v>9264894119</v>
      </c>
      <c r="Q14" s="5" t="s">
        <v>137</v>
      </c>
      <c r="R14" s="156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</row>
    <row r="15" spans="1:32" ht="24.6">
      <c r="A15" s="172">
        <v>5</v>
      </c>
      <c r="B15" s="662"/>
      <c r="C15" s="4"/>
      <c r="D15" s="5" t="s">
        <v>520</v>
      </c>
      <c r="E15" s="5">
        <v>11</v>
      </c>
      <c r="F15" s="182">
        <v>25439</v>
      </c>
      <c r="G15" s="184">
        <f t="shared" si="2"/>
        <v>5087.8</v>
      </c>
      <c r="H15" s="184">
        <f t="shared" si="3"/>
        <v>30526.799999999999</v>
      </c>
      <c r="I15" s="27" t="s">
        <v>99</v>
      </c>
      <c r="J15" s="27" t="s">
        <v>370</v>
      </c>
      <c r="K15" s="27" t="s">
        <v>371</v>
      </c>
      <c r="L15" s="42" t="s">
        <v>554</v>
      </c>
      <c r="M15" s="5"/>
      <c r="N15" s="185">
        <v>36235</v>
      </c>
      <c r="O15" s="5" t="s">
        <v>85</v>
      </c>
      <c r="P15" s="5" t="s">
        <v>372</v>
      </c>
      <c r="Q15" s="5" t="s">
        <v>373</v>
      </c>
      <c r="R15" s="156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</row>
    <row r="16" spans="1:32" ht="24.6">
      <c r="A16" s="172">
        <v>6</v>
      </c>
      <c r="B16" s="662"/>
      <c r="C16" s="4"/>
      <c r="D16" s="5" t="s">
        <v>520</v>
      </c>
      <c r="E16" s="5">
        <v>11</v>
      </c>
      <c r="F16" s="182">
        <v>25439</v>
      </c>
      <c r="G16" s="184">
        <f t="shared" si="2"/>
        <v>5087.8</v>
      </c>
      <c r="H16" s="184">
        <f t="shared" si="3"/>
        <v>30526.799999999999</v>
      </c>
      <c r="I16" s="27" t="s">
        <v>375</v>
      </c>
      <c r="J16" s="27" t="s">
        <v>376</v>
      </c>
      <c r="K16" s="27" t="s">
        <v>377</v>
      </c>
      <c r="L16" s="42" t="s">
        <v>555</v>
      </c>
      <c r="M16" s="5"/>
      <c r="N16" s="185">
        <v>36504</v>
      </c>
      <c r="O16" s="5" t="s">
        <v>64</v>
      </c>
      <c r="P16" s="5">
        <v>9776748240</v>
      </c>
      <c r="Q16" s="5" t="s">
        <v>378</v>
      </c>
      <c r="R16" s="156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</row>
    <row r="17" spans="1:32" ht="24.6">
      <c r="A17" s="172">
        <v>7</v>
      </c>
      <c r="B17" s="646"/>
      <c r="C17" s="4"/>
      <c r="D17" s="186" t="s">
        <v>520</v>
      </c>
      <c r="E17" s="5">
        <v>11</v>
      </c>
      <c r="F17" s="182">
        <v>25439</v>
      </c>
      <c r="G17" s="184">
        <f t="shared" si="2"/>
        <v>5087.8</v>
      </c>
      <c r="H17" s="184">
        <f t="shared" si="3"/>
        <v>30526.799999999999</v>
      </c>
      <c r="I17" s="27" t="s">
        <v>556</v>
      </c>
      <c r="J17" s="27" t="s">
        <v>557</v>
      </c>
      <c r="K17" s="5"/>
      <c r="L17" s="42"/>
      <c r="M17" s="5"/>
      <c r="N17" s="187"/>
      <c r="O17" s="5"/>
      <c r="P17" s="5"/>
      <c r="Q17" s="5"/>
      <c r="R17" s="156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</row>
    <row r="18" spans="1:32" ht="24.6">
      <c r="A18" s="172">
        <v>8</v>
      </c>
      <c r="B18" s="188" t="s">
        <v>558</v>
      </c>
      <c r="C18" s="4" t="s">
        <v>545</v>
      </c>
      <c r="D18" s="5" t="s">
        <v>519</v>
      </c>
      <c r="E18" s="5">
        <v>15</v>
      </c>
      <c r="F18" s="179">
        <v>32053</v>
      </c>
      <c r="G18" s="174">
        <f t="shared" ref="G18:G29" si="4">F18*0.2</f>
        <v>6410.6</v>
      </c>
      <c r="H18" s="174">
        <f t="shared" ref="H18:H29" si="5">F18+G18</f>
        <v>38463.599999999999</v>
      </c>
      <c r="I18" s="5" t="s">
        <v>128</v>
      </c>
      <c r="J18" s="5" t="s">
        <v>129</v>
      </c>
      <c r="K18" s="5" t="s">
        <v>130</v>
      </c>
      <c r="L18" s="42" t="s">
        <v>559</v>
      </c>
      <c r="M18" s="5"/>
      <c r="N18" s="187">
        <v>45114</v>
      </c>
      <c r="O18" s="5" t="s">
        <v>85</v>
      </c>
      <c r="P18" s="5">
        <v>9060069530</v>
      </c>
      <c r="Q18" s="5" t="s">
        <v>29</v>
      </c>
      <c r="R18" s="156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</row>
    <row r="19" spans="1:32" ht="15.75" customHeight="1">
      <c r="A19" s="189">
        <v>9</v>
      </c>
      <c r="B19" s="661" t="s">
        <v>379</v>
      </c>
      <c r="C19" s="4" t="s">
        <v>545</v>
      </c>
      <c r="D19" s="5" t="s">
        <v>519</v>
      </c>
      <c r="E19" s="5">
        <v>15</v>
      </c>
      <c r="F19" s="179">
        <v>32053</v>
      </c>
      <c r="G19" s="174">
        <f t="shared" si="4"/>
        <v>6410.6</v>
      </c>
      <c r="H19" s="174">
        <f t="shared" si="5"/>
        <v>38463.599999999999</v>
      </c>
      <c r="I19" s="5" t="s">
        <v>560</v>
      </c>
      <c r="J19" s="5" t="s">
        <v>561</v>
      </c>
      <c r="K19" s="5" t="s">
        <v>562</v>
      </c>
      <c r="L19" s="42" t="s">
        <v>563</v>
      </c>
      <c r="M19" s="5"/>
      <c r="N19" s="180">
        <v>36349</v>
      </c>
      <c r="O19" s="5" t="s">
        <v>64</v>
      </c>
      <c r="P19" s="5" t="s">
        <v>564</v>
      </c>
      <c r="Q19" s="5" t="s">
        <v>30</v>
      </c>
      <c r="R19" s="156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</row>
    <row r="20" spans="1:32" ht="15.75" customHeight="1">
      <c r="A20" s="189">
        <v>10</v>
      </c>
      <c r="B20" s="646"/>
      <c r="C20" s="4"/>
      <c r="D20" s="178" t="s">
        <v>520</v>
      </c>
      <c r="E20" s="5">
        <v>11</v>
      </c>
      <c r="F20" s="174">
        <v>22316</v>
      </c>
      <c r="G20" s="174">
        <f t="shared" si="4"/>
        <v>4463.2</v>
      </c>
      <c r="H20" s="174">
        <f t="shared" si="5"/>
        <v>26779.200000000001</v>
      </c>
      <c r="I20" s="176" t="s">
        <v>101</v>
      </c>
      <c r="J20" s="176" t="s">
        <v>304</v>
      </c>
      <c r="K20" s="176" t="s">
        <v>305</v>
      </c>
      <c r="L20" s="42" t="s">
        <v>565</v>
      </c>
      <c r="M20" s="5"/>
      <c r="N20" s="180">
        <v>36494</v>
      </c>
      <c r="O20" s="5" t="s">
        <v>64</v>
      </c>
      <c r="P20" s="176" t="s">
        <v>566</v>
      </c>
      <c r="Q20" s="5" t="s">
        <v>306</v>
      </c>
      <c r="R20" s="156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</row>
    <row r="21" spans="1:32" ht="15.75" customHeight="1">
      <c r="A21" s="172">
        <v>11</v>
      </c>
      <c r="B21" s="173" t="s">
        <v>567</v>
      </c>
      <c r="C21" s="4" t="s">
        <v>545</v>
      </c>
      <c r="D21" s="178" t="s">
        <v>274</v>
      </c>
      <c r="E21" s="5">
        <v>16</v>
      </c>
      <c r="F21" s="179">
        <v>35106</v>
      </c>
      <c r="G21" s="174">
        <f t="shared" si="4"/>
        <v>7021.2000000000007</v>
      </c>
      <c r="H21" s="174">
        <f t="shared" si="5"/>
        <v>42127.199999999997</v>
      </c>
      <c r="I21" s="176" t="s">
        <v>111</v>
      </c>
      <c r="J21" s="176" t="s">
        <v>112</v>
      </c>
      <c r="K21" s="176" t="s">
        <v>101</v>
      </c>
      <c r="L21" s="42" t="s">
        <v>568</v>
      </c>
      <c r="M21" s="5"/>
      <c r="N21" s="180">
        <v>33434</v>
      </c>
      <c r="O21" s="5" t="s">
        <v>64</v>
      </c>
      <c r="P21" s="181" t="s">
        <v>569</v>
      </c>
      <c r="Q21" s="5" t="s">
        <v>31</v>
      </c>
      <c r="R21" s="156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</row>
    <row r="22" spans="1:32" ht="15.75" customHeight="1">
      <c r="A22" s="172">
        <v>12</v>
      </c>
      <c r="B22" s="661" t="s">
        <v>320</v>
      </c>
      <c r="C22" s="4" t="s">
        <v>545</v>
      </c>
      <c r="D22" s="5" t="s">
        <v>519</v>
      </c>
      <c r="E22" s="5">
        <v>15</v>
      </c>
      <c r="F22" s="179">
        <v>32053</v>
      </c>
      <c r="G22" s="174">
        <f t="shared" si="4"/>
        <v>6410.6</v>
      </c>
      <c r="H22" s="174">
        <f t="shared" si="5"/>
        <v>38463.599999999999</v>
      </c>
      <c r="I22" s="5" t="s">
        <v>276</v>
      </c>
      <c r="J22" s="5" t="s">
        <v>277</v>
      </c>
      <c r="K22" s="5" t="s">
        <v>278</v>
      </c>
      <c r="L22" s="42" t="s">
        <v>570</v>
      </c>
      <c r="M22" s="5" t="s">
        <v>571</v>
      </c>
      <c r="N22" s="190">
        <v>33426</v>
      </c>
      <c r="O22" s="5" t="s">
        <v>85</v>
      </c>
      <c r="P22" s="176" t="s">
        <v>572</v>
      </c>
      <c r="Q22" s="5" t="s">
        <v>34</v>
      </c>
      <c r="R22" s="156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</row>
    <row r="23" spans="1:32" ht="15.75" customHeight="1">
      <c r="A23" s="189">
        <v>13</v>
      </c>
      <c r="B23" s="662"/>
      <c r="C23" s="4" t="s">
        <v>545</v>
      </c>
      <c r="D23" s="178" t="s">
        <v>245</v>
      </c>
      <c r="E23" s="5">
        <v>19</v>
      </c>
      <c r="F23" s="179">
        <v>46791</v>
      </c>
      <c r="G23" s="174">
        <f t="shared" si="4"/>
        <v>9358.2000000000007</v>
      </c>
      <c r="H23" s="174">
        <f t="shared" si="5"/>
        <v>56149.2</v>
      </c>
      <c r="I23" s="176" t="s">
        <v>114</v>
      </c>
      <c r="J23" s="176" t="s">
        <v>115</v>
      </c>
      <c r="K23" s="176" t="s">
        <v>116</v>
      </c>
      <c r="L23" s="42" t="s">
        <v>573</v>
      </c>
      <c r="M23" s="5" t="s">
        <v>574</v>
      </c>
      <c r="N23" s="180">
        <v>34086</v>
      </c>
      <c r="O23" s="5" t="s">
        <v>85</v>
      </c>
      <c r="P23" s="181" t="s">
        <v>117</v>
      </c>
      <c r="Q23" s="5" t="s">
        <v>33</v>
      </c>
      <c r="R23" s="156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</row>
    <row r="24" spans="1:32" ht="15.75" customHeight="1">
      <c r="A24" s="172">
        <v>14</v>
      </c>
      <c r="B24" s="662"/>
      <c r="C24" s="4" t="s">
        <v>545</v>
      </c>
      <c r="D24" s="5" t="s">
        <v>575</v>
      </c>
      <c r="E24" s="5">
        <v>15</v>
      </c>
      <c r="F24" s="179">
        <v>32053</v>
      </c>
      <c r="G24" s="174">
        <f t="shared" si="4"/>
        <v>6410.6</v>
      </c>
      <c r="H24" s="174">
        <f t="shared" si="5"/>
        <v>38463.599999999999</v>
      </c>
      <c r="I24" s="5" t="s">
        <v>514</v>
      </c>
      <c r="J24" s="5" t="s">
        <v>515</v>
      </c>
      <c r="K24" s="5" t="s">
        <v>516</v>
      </c>
      <c r="L24" s="42" t="s">
        <v>576</v>
      </c>
      <c r="M24" s="5" t="s">
        <v>577</v>
      </c>
      <c r="N24" s="180">
        <v>33856</v>
      </c>
      <c r="O24" s="5" t="s">
        <v>85</v>
      </c>
      <c r="P24" s="176" t="s">
        <v>578</v>
      </c>
      <c r="Q24" s="5"/>
      <c r="R24" s="156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</row>
    <row r="25" spans="1:32" ht="15.75" customHeight="1">
      <c r="A25" s="189">
        <v>15</v>
      </c>
      <c r="B25" s="662"/>
      <c r="C25" s="4" t="s">
        <v>545</v>
      </c>
      <c r="D25" s="178" t="s">
        <v>274</v>
      </c>
      <c r="E25" s="5">
        <v>16</v>
      </c>
      <c r="F25" s="179">
        <v>35106</v>
      </c>
      <c r="G25" s="174">
        <f t="shared" si="4"/>
        <v>7021.2000000000007</v>
      </c>
      <c r="H25" s="174">
        <f t="shared" si="5"/>
        <v>42127.199999999997</v>
      </c>
      <c r="I25" s="176" t="s">
        <v>579</v>
      </c>
      <c r="J25" s="176" t="s">
        <v>580</v>
      </c>
      <c r="K25" s="176" t="s">
        <v>581</v>
      </c>
      <c r="L25" s="42" t="s">
        <v>582</v>
      </c>
      <c r="M25" s="5" t="s">
        <v>583</v>
      </c>
      <c r="N25" s="180">
        <v>32673</v>
      </c>
      <c r="O25" s="5" t="s">
        <v>85</v>
      </c>
      <c r="P25" s="181" t="s">
        <v>584</v>
      </c>
      <c r="Q25" s="5"/>
      <c r="R25" s="156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</row>
    <row r="26" spans="1:32" ht="15.75" customHeight="1">
      <c r="A26" s="172">
        <v>16</v>
      </c>
      <c r="B26" s="662"/>
      <c r="C26" s="4" t="s">
        <v>545</v>
      </c>
      <c r="D26" s="5" t="s">
        <v>575</v>
      </c>
      <c r="E26" s="5">
        <v>15</v>
      </c>
      <c r="F26" s="179">
        <v>32053</v>
      </c>
      <c r="G26" s="174">
        <f t="shared" si="4"/>
        <v>6410.6</v>
      </c>
      <c r="H26" s="174">
        <f t="shared" si="5"/>
        <v>38463.599999999999</v>
      </c>
      <c r="I26" s="5" t="s">
        <v>585</v>
      </c>
      <c r="J26" s="5" t="s">
        <v>586</v>
      </c>
      <c r="K26" s="5" t="s">
        <v>587</v>
      </c>
      <c r="L26" s="42" t="s">
        <v>588</v>
      </c>
      <c r="M26" s="5" t="s">
        <v>589</v>
      </c>
      <c r="N26" s="180">
        <v>34639</v>
      </c>
      <c r="O26" s="5" t="s">
        <v>85</v>
      </c>
      <c r="P26" s="176" t="s">
        <v>590</v>
      </c>
      <c r="Q26" s="5"/>
      <c r="R26" s="156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</row>
    <row r="27" spans="1:32" ht="15.75" customHeight="1">
      <c r="A27" s="172">
        <v>17</v>
      </c>
      <c r="B27" s="662"/>
      <c r="C27" s="4" t="s">
        <v>545</v>
      </c>
      <c r="D27" s="5" t="s">
        <v>519</v>
      </c>
      <c r="E27" s="5">
        <v>15</v>
      </c>
      <c r="F27" s="179">
        <v>32053</v>
      </c>
      <c r="G27" s="174">
        <f t="shared" si="4"/>
        <v>6410.6</v>
      </c>
      <c r="H27" s="174">
        <f t="shared" si="5"/>
        <v>38463.599999999999</v>
      </c>
      <c r="I27" s="5" t="s">
        <v>300</v>
      </c>
      <c r="J27" s="5" t="s">
        <v>301</v>
      </c>
      <c r="K27" s="5" t="s">
        <v>302</v>
      </c>
      <c r="L27" s="42" t="s">
        <v>591</v>
      </c>
      <c r="M27" s="5" t="s">
        <v>592</v>
      </c>
      <c r="N27" s="180">
        <v>34771</v>
      </c>
      <c r="O27" s="5" t="s">
        <v>85</v>
      </c>
      <c r="P27" s="181" t="s">
        <v>593</v>
      </c>
      <c r="Q27" s="5" t="s">
        <v>35</v>
      </c>
      <c r="R27" s="156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</row>
    <row r="28" spans="1:32" ht="15.75" customHeight="1">
      <c r="A28" s="189">
        <v>18</v>
      </c>
      <c r="B28" s="662"/>
      <c r="C28" s="191" t="s">
        <v>545</v>
      </c>
      <c r="D28" s="178" t="s">
        <v>461</v>
      </c>
      <c r="E28" s="5">
        <v>12</v>
      </c>
      <c r="F28" s="179">
        <v>24495</v>
      </c>
      <c r="G28" s="174">
        <f t="shared" si="4"/>
        <v>4899</v>
      </c>
      <c r="H28" s="174">
        <f t="shared" si="5"/>
        <v>29394</v>
      </c>
      <c r="I28" s="178" t="s">
        <v>291</v>
      </c>
      <c r="J28" s="178" t="s">
        <v>292</v>
      </c>
      <c r="K28" s="178" t="s">
        <v>293</v>
      </c>
      <c r="L28" s="42" t="s">
        <v>594</v>
      </c>
      <c r="M28" s="5" t="s">
        <v>595</v>
      </c>
      <c r="N28" s="192">
        <v>35819</v>
      </c>
      <c r="O28" s="178" t="s">
        <v>85</v>
      </c>
      <c r="P28" s="176" t="s">
        <v>596</v>
      </c>
      <c r="Q28" s="5" t="s">
        <v>32</v>
      </c>
      <c r="R28" s="156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</row>
    <row r="29" spans="1:32" ht="15.75" customHeight="1">
      <c r="A29" s="172">
        <v>19</v>
      </c>
      <c r="B29" s="662"/>
      <c r="C29" s="4" t="s">
        <v>545</v>
      </c>
      <c r="D29" s="178" t="s">
        <v>597</v>
      </c>
      <c r="E29" s="5">
        <v>11</v>
      </c>
      <c r="F29" s="174">
        <v>22316</v>
      </c>
      <c r="G29" s="174">
        <f t="shared" si="4"/>
        <v>4463.2</v>
      </c>
      <c r="H29" s="174">
        <f t="shared" si="5"/>
        <v>26779.200000000001</v>
      </c>
      <c r="I29" s="5" t="s">
        <v>598</v>
      </c>
      <c r="J29" s="5" t="s">
        <v>599</v>
      </c>
      <c r="K29" s="5" t="s">
        <v>600</v>
      </c>
      <c r="L29" s="42" t="s">
        <v>601</v>
      </c>
      <c r="M29" s="5" t="s">
        <v>602</v>
      </c>
      <c r="N29" s="193">
        <v>33989</v>
      </c>
      <c r="O29" s="5" t="s">
        <v>85</v>
      </c>
      <c r="P29" s="176" t="s">
        <v>603</v>
      </c>
      <c r="Q29" s="5" t="s">
        <v>604</v>
      </c>
      <c r="R29" s="156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</row>
    <row r="30" spans="1:32" ht="27" customHeight="1">
      <c r="A30" s="172">
        <v>20</v>
      </c>
      <c r="B30" s="662"/>
      <c r="C30" s="4"/>
      <c r="D30" s="5" t="s">
        <v>605</v>
      </c>
      <c r="E30" s="5">
        <v>15</v>
      </c>
      <c r="F30" s="182">
        <v>35097</v>
      </c>
      <c r="G30" s="184">
        <f>F30*20%</f>
        <v>7019.4000000000005</v>
      </c>
      <c r="H30" s="184">
        <f>F30*1.2</f>
        <v>42116.4</v>
      </c>
      <c r="I30" s="27" t="s">
        <v>606</v>
      </c>
      <c r="J30" s="27" t="s">
        <v>607</v>
      </c>
      <c r="K30" s="27" t="s">
        <v>608</v>
      </c>
      <c r="L30" s="42" t="s">
        <v>609</v>
      </c>
      <c r="M30" s="5"/>
      <c r="N30" s="194">
        <v>33349</v>
      </c>
      <c r="O30" s="5" t="s">
        <v>85</v>
      </c>
      <c r="P30" s="176" t="s">
        <v>610</v>
      </c>
      <c r="Q30" s="5" t="s">
        <v>611</v>
      </c>
      <c r="R30" s="156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</row>
    <row r="31" spans="1:32" ht="27" customHeight="1">
      <c r="A31" s="172">
        <v>21</v>
      </c>
      <c r="B31" s="662"/>
      <c r="C31" s="4"/>
      <c r="D31" s="5" t="s">
        <v>612</v>
      </c>
      <c r="E31" s="5">
        <v>11</v>
      </c>
      <c r="F31" s="182">
        <v>25439</v>
      </c>
      <c r="G31" s="184">
        <v>5087.8</v>
      </c>
      <c r="H31" s="184">
        <f>F31+G31</f>
        <v>30526.799999999999</v>
      </c>
      <c r="I31" s="27" t="s">
        <v>336</v>
      </c>
      <c r="J31" s="27" t="s">
        <v>337</v>
      </c>
      <c r="K31" s="5" t="s">
        <v>613</v>
      </c>
      <c r="L31" s="42" t="s">
        <v>614</v>
      </c>
      <c r="M31" s="5"/>
      <c r="N31" s="195"/>
      <c r="O31" s="5"/>
      <c r="P31" s="176"/>
      <c r="Q31" s="5"/>
      <c r="R31" s="156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</row>
    <row r="32" spans="1:32" ht="27" customHeight="1">
      <c r="A32" s="172">
        <v>22</v>
      </c>
      <c r="B32" s="646"/>
      <c r="C32" s="4"/>
      <c r="D32" s="5" t="s">
        <v>605</v>
      </c>
      <c r="E32" s="5">
        <v>15</v>
      </c>
      <c r="F32" s="182">
        <v>35097</v>
      </c>
      <c r="G32" s="184">
        <f>F32*20%</f>
        <v>7019.4000000000005</v>
      </c>
      <c r="H32" s="184">
        <f>F32*1.2</f>
        <v>42116.4</v>
      </c>
      <c r="I32" s="27" t="s">
        <v>322</v>
      </c>
      <c r="J32" s="27" t="s">
        <v>323</v>
      </c>
      <c r="K32" s="5" t="s">
        <v>615</v>
      </c>
      <c r="L32" s="42" t="s">
        <v>616</v>
      </c>
      <c r="M32" s="5"/>
      <c r="N32" s="194"/>
      <c r="O32" s="5"/>
      <c r="P32" s="176"/>
      <c r="Q32" s="5"/>
      <c r="R32" s="156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</row>
    <row r="33" spans="1:32" ht="27" customHeight="1">
      <c r="A33" s="172">
        <v>23</v>
      </c>
      <c r="B33" s="173" t="s">
        <v>617</v>
      </c>
      <c r="C33" s="4" t="s">
        <v>545</v>
      </c>
      <c r="D33" s="5" t="s">
        <v>461</v>
      </c>
      <c r="E33" s="5">
        <v>12</v>
      </c>
      <c r="F33" s="179">
        <v>24495</v>
      </c>
      <c r="G33" s="174">
        <f t="shared" ref="G33:G37" si="6">F33*0.2</f>
        <v>4899</v>
      </c>
      <c r="H33" s="174">
        <f t="shared" ref="H33:H37" si="7">F33+G33</f>
        <v>29394</v>
      </c>
      <c r="I33" s="5" t="s">
        <v>282</v>
      </c>
      <c r="J33" s="5" t="s">
        <v>283</v>
      </c>
      <c r="K33" s="5" t="s">
        <v>199</v>
      </c>
      <c r="L33" s="42" t="s">
        <v>618</v>
      </c>
      <c r="M33" s="5" t="str">
        <f t="shared" ref="M33:M37" si="8">CONCATENATE(I33, ", ", J33," ",K33)</f>
        <v>LANGCAY, MICHAEL ANGELO ROBLES</v>
      </c>
      <c r="N33" s="195">
        <v>33544</v>
      </c>
      <c r="O33" s="5" t="s">
        <v>85</v>
      </c>
      <c r="P33" s="176" t="s">
        <v>619</v>
      </c>
      <c r="Q33" s="5" t="s">
        <v>37</v>
      </c>
      <c r="R33" s="156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</row>
    <row r="34" spans="1:32" ht="15.75" customHeight="1">
      <c r="A34" s="189">
        <v>24</v>
      </c>
      <c r="B34" s="661" t="s">
        <v>620</v>
      </c>
      <c r="C34" s="4" t="s">
        <v>545</v>
      </c>
      <c r="D34" s="178" t="s">
        <v>621</v>
      </c>
      <c r="E34" s="5">
        <v>16</v>
      </c>
      <c r="F34" s="179">
        <v>35106</v>
      </c>
      <c r="G34" s="174">
        <f t="shared" si="6"/>
        <v>7021.2000000000007</v>
      </c>
      <c r="H34" s="174">
        <f t="shared" si="7"/>
        <v>42127.199999999997</v>
      </c>
      <c r="I34" s="176" t="s">
        <v>622</v>
      </c>
      <c r="J34" s="176" t="s">
        <v>623</v>
      </c>
      <c r="K34" s="176" t="s">
        <v>624</v>
      </c>
      <c r="L34" s="42" t="s">
        <v>625</v>
      </c>
      <c r="M34" s="5" t="str">
        <f t="shared" si="8"/>
        <v>BAGUILAT, EVENCE MICHAEL CANDELARIA</v>
      </c>
      <c r="N34" s="196">
        <v>29591</v>
      </c>
      <c r="O34" s="5" t="s">
        <v>85</v>
      </c>
      <c r="P34" s="181" t="s">
        <v>626</v>
      </c>
      <c r="Q34" s="5" t="s">
        <v>40</v>
      </c>
      <c r="R34" s="156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</row>
    <row r="35" spans="1:32" ht="15.75" customHeight="1">
      <c r="A35" s="172">
        <v>25</v>
      </c>
      <c r="B35" s="662"/>
      <c r="C35" s="4" t="s">
        <v>545</v>
      </c>
      <c r="D35" s="178" t="s">
        <v>139</v>
      </c>
      <c r="E35" s="5">
        <v>12</v>
      </c>
      <c r="F35" s="179">
        <v>24495</v>
      </c>
      <c r="G35" s="174">
        <f t="shared" si="6"/>
        <v>4899</v>
      </c>
      <c r="H35" s="174">
        <f t="shared" si="7"/>
        <v>29394</v>
      </c>
      <c r="I35" s="176" t="s">
        <v>473</v>
      </c>
      <c r="J35" s="176" t="s">
        <v>627</v>
      </c>
      <c r="K35" s="176" t="s">
        <v>628</v>
      </c>
      <c r="L35" s="42" t="s">
        <v>629</v>
      </c>
      <c r="M35" s="5" t="str">
        <f t="shared" si="8"/>
        <v>CARONAN, ELPIDIO JR DAUAG</v>
      </c>
      <c r="N35" s="180">
        <v>34365</v>
      </c>
      <c r="O35" s="5" t="s">
        <v>85</v>
      </c>
      <c r="P35" s="176" t="s">
        <v>630</v>
      </c>
      <c r="Q35" s="5"/>
      <c r="R35" s="156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</row>
    <row r="36" spans="1:32" ht="15.75" customHeight="1">
      <c r="A36" s="172">
        <v>26</v>
      </c>
      <c r="B36" s="662"/>
      <c r="C36" s="4" t="s">
        <v>545</v>
      </c>
      <c r="D36" s="178" t="s">
        <v>520</v>
      </c>
      <c r="E36" s="5">
        <v>11</v>
      </c>
      <c r="F36" s="174">
        <v>22316</v>
      </c>
      <c r="G36" s="174">
        <f t="shared" si="6"/>
        <v>4463.2</v>
      </c>
      <c r="H36" s="174">
        <f t="shared" si="7"/>
        <v>26779.200000000001</v>
      </c>
      <c r="I36" s="176" t="s">
        <v>631</v>
      </c>
      <c r="J36" s="176" t="s">
        <v>632</v>
      </c>
      <c r="K36" s="176" t="s">
        <v>633</v>
      </c>
      <c r="L36" s="42" t="s">
        <v>634</v>
      </c>
      <c r="M36" s="5" t="str">
        <f t="shared" si="8"/>
        <v>TRINIDAD, LYNDON BUMALIN</v>
      </c>
      <c r="N36" s="197">
        <v>34241</v>
      </c>
      <c r="O36" s="5" t="s">
        <v>85</v>
      </c>
      <c r="P36" s="176"/>
      <c r="Q36" s="5"/>
      <c r="R36" s="15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</row>
    <row r="37" spans="1:32" ht="15.75" customHeight="1">
      <c r="A37" s="189">
        <v>27</v>
      </c>
      <c r="B37" s="646"/>
      <c r="C37" s="4" t="s">
        <v>545</v>
      </c>
      <c r="D37" s="178" t="s">
        <v>139</v>
      </c>
      <c r="E37" s="5">
        <v>12</v>
      </c>
      <c r="F37" s="179">
        <v>24495</v>
      </c>
      <c r="G37" s="174">
        <f t="shared" si="6"/>
        <v>4899</v>
      </c>
      <c r="H37" s="174">
        <f t="shared" si="7"/>
        <v>29394</v>
      </c>
      <c r="I37" s="176" t="s">
        <v>298</v>
      </c>
      <c r="J37" s="176" t="s">
        <v>635</v>
      </c>
      <c r="K37" s="176" t="s">
        <v>636</v>
      </c>
      <c r="L37" s="42" t="s">
        <v>637</v>
      </c>
      <c r="M37" s="5" t="str">
        <f t="shared" si="8"/>
        <v>VALENTINO, JOHN WESLEY AGRAVE</v>
      </c>
      <c r="N37" s="180">
        <v>35911</v>
      </c>
      <c r="O37" s="5" t="s">
        <v>85</v>
      </c>
      <c r="P37" s="176" t="s">
        <v>638</v>
      </c>
      <c r="Q37" s="5"/>
      <c r="R37" s="15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</row>
    <row r="38" spans="1:32" ht="15.75" customHeight="1">
      <c r="A38" s="198">
        <v>28</v>
      </c>
      <c r="B38" s="661" t="s">
        <v>639</v>
      </c>
      <c r="C38" s="5"/>
      <c r="D38" s="5" t="s">
        <v>519</v>
      </c>
      <c r="E38" s="26" t="s">
        <v>640</v>
      </c>
      <c r="F38" s="182">
        <v>35097</v>
      </c>
      <c r="G38" s="182">
        <f t="shared" ref="G38:G41" si="9">F38*20%</f>
        <v>7019.4000000000005</v>
      </c>
      <c r="H38" s="182">
        <f t="shared" ref="H38:H41" si="10">F38*1.2</f>
        <v>42116.4</v>
      </c>
      <c r="I38" s="5" t="s">
        <v>366</v>
      </c>
      <c r="J38" s="34" t="s">
        <v>367</v>
      </c>
      <c r="K38" s="34" t="s">
        <v>89</v>
      </c>
      <c r="L38" s="5" t="s">
        <v>641</v>
      </c>
      <c r="M38" s="5"/>
      <c r="N38" s="183">
        <v>32687</v>
      </c>
      <c r="O38" s="5" t="s">
        <v>64</v>
      </c>
      <c r="P38" s="5">
        <v>9458677754</v>
      </c>
      <c r="Q38" s="5" t="s">
        <v>368</v>
      </c>
      <c r="R38" s="156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</row>
    <row r="39" spans="1:32" ht="15.75" customHeight="1">
      <c r="A39" s="198">
        <v>29</v>
      </c>
      <c r="B39" s="646"/>
      <c r="C39" s="5"/>
      <c r="D39" s="5" t="s">
        <v>519</v>
      </c>
      <c r="E39" s="5">
        <v>15</v>
      </c>
      <c r="F39" s="182">
        <v>35097</v>
      </c>
      <c r="G39" s="182">
        <f t="shared" si="9"/>
        <v>7019.4000000000005</v>
      </c>
      <c r="H39" s="182">
        <f t="shared" si="10"/>
        <v>42116.4</v>
      </c>
      <c r="I39" s="5" t="s">
        <v>309</v>
      </c>
      <c r="J39" s="199" t="s">
        <v>310</v>
      </c>
      <c r="K39" s="34" t="s">
        <v>311</v>
      </c>
      <c r="L39" s="5" t="s">
        <v>642</v>
      </c>
      <c r="M39" s="5"/>
      <c r="N39" s="183">
        <v>32975</v>
      </c>
      <c r="O39" s="5" t="s">
        <v>85</v>
      </c>
      <c r="P39" s="5">
        <v>9162757816</v>
      </c>
      <c r="Q39" s="5" t="s">
        <v>312</v>
      </c>
      <c r="R39" s="156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</row>
    <row r="40" spans="1:32" ht="15.75" customHeight="1">
      <c r="A40" s="198">
        <v>30</v>
      </c>
      <c r="B40" s="173" t="s">
        <v>490</v>
      </c>
      <c r="C40" s="28"/>
      <c r="D40" s="5" t="s">
        <v>520</v>
      </c>
      <c r="E40" s="5">
        <v>11</v>
      </c>
      <c r="F40" s="182">
        <v>25439</v>
      </c>
      <c r="G40" s="182">
        <f t="shared" si="9"/>
        <v>5087.8</v>
      </c>
      <c r="H40" s="182">
        <f t="shared" si="10"/>
        <v>30526.799999999999</v>
      </c>
      <c r="I40" s="27" t="s">
        <v>327</v>
      </c>
      <c r="J40" s="27" t="s">
        <v>328</v>
      </c>
      <c r="K40" s="27" t="s">
        <v>329</v>
      </c>
      <c r="L40" s="5" t="s">
        <v>643</v>
      </c>
      <c r="M40" s="28"/>
      <c r="N40" s="183">
        <v>36036</v>
      </c>
      <c r="O40" s="5" t="s">
        <v>64</v>
      </c>
      <c r="P40" s="5">
        <v>9171345522</v>
      </c>
      <c r="Q40" s="5" t="s">
        <v>330</v>
      </c>
      <c r="R40" s="155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</row>
    <row r="41" spans="1:32" ht="15.75" customHeight="1">
      <c r="A41" s="198">
        <v>31</v>
      </c>
      <c r="B41" s="173" t="s">
        <v>455</v>
      </c>
      <c r="C41" s="23"/>
      <c r="D41" s="23" t="s">
        <v>605</v>
      </c>
      <c r="E41" s="5">
        <v>15</v>
      </c>
      <c r="F41" s="182">
        <v>35097</v>
      </c>
      <c r="G41" s="184">
        <f t="shared" si="9"/>
        <v>7019.4000000000005</v>
      </c>
      <c r="H41" s="184">
        <f t="shared" si="10"/>
        <v>42116.4</v>
      </c>
      <c r="I41" s="27" t="s">
        <v>260</v>
      </c>
      <c r="J41" s="199" t="s">
        <v>261</v>
      </c>
      <c r="K41" s="27" t="s">
        <v>262</v>
      </c>
      <c r="L41" s="23" t="s">
        <v>644</v>
      </c>
      <c r="M41" s="23"/>
      <c r="N41" s="23"/>
      <c r="O41" s="23" t="s">
        <v>85</v>
      </c>
      <c r="P41" s="23"/>
      <c r="Q41" s="23" t="s">
        <v>263</v>
      </c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</row>
    <row r="42" spans="1:32" ht="15.75" customHeight="1">
      <c r="A42" s="198">
        <v>32</v>
      </c>
      <c r="B42" s="661" t="s">
        <v>284</v>
      </c>
      <c r="C42" s="23"/>
      <c r="D42" s="23" t="s">
        <v>461</v>
      </c>
      <c r="E42" s="5">
        <v>12</v>
      </c>
      <c r="F42" s="182">
        <v>27608</v>
      </c>
      <c r="G42" s="182">
        <v>5521</v>
      </c>
      <c r="H42" s="182">
        <v>33129</v>
      </c>
      <c r="I42" s="27" t="s">
        <v>341</v>
      </c>
      <c r="J42" s="27" t="s">
        <v>342</v>
      </c>
      <c r="K42" s="23" t="s">
        <v>645</v>
      </c>
      <c r="L42" s="23" t="s">
        <v>646</v>
      </c>
      <c r="M42" s="23"/>
      <c r="N42" s="23"/>
      <c r="O42" s="23"/>
      <c r="P42" s="23"/>
      <c r="Q42" s="23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</row>
    <row r="43" spans="1:32" ht="15.75" customHeight="1">
      <c r="A43" s="198">
        <v>33</v>
      </c>
      <c r="B43" s="646"/>
      <c r="C43" s="23"/>
      <c r="D43" s="23" t="s">
        <v>437</v>
      </c>
      <c r="E43" s="23"/>
      <c r="F43" s="200"/>
      <c r="G43" s="200"/>
      <c r="H43" s="5">
        <v>17991.599999999999</v>
      </c>
      <c r="I43" s="27" t="s">
        <v>63</v>
      </c>
      <c r="J43" s="27" t="s">
        <v>230</v>
      </c>
      <c r="K43" s="23" t="s">
        <v>517</v>
      </c>
      <c r="L43" s="23" t="s">
        <v>647</v>
      </c>
      <c r="M43" s="23"/>
      <c r="N43" s="23"/>
      <c r="O43" s="23"/>
      <c r="P43" s="23"/>
      <c r="Q43" s="23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</row>
    <row r="44" spans="1:32" ht="15.75" customHeight="1">
      <c r="A44" s="158"/>
      <c r="B44" s="201"/>
      <c r="C44" s="158"/>
      <c r="D44" s="158"/>
      <c r="E44" s="158"/>
      <c r="F44" s="202"/>
      <c r="G44" s="202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</row>
    <row r="45" spans="1:32" ht="15.75" customHeight="1">
      <c r="A45" s="158"/>
      <c r="B45" s="201"/>
      <c r="C45" s="158"/>
      <c r="D45" s="158"/>
      <c r="E45" s="158"/>
      <c r="F45" s="202"/>
      <c r="G45" s="202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</row>
    <row r="46" spans="1:32" ht="15.75" customHeight="1">
      <c r="A46" s="158"/>
      <c r="B46" s="201"/>
      <c r="C46" s="158"/>
      <c r="D46" s="158"/>
      <c r="E46" s="158"/>
      <c r="F46" s="202"/>
      <c r="G46" s="202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</row>
    <row r="47" spans="1:32" ht="15.75" customHeight="1">
      <c r="A47" s="158"/>
      <c r="B47" s="201"/>
      <c r="C47" s="158"/>
      <c r="D47" s="158"/>
      <c r="E47" s="158"/>
      <c r="F47" s="202"/>
      <c r="G47" s="202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</row>
    <row r="48" spans="1:32" ht="15.75" customHeight="1">
      <c r="A48" s="158"/>
      <c r="B48" s="201"/>
      <c r="C48" s="158"/>
      <c r="D48" s="158"/>
      <c r="E48" s="158"/>
      <c r="F48" s="202"/>
      <c r="G48" s="20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</row>
    <row r="49" spans="1:32" ht="15.75" customHeight="1">
      <c r="A49" s="158"/>
      <c r="B49" s="201"/>
      <c r="C49" s="158"/>
      <c r="D49" s="158"/>
      <c r="E49" s="158"/>
      <c r="F49" s="202"/>
      <c r="G49" s="202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</row>
    <row r="50" spans="1:32" ht="15.75" customHeight="1">
      <c r="A50" s="158"/>
      <c r="B50" s="201"/>
      <c r="C50" s="158"/>
      <c r="D50" s="158"/>
      <c r="E50" s="158"/>
      <c r="F50" s="202"/>
      <c r="G50" s="202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</row>
    <row r="51" spans="1:32" ht="15.75" customHeight="1">
      <c r="A51" s="158"/>
      <c r="B51" s="201"/>
      <c r="C51" s="158"/>
      <c r="D51" s="158"/>
      <c r="E51" s="158"/>
      <c r="F51" s="202"/>
      <c r="G51" s="202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</row>
    <row r="52" spans="1:32" ht="15.75" customHeight="1">
      <c r="A52" s="158"/>
      <c r="B52" s="201"/>
      <c r="C52" s="158"/>
      <c r="D52" s="158"/>
      <c r="E52" s="158"/>
      <c r="F52" s="202"/>
      <c r="G52" s="202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</row>
    <row r="53" spans="1:32" ht="15.75" customHeight="1">
      <c r="A53" s="158"/>
      <c r="B53" s="201"/>
      <c r="C53" s="158"/>
      <c r="D53" s="158"/>
      <c r="E53" s="158"/>
      <c r="F53" s="202"/>
      <c r="G53" s="202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</row>
    <row r="54" spans="1:32" ht="15.75" customHeight="1">
      <c r="A54" s="158"/>
      <c r="B54" s="201"/>
      <c r="C54" s="158"/>
      <c r="D54" s="158"/>
      <c r="E54" s="158"/>
      <c r="F54" s="202"/>
      <c r="G54" s="202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</row>
    <row r="55" spans="1:32" ht="15.75" customHeight="1">
      <c r="A55" s="158"/>
      <c r="B55" s="201"/>
      <c r="C55" s="158"/>
      <c r="D55" s="158"/>
      <c r="E55" s="158"/>
      <c r="F55" s="202"/>
      <c r="G55" s="202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</row>
    <row r="56" spans="1:32" ht="15.75" customHeight="1">
      <c r="A56" s="158"/>
      <c r="B56" s="201"/>
      <c r="C56" s="158"/>
      <c r="D56" s="158"/>
      <c r="E56" s="158"/>
      <c r="F56" s="202"/>
      <c r="G56" s="202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</row>
    <row r="57" spans="1:32" ht="15.75" customHeight="1">
      <c r="A57" s="158"/>
      <c r="B57" s="201"/>
      <c r="C57" s="158"/>
      <c r="D57" s="158"/>
      <c r="E57" s="158"/>
      <c r="F57" s="202"/>
      <c r="G57" s="202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</row>
    <row r="58" spans="1:32" ht="15.75" customHeight="1">
      <c r="A58" s="158"/>
      <c r="B58" s="201"/>
      <c r="C58" s="158"/>
      <c r="D58" s="158"/>
      <c r="E58" s="158"/>
      <c r="F58" s="202"/>
      <c r="G58" s="202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</row>
    <row r="59" spans="1:32" ht="15.75" customHeight="1">
      <c r="A59" s="158"/>
      <c r="B59" s="201"/>
      <c r="C59" s="158"/>
      <c r="D59" s="158"/>
      <c r="E59" s="158"/>
      <c r="F59" s="202"/>
      <c r="G59" s="202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</row>
    <row r="60" spans="1:32" ht="15.75" customHeight="1">
      <c r="A60" s="158"/>
      <c r="B60" s="201"/>
      <c r="C60" s="158"/>
      <c r="D60" s="158"/>
      <c r="E60" s="158"/>
      <c r="F60" s="202"/>
      <c r="G60" s="202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</row>
    <row r="61" spans="1:32" ht="15.75" customHeight="1">
      <c r="A61" s="158"/>
      <c r="B61" s="201"/>
      <c r="C61" s="158"/>
      <c r="D61" s="158"/>
      <c r="E61" s="158"/>
      <c r="F61" s="202"/>
      <c r="G61" s="202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</row>
    <row r="62" spans="1:32" ht="15.75" customHeight="1">
      <c r="A62" s="158"/>
      <c r="B62" s="201"/>
      <c r="C62" s="158"/>
      <c r="D62" s="158"/>
      <c r="E62" s="158"/>
      <c r="F62" s="202"/>
      <c r="G62" s="202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</row>
    <row r="63" spans="1:32" ht="15.75" customHeight="1">
      <c r="A63" s="158"/>
      <c r="B63" s="201"/>
      <c r="C63" s="158"/>
      <c r="D63" s="158"/>
      <c r="E63" s="158"/>
      <c r="F63" s="202"/>
      <c r="G63" s="202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</row>
    <row r="64" spans="1:32" ht="15.75" customHeight="1">
      <c r="A64" s="158"/>
      <c r="B64" s="201"/>
      <c r="C64" s="158"/>
      <c r="D64" s="158"/>
      <c r="E64" s="158"/>
      <c r="F64" s="202"/>
      <c r="G64" s="202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</row>
    <row r="65" spans="1:32" ht="15.75" customHeight="1">
      <c r="A65" s="158"/>
      <c r="B65" s="201"/>
      <c r="C65" s="158"/>
      <c r="D65" s="158"/>
      <c r="E65" s="158"/>
      <c r="F65" s="202"/>
      <c r="G65" s="202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</row>
    <row r="66" spans="1:32" ht="15.75" customHeight="1">
      <c r="A66" s="158"/>
      <c r="B66" s="201"/>
      <c r="C66" s="158"/>
      <c r="D66" s="158"/>
      <c r="E66" s="158"/>
      <c r="F66" s="202"/>
      <c r="G66" s="202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</row>
    <row r="67" spans="1:32" ht="15.75" customHeight="1">
      <c r="A67" s="158"/>
      <c r="B67" s="201"/>
      <c r="C67" s="158"/>
      <c r="D67" s="158"/>
      <c r="E67" s="158"/>
      <c r="F67" s="202"/>
      <c r="G67" s="202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</row>
    <row r="68" spans="1:32" ht="15.75" customHeight="1">
      <c r="A68" s="158"/>
      <c r="B68" s="201"/>
      <c r="C68" s="158"/>
      <c r="D68" s="158"/>
      <c r="E68" s="158"/>
      <c r="F68" s="202"/>
      <c r="G68" s="202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</row>
    <row r="69" spans="1:32" ht="15.75" customHeight="1">
      <c r="A69" s="158"/>
      <c r="B69" s="201"/>
      <c r="C69" s="158"/>
      <c r="D69" s="158"/>
      <c r="E69" s="158"/>
      <c r="F69" s="202"/>
      <c r="G69" s="202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</row>
    <row r="70" spans="1:32" ht="15.75" customHeight="1">
      <c r="A70" s="158"/>
      <c r="B70" s="201"/>
      <c r="C70" s="158"/>
      <c r="D70" s="158"/>
      <c r="E70" s="158"/>
      <c r="F70" s="202"/>
      <c r="G70" s="202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</row>
    <row r="71" spans="1:32" ht="15.75" customHeight="1">
      <c r="A71" s="158"/>
      <c r="B71" s="201"/>
      <c r="C71" s="158"/>
      <c r="D71" s="158"/>
      <c r="E71" s="158"/>
      <c r="F71" s="202"/>
      <c r="G71" s="202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</row>
    <row r="72" spans="1:32" ht="15.75" customHeight="1">
      <c r="A72" s="158"/>
      <c r="B72" s="201"/>
      <c r="C72" s="158"/>
      <c r="D72" s="158"/>
      <c r="E72" s="158"/>
      <c r="F72" s="202"/>
      <c r="G72" s="202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</row>
    <row r="73" spans="1:32" ht="15.75" customHeight="1">
      <c r="A73" s="158"/>
      <c r="B73" s="201"/>
      <c r="C73" s="158"/>
      <c r="D73" s="158"/>
      <c r="E73" s="158"/>
      <c r="F73" s="202"/>
      <c r="G73" s="202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</row>
    <row r="74" spans="1:32" ht="15.75" customHeight="1">
      <c r="A74" s="158"/>
      <c r="B74" s="201"/>
      <c r="C74" s="158"/>
      <c r="D74" s="158"/>
      <c r="E74" s="158"/>
      <c r="F74" s="202"/>
      <c r="G74" s="202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</row>
    <row r="75" spans="1:32" ht="15.75" customHeight="1">
      <c r="A75" s="158"/>
      <c r="B75" s="201"/>
      <c r="C75" s="158"/>
      <c r="D75" s="158"/>
      <c r="E75" s="158"/>
      <c r="F75" s="202"/>
      <c r="G75" s="202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</row>
    <row r="76" spans="1:32" ht="15.75" customHeight="1">
      <c r="A76" s="158"/>
      <c r="B76" s="201"/>
      <c r="C76" s="158"/>
      <c r="D76" s="158"/>
      <c r="E76" s="158"/>
      <c r="F76" s="202"/>
      <c r="G76" s="202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</row>
    <row r="77" spans="1:32" ht="15.75" customHeight="1">
      <c r="A77" s="158"/>
      <c r="B77" s="201"/>
      <c r="C77" s="158"/>
      <c r="D77" s="158"/>
      <c r="E77" s="158"/>
      <c r="F77" s="202"/>
      <c r="G77" s="202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</row>
    <row r="78" spans="1:32" ht="15.75" customHeight="1">
      <c r="A78" s="158"/>
      <c r="B78" s="201"/>
      <c r="C78" s="158"/>
      <c r="D78" s="158"/>
      <c r="E78" s="158"/>
      <c r="F78" s="202"/>
      <c r="G78" s="202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</row>
    <row r="79" spans="1:32" ht="15.75" customHeight="1">
      <c r="A79" s="158"/>
      <c r="B79" s="201"/>
      <c r="C79" s="158"/>
      <c r="D79" s="158"/>
      <c r="E79" s="158"/>
      <c r="F79" s="202"/>
      <c r="G79" s="202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</row>
    <row r="80" spans="1:32" ht="15.75" customHeight="1">
      <c r="A80" s="158"/>
      <c r="B80" s="201"/>
      <c r="C80" s="158"/>
      <c r="D80" s="158"/>
      <c r="E80" s="158"/>
      <c r="F80" s="202"/>
      <c r="G80" s="202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</row>
    <row r="81" spans="1:32" ht="15.75" customHeight="1">
      <c r="A81" s="158"/>
      <c r="B81" s="201"/>
      <c r="C81" s="158"/>
      <c r="D81" s="158"/>
      <c r="E81" s="158"/>
      <c r="F81" s="202"/>
      <c r="G81" s="202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</row>
    <row r="82" spans="1:32" ht="15.75" customHeight="1">
      <c r="A82" s="158"/>
      <c r="B82" s="201"/>
      <c r="C82" s="158"/>
      <c r="D82" s="158"/>
      <c r="E82" s="158"/>
      <c r="F82" s="202"/>
      <c r="G82" s="202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</row>
    <row r="83" spans="1:32" ht="15.75" customHeight="1">
      <c r="A83" s="158"/>
      <c r="B83" s="201"/>
      <c r="C83" s="158"/>
      <c r="D83" s="158"/>
      <c r="E83" s="158"/>
      <c r="F83" s="202"/>
      <c r="G83" s="202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</row>
    <row r="84" spans="1:32" ht="15.75" customHeight="1">
      <c r="A84" s="158"/>
      <c r="B84" s="201"/>
      <c r="C84" s="158"/>
      <c r="D84" s="158"/>
      <c r="E84" s="158"/>
      <c r="F84" s="202"/>
      <c r="G84" s="202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</row>
    <row r="85" spans="1:32" ht="15.75" customHeight="1">
      <c r="A85" s="158"/>
      <c r="B85" s="201"/>
      <c r="C85" s="158"/>
      <c r="D85" s="158"/>
      <c r="E85" s="158"/>
      <c r="F85" s="202"/>
      <c r="G85" s="202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</row>
    <row r="86" spans="1:32" ht="15.75" customHeight="1">
      <c r="A86" s="158"/>
      <c r="B86" s="201"/>
      <c r="C86" s="158"/>
      <c r="D86" s="158"/>
      <c r="E86" s="158"/>
      <c r="F86" s="202"/>
      <c r="G86" s="202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</row>
    <row r="87" spans="1:32" ht="15.75" customHeight="1">
      <c r="A87" s="158"/>
      <c r="B87" s="201"/>
      <c r="C87" s="158"/>
      <c r="D87" s="158"/>
      <c r="E87" s="158"/>
      <c r="F87" s="202"/>
      <c r="G87" s="202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</row>
    <row r="88" spans="1:32" ht="15.75" customHeight="1">
      <c r="A88" s="158"/>
      <c r="B88" s="201"/>
      <c r="C88" s="158"/>
      <c r="D88" s="158"/>
      <c r="E88" s="158"/>
      <c r="F88" s="202"/>
      <c r="G88" s="202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</row>
    <row r="89" spans="1:32" ht="15.75" customHeight="1">
      <c r="A89" s="158"/>
      <c r="B89" s="201"/>
      <c r="C89" s="158"/>
      <c r="D89" s="158"/>
      <c r="E89" s="158"/>
      <c r="F89" s="202"/>
      <c r="G89" s="202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</row>
    <row r="90" spans="1:32" ht="15.75" customHeight="1">
      <c r="A90" s="158"/>
      <c r="B90" s="201"/>
      <c r="C90" s="158"/>
      <c r="D90" s="158"/>
      <c r="E90" s="158"/>
      <c r="F90" s="202"/>
      <c r="G90" s="202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</row>
    <row r="91" spans="1:32" ht="15.75" customHeight="1">
      <c r="A91" s="158"/>
      <c r="B91" s="201"/>
      <c r="C91" s="158"/>
      <c r="D91" s="158"/>
      <c r="E91" s="158"/>
      <c r="F91" s="202"/>
      <c r="G91" s="202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</row>
    <row r="92" spans="1:32" ht="15.75" customHeight="1">
      <c r="A92" s="158"/>
      <c r="B92" s="201"/>
      <c r="C92" s="158"/>
      <c r="D92" s="158"/>
      <c r="E92" s="158"/>
      <c r="F92" s="202"/>
      <c r="G92" s="202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</row>
    <row r="93" spans="1:32" ht="15.75" customHeight="1">
      <c r="A93" s="158"/>
      <c r="B93" s="201"/>
      <c r="C93" s="158"/>
      <c r="D93" s="158"/>
      <c r="E93" s="158"/>
      <c r="F93" s="202"/>
      <c r="G93" s="202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</row>
    <row r="94" spans="1:32" ht="15.75" customHeight="1">
      <c r="A94" s="158"/>
      <c r="B94" s="201"/>
      <c r="C94" s="158"/>
      <c r="D94" s="158"/>
      <c r="E94" s="158"/>
      <c r="F94" s="202"/>
      <c r="G94" s="202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</row>
    <row r="95" spans="1:32" ht="15.75" customHeight="1">
      <c r="A95" s="158"/>
      <c r="B95" s="201"/>
      <c r="C95" s="158"/>
      <c r="D95" s="158"/>
      <c r="E95" s="158"/>
      <c r="F95" s="202"/>
      <c r="G95" s="202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</row>
    <row r="96" spans="1:32" ht="15.75" customHeight="1">
      <c r="A96" s="158"/>
      <c r="B96" s="201"/>
      <c r="C96" s="158"/>
      <c r="D96" s="158"/>
      <c r="E96" s="158"/>
      <c r="F96" s="202"/>
      <c r="G96" s="202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</row>
    <row r="97" spans="1:32" ht="15.75" customHeight="1">
      <c r="A97" s="158"/>
      <c r="B97" s="201"/>
      <c r="C97" s="158"/>
      <c r="D97" s="158"/>
      <c r="E97" s="158"/>
      <c r="F97" s="202"/>
      <c r="G97" s="202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</row>
    <row r="98" spans="1:32" ht="15.75" customHeight="1">
      <c r="A98" s="158"/>
      <c r="B98" s="201"/>
      <c r="C98" s="158"/>
      <c r="D98" s="158"/>
      <c r="E98" s="158"/>
      <c r="F98" s="202"/>
      <c r="G98" s="202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</row>
    <row r="99" spans="1:32" ht="15.75" customHeight="1">
      <c r="A99" s="158"/>
      <c r="B99" s="201"/>
      <c r="C99" s="158"/>
      <c r="D99" s="158"/>
      <c r="E99" s="158"/>
      <c r="F99" s="202"/>
      <c r="G99" s="202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</row>
    <row r="100" spans="1:32" ht="15.75" customHeight="1">
      <c r="A100" s="158"/>
      <c r="B100" s="201"/>
      <c r="C100" s="158"/>
      <c r="D100" s="158"/>
      <c r="E100" s="158"/>
      <c r="F100" s="202"/>
      <c r="G100" s="202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</row>
    <row r="101" spans="1:32" ht="15.75" customHeight="1">
      <c r="A101" s="158"/>
      <c r="B101" s="201"/>
      <c r="C101" s="158"/>
      <c r="D101" s="158"/>
      <c r="E101" s="158"/>
      <c r="F101" s="202"/>
      <c r="G101" s="202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</row>
    <row r="102" spans="1:32" ht="15.75" customHeight="1">
      <c r="A102" s="158"/>
      <c r="B102" s="201"/>
      <c r="C102" s="158"/>
      <c r="D102" s="158"/>
      <c r="E102" s="158"/>
      <c r="F102" s="202"/>
      <c r="G102" s="202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</row>
    <row r="103" spans="1:32" ht="15.75" customHeight="1">
      <c r="A103" s="158"/>
      <c r="B103" s="201"/>
      <c r="C103" s="158"/>
      <c r="D103" s="158"/>
      <c r="E103" s="158"/>
      <c r="F103" s="202"/>
      <c r="G103" s="202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</row>
    <row r="104" spans="1:32" ht="15.75" customHeight="1">
      <c r="A104" s="158"/>
      <c r="B104" s="201"/>
      <c r="C104" s="158"/>
      <c r="D104" s="158"/>
      <c r="E104" s="158"/>
      <c r="F104" s="202"/>
      <c r="G104" s="202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</row>
    <row r="105" spans="1:32" ht="15.75" customHeight="1">
      <c r="A105" s="158"/>
      <c r="B105" s="201"/>
      <c r="C105" s="158"/>
      <c r="D105" s="158"/>
      <c r="E105" s="158"/>
      <c r="F105" s="202"/>
      <c r="G105" s="202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</row>
    <row r="106" spans="1:32" ht="15.75" customHeight="1">
      <c r="A106" s="158"/>
      <c r="B106" s="201"/>
      <c r="C106" s="158"/>
      <c r="D106" s="158"/>
      <c r="E106" s="158"/>
      <c r="F106" s="202"/>
      <c r="G106" s="202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</row>
    <row r="107" spans="1:32" ht="15.75" customHeight="1">
      <c r="A107" s="158"/>
      <c r="B107" s="201"/>
      <c r="C107" s="158"/>
      <c r="D107" s="158"/>
      <c r="E107" s="158"/>
      <c r="F107" s="202"/>
      <c r="G107" s="202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</row>
    <row r="108" spans="1:32" ht="15.75" customHeight="1">
      <c r="A108" s="158"/>
      <c r="B108" s="201"/>
      <c r="C108" s="158"/>
      <c r="D108" s="158"/>
      <c r="E108" s="158"/>
      <c r="F108" s="202"/>
      <c r="G108" s="202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</row>
    <row r="109" spans="1:32" ht="15.75" customHeight="1">
      <c r="A109" s="158"/>
      <c r="B109" s="201"/>
      <c r="C109" s="158"/>
      <c r="D109" s="158"/>
      <c r="E109" s="158"/>
      <c r="F109" s="202"/>
      <c r="G109" s="202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</row>
    <row r="110" spans="1:32" ht="15.75" customHeight="1">
      <c r="A110" s="158"/>
      <c r="B110" s="201"/>
      <c r="C110" s="158"/>
      <c r="D110" s="158"/>
      <c r="E110" s="158"/>
      <c r="F110" s="202"/>
      <c r="G110" s="202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</row>
    <row r="111" spans="1:32" ht="15.75" customHeight="1">
      <c r="A111" s="158"/>
      <c r="B111" s="201"/>
      <c r="C111" s="158"/>
      <c r="D111" s="158"/>
      <c r="E111" s="158"/>
      <c r="F111" s="202"/>
      <c r="G111" s="202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</row>
    <row r="112" spans="1:32" ht="15.75" customHeight="1">
      <c r="A112" s="158"/>
      <c r="B112" s="201"/>
      <c r="C112" s="158"/>
      <c r="D112" s="158"/>
      <c r="E112" s="158"/>
      <c r="F112" s="202"/>
      <c r="G112" s="202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</row>
    <row r="113" spans="1:32" ht="15.75" customHeight="1">
      <c r="A113" s="158"/>
      <c r="B113" s="201"/>
      <c r="C113" s="158"/>
      <c r="D113" s="158"/>
      <c r="E113" s="158"/>
      <c r="F113" s="202"/>
      <c r="G113" s="202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</row>
    <row r="114" spans="1:32" ht="15.75" customHeight="1">
      <c r="A114" s="158"/>
      <c r="B114" s="201"/>
      <c r="C114" s="158"/>
      <c r="D114" s="158"/>
      <c r="E114" s="158"/>
      <c r="F114" s="202"/>
      <c r="G114" s="202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</row>
    <row r="115" spans="1:32" ht="15.75" customHeight="1">
      <c r="A115" s="158"/>
      <c r="B115" s="201"/>
      <c r="C115" s="158"/>
      <c r="D115" s="158"/>
      <c r="E115" s="158"/>
      <c r="F115" s="202"/>
      <c r="G115" s="202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15.75" customHeight="1">
      <c r="A116" s="158"/>
      <c r="B116" s="201"/>
      <c r="C116" s="158"/>
      <c r="D116" s="158"/>
      <c r="E116" s="158"/>
      <c r="F116" s="202"/>
      <c r="G116" s="202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</row>
    <row r="117" spans="1:32" ht="15.75" customHeight="1">
      <c r="A117" s="158"/>
      <c r="B117" s="201"/>
      <c r="C117" s="158"/>
      <c r="D117" s="158"/>
      <c r="E117" s="158"/>
      <c r="F117" s="202"/>
      <c r="G117" s="202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</row>
    <row r="118" spans="1:32" ht="15.75" customHeight="1">
      <c r="A118" s="158"/>
      <c r="B118" s="201"/>
      <c r="C118" s="158"/>
      <c r="D118" s="158"/>
      <c r="E118" s="158"/>
      <c r="F118" s="202"/>
      <c r="G118" s="202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</row>
    <row r="119" spans="1:32" ht="15.75" customHeight="1">
      <c r="A119" s="158"/>
      <c r="B119" s="201"/>
      <c r="C119" s="158"/>
      <c r="D119" s="158"/>
      <c r="E119" s="158"/>
      <c r="F119" s="202"/>
      <c r="G119" s="202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</row>
    <row r="120" spans="1:32" ht="15.75" customHeight="1">
      <c r="A120" s="158"/>
      <c r="B120" s="201"/>
      <c r="C120" s="158"/>
      <c r="D120" s="158"/>
      <c r="E120" s="158"/>
      <c r="F120" s="202"/>
      <c r="G120" s="202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</row>
    <row r="121" spans="1:32" ht="15.75" customHeight="1">
      <c r="A121" s="158"/>
      <c r="B121" s="201"/>
      <c r="C121" s="158"/>
      <c r="D121" s="158"/>
      <c r="E121" s="158"/>
      <c r="F121" s="202"/>
      <c r="G121" s="202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</row>
    <row r="122" spans="1:32" ht="15.75" customHeight="1">
      <c r="A122" s="158"/>
      <c r="B122" s="201"/>
      <c r="C122" s="158"/>
      <c r="D122" s="158"/>
      <c r="E122" s="158"/>
      <c r="F122" s="202"/>
      <c r="G122" s="202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</row>
    <row r="123" spans="1:32" ht="15.75" customHeight="1">
      <c r="A123" s="158"/>
      <c r="B123" s="201"/>
      <c r="C123" s="158"/>
      <c r="D123" s="158"/>
      <c r="E123" s="158"/>
      <c r="F123" s="202"/>
      <c r="G123" s="202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</row>
    <row r="124" spans="1:32" ht="15.75" customHeight="1">
      <c r="A124" s="158"/>
      <c r="B124" s="201"/>
      <c r="C124" s="158"/>
      <c r="D124" s="158"/>
      <c r="E124" s="158"/>
      <c r="F124" s="202"/>
      <c r="G124" s="202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</row>
    <row r="125" spans="1:32" ht="15.75" customHeight="1">
      <c r="A125" s="158"/>
      <c r="B125" s="201"/>
      <c r="C125" s="158"/>
      <c r="D125" s="158"/>
      <c r="E125" s="158"/>
      <c r="F125" s="202"/>
      <c r="G125" s="202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</row>
    <row r="126" spans="1:32" ht="15.75" customHeight="1">
      <c r="A126" s="158"/>
      <c r="B126" s="201"/>
      <c r="C126" s="158"/>
      <c r="D126" s="158"/>
      <c r="E126" s="158"/>
      <c r="F126" s="202"/>
      <c r="G126" s="202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</row>
    <row r="127" spans="1:32" ht="15.75" customHeight="1">
      <c r="A127" s="158"/>
      <c r="B127" s="201"/>
      <c r="C127" s="158"/>
      <c r="D127" s="158"/>
      <c r="E127" s="158"/>
      <c r="F127" s="202"/>
      <c r="G127" s="202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</row>
    <row r="128" spans="1:32" ht="15.75" customHeight="1">
      <c r="A128" s="158"/>
      <c r="B128" s="201"/>
      <c r="C128" s="158"/>
      <c r="D128" s="158"/>
      <c r="E128" s="158"/>
      <c r="F128" s="202"/>
      <c r="G128" s="202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</row>
    <row r="129" spans="1:32" ht="15.75" customHeight="1">
      <c r="A129" s="158"/>
      <c r="B129" s="201"/>
      <c r="C129" s="158"/>
      <c r="D129" s="158"/>
      <c r="E129" s="158"/>
      <c r="F129" s="202"/>
      <c r="G129" s="202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</row>
    <row r="130" spans="1:32" ht="15.75" customHeight="1">
      <c r="A130" s="158"/>
      <c r="B130" s="201"/>
      <c r="C130" s="158"/>
      <c r="D130" s="158"/>
      <c r="E130" s="158"/>
      <c r="F130" s="202"/>
      <c r="G130" s="202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</row>
    <row r="131" spans="1:32" ht="15.75" customHeight="1">
      <c r="A131" s="158"/>
      <c r="B131" s="201"/>
      <c r="C131" s="158"/>
      <c r="D131" s="158"/>
      <c r="E131" s="158"/>
      <c r="F131" s="202"/>
      <c r="G131" s="202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</row>
    <row r="132" spans="1:32" ht="15.75" customHeight="1">
      <c r="A132" s="158"/>
      <c r="B132" s="201"/>
      <c r="C132" s="158"/>
      <c r="D132" s="158"/>
      <c r="E132" s="158"/>
      <c r="F132" s="202"/>
      <c r="G132" s="202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</row>
    <row r="133" spans="1:32" ht="15.75" customHeight="1">
      <c r="A133" s="158"/>
      <c r="B133" s="201"/>
      <c r="C133" s="158"/>
      <c r="D133" s="158"/>
      <c r="E133" s="158"/>
      <c r="F133" s="202"/>
      <c r="G133" s="202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</row>
    <row r="134" spans="1:32" ht="15.75" customHeight="1">
      <c r="A134" s="158"/>
      <c r="B134" s="201"/>
      <c r="C134" s="158"/>
      <c r="D134" s="158"/>
      <c r="E134" s="158"/>
      <c r="F134" s="202"/>
      <c r="G134" s="202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</row>
    <row r="135" spans="1:32" ht="15.75" customHeight="1">
      <c r="A135" s="158"/>
      <c r="B135" s="201"/>
      <c r="C135" s="158"/>
      <c r="D135" s="158"/>
      <c r="E135" s="158"/>
      <c r="F135" s="202"/>
      <c r="G135" s="202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</row>
    <row r="136" spans="1:32" ht="15.75" customHeight="1">
      <c r="A136" s="158"/>
      <c r="B136" s="201"/>
      <c r="C136" s="158"/>
      <c r="D136" s="158"/>
      <c r="E136" s="158"/>
      <c r="F136" s="202"/>
      <c r="G136" s="202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</row>
    <row r="137" spans="1:32" ht="15.75" customHeight="1">
      <c r="A137" s="158"/>
      <c r="B137" s="201"/>
      <c r="C137" s="158"/>
      <c r="D137" s="158"/>
      <c r="E137" s="158"/>
      <c r="F137" s="202"/>
      <c r="G137" s="202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</row>
    <row r="138" spans="1:32" ht="15.75" customHeight="1">
      <c r="A138" s="158"/>
      <c r="B138" s="201"/>
      <c r="C138" s="158"/>
      <c r="D138" s="158"/>
      <c r="E138" s="158"/>
      <c r="F138" s="202"/>
      <c r="G138" s="202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</row>
    <row r="139" spans="1:32" ht="15.75" customHeight="1">
      <c r="A139" s="158"/>
      <c r="B139" s="201"/>
      <c r="C139" s="158"/>
      <c r="D139" s="158"/>
      <c r="E139" s="158"/>
      <c r="F139" s="202"/>
      <c r="G139" s="202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</row>
    <row r="140" spans="1:32" ht="15.75" customHeight="1">
      <c r="A140" s="158"/>
      <c r="B140" s="201"/>
      <c r="C140" s="158"/>
      <c r="D140" s="158"/>
      <c r="E140" s="158"/>
      <c r="F140" s="202"/>
      <c r="G140" s="202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</row>
    <row r="141" spans="1:32" ht="15.75" customHeight="1">
      <c r="A141" s="158"/>
      <c r="B141" s="201"/>
      <c r="C141" s="158"/>
      <c r="D141" s="158"/>
      <c r="E141" s="158"/>
      <c r="F141" s="202"/>
      <c r="G141" s="202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</row>
    <row r="142" spans="1:32" ht="15.75" customHeight="1">
      <c r="A142" s="158"/>
      <c r="B142" s="201"/>
      <c r="C142" s="158"/>
      <c r="D142" s="158"/>
      <c r="E142" s="158"/>
      <c r="F142" s="202"/>
      <c r="G142" s="202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</row>
    <row r="143" spans="1:32" ht="15.75" customHeight="1">
      <c r="A143" s="158"/>
      <c r="B143" s="201"/>
      <c r="C143" s="158"/>
      <c r="D143" s="158"/>
      <c r="E143" s="158"/>
      <c r="F143" s="202"/>
      <c r="G143" s="202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</row>
    <row r="144" spans="1:32" ht="15.75" customHeight="1">
      <c r="A144" s="158"/>
      <c r="B144" s="201"/>
      <c r="C144" s="158"/>
      <c r="D144" s="158"/>
      <c r="E144" s="158"/>
      <c r="F144" s="202"/>
      <c r="G144" s="202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</row>
    <row r="145" spans="1:32" ht="15.75" customHeight="1">
      <c r="A145" s="158"/>
      <c r="B145" s="201"/>
      <c r="C145" s="158"/>
      <c r="D145" s="158"/>
      <c r="E145" s="158"/>
      <c r="F145" s="202"/>
      <c r="G145" s="202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</row>
    <row r="146" spans="1:32" ht="15.75" customHeight="1">
      <c r="A146" s="158"/>
      <c r="B146" s="201"/>
      <c r="C146" s="158"/>
      <c r="D146" s="158"/>
      <c r="E146" s="158"/>
      <c r="F146" s="202"/>
      <c r="G146" s="202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</row>
    <row r="147" spans="1:32" ht="15.75" customHeight="1">
      <c r="A147" s="158"/>
      <c r="B147" s="201"/>
      <c r="C147" s="158"/>
      <c r="D147" s="158"/>
      <c r="E147" s="158"/>
      <c r="F147" s="202"/>
      <c r="G147" s="202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</row>
    <row r="148" spans="1:32" ht="15.75" customHeight="1">
      <c r="A148" s="158"/>
      <c r="B148" s="201"/>
      <c r="C148" s="158"/>
      <c r="D148" s="158"/>
      <c r="E148" s="158"/>
      <c r="F148" s="202"/>
      <c r="G148" s="202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</row>
    <row r="149" spans="1:32" ht="15.75" customHeight="1">
      <c r="A149" s="158"/>
      <c r="B149" s="201"/>
      <c r="C149" s="158"/>
      <c r="D149" s="158"/>
      <c r="E149" s="158"/>
      <c r="F149" s="202"/>
      <c r="G149" s="202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</row>
    <row r="150" spans="1:32" ht="15.75" customHeight="1">
      <c r="A150" s="158"/>
      <c r="B150" s="201"/>
      <c r="C150" s="158"/>
      <c r="D150" s="158"/>
      <c r="E150" s="158"/>
      <c r="F150" s="202"/>
      <c r="G150" s="202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</row>
    <row r="151" spans="1:32" ht="15.75" customHeight="1">
      <c r="A151" s="158"/>
      <c r="B151" s="201"/>
      <c r="C151" s="158"/>
      <c r="D151" s="158"/>
      <c r="E151" s="158"/>
      <c r="F151" s="202"/>
      <c r="G151" s="202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</row>
    <row r="152" spans="1:32" ht="15.75" customHeight="1">
      <c r="A152" s="158"/>
      <c r="B152" s="201"/>
      <c r="C152" s="158"/>
      <c r="D152" s="158"/>
      <c r="E152" s="158"/>
      <c r="F152" s="202"/>
      <c r="G152" s="202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</row>
    <row r="153" spans="1:32" ht="15.75" customHeight="1">
      <c r="A153" s="158"/>
      <c r="B153" s="201"/>
      <c r="C153" s="158"/>
      <c r="D153" s="158"/>
      <c r="E153" s="158"/>
      <c r="F153" s="202"/>
      <c r="G153" s="202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</row>
    <row r="154" spans="1:32" ht="15.75" customHeight="1">
      <c r="A154" s="158"/>
      <c r="B154" s="201"/>
      <c r="C154" s="158"/>
      <c r="D154" s="158"/>
      <c r="E154" s="158"/>
      <c r="F154" s="202"/>
      <c r="G154" s="202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</row>
    <row r="155" spans="1:32" ht="15.75" customHeight="1">
      <c r="A155" s="158"/>
      <c r="B155" s="201"/>
      <c r="C155" s="158"/>
      <c r="D155" s="158"/>
      <c r="E155" s="158"/>
      <c r="F155" s="202"/>
      <c r="G155" s="202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</row>
    <row r="156" spans="1:32" ht="15.75" customHeight="1">
      <c r="A156" s="158"/>
      <c r="B156" s="201"/>
      <c r="C156" s="158"/>
      <c r="D156" s="158"/>
      <c r="E156" s="158"/>
      <c r="F156" s="202"/>
      <c r="G156" s="202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</row>
    <row r="157" spans="1:32" ht="15.75" customHeight="1">
      <c r="A157" s="158"/>
      <c r="B157" s="201"/>
      <c r="C157" s="158"/>
      <c r="D157" s="158"/>
      <c r="E157" s="158"/>
      <c r="F157" s="202"/>
      <c r="G157" s="202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</row>
    <row r="158" spans="1:32" ht="15.75" customHeight="1">
      <c r="A158" s="158"/>
      <c r="B158" s="201"/>
      <c r="C158" s="158"/>
      <c r="D158" s="158"/>
      <c r="E158" s="158"/>
      <c r="F158" s="202"/>
      <c r="G158" s="202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</row>
    <row r="159" spans="1:32" ht="15.75" customHeight="1">
      <c r="A159" s="158"/>
      <c r="B159" s="201"/>
      <c r="C159" s="158"/>
      <c r="D159" s="158"/>
      <c r="E159" s="158"/>
      <c r="F159" s="202"/>
      <c r="G159" s="202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</row>
    <row r="160" spans="1:32" ht="15.75" customHeight="1">
      <c r="A160" s="158"/>
      <c r="B160" s="201"/>
      <c r="C160" s="158"/>
      <c r="D160" s="158"/>
      <c r="E160" s="158"/>
      <c r="F160" s="202"/>
      <c r="G160" s="202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</row>
    <row r="161" spans="1:32" ht="15.75" customHeight="1">
      <c r="A161" s="158"/>
      <c r="B161" s="201"/>
      <c r="C161" s="158"/>
      <c r="D161" s="158"/>
      <c r="E161" s="158"/>
      <c r="F161" s="202"/>
      <c r="G161" s="202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</row>
    <row r="162" spans="1:32" ht="15.75" customHeight="1">
      <c r="A162" s="158"/>
      <c r="B162" s="201"/>
      <c r="C162" s="158"/>
      <c r="D162" s="158"/>
      <c r="E162" s="158"/>
      <c r="F162" s="202"/>
      <c r="G162" s="202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</row>
    <row r="163" spans="1:32" ht="15.75" customHeight="1">
      <c r="A163" s="158"/>
      <c r="B163" s="201"/>
      <c r="C163" s="158"/>
      <c r="D163" s="158"/>
      <c r="E163" s="158"/>
      <c r="F163" s="202"/>
      <c r="G163" s="202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</row>
    <row r="164" spans="1:32" ht="15.75" customHeight="1">
      <c r="A164" s="158"/>
      <c r="B164" s="201"/>
      <c r="C164" s="158"/>
      <c r="D164" s="158"/>
      <c r="E164" s="158"/>
      <c r="F164" s="202"/>
      <c r="G164" s="202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</row>
    <row r="165" spans="1:32" ht="15.75" customHeight="1">
      <c r="A165" s="158"/>
      <c r="B165" s="201"/>
      <c r="C165" s="158"/>
      <c r="D165" s="158"/>
      <c r="E165" s="158"/>
      <c r="F165" s="202"/>
      <c r="G165" s="202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</row>
    <row r="166" spans="1:32" ht="15.75" customHeight="1">
      <c r="A166" s="158"/>
      <c r="B166" s="201"/>
      <c r="C166" s="158"/>
      <c r="D166" s="158"/>
      <c r="E166" s="158"/>
      <c r="F166" s="202"/>
      <c r="G166" s="202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</row>
    <row r="167" spans="1:32" ht="15.75" customHeight="1">
      <c r="A167" s="158"/>
      <c r="B167" s="201"/>
      <c r="C167" s="158"/>
      <c r="D167" s="158"/>
      <c r="E167" s="158"/>
      <c r="F167" s="202"/>
      <c r="G167" s="202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</row>
    <row r="168" spans="1:32" ht="15.75" customHeight="1">
      <c r="A168" s="158"/>
      <c r="B168" s="201"/>
      <c r="C168" s="158"/>
      <c r="D168" s="158"/>
      <c r="E168" s="158"/>
      <c r="F168" s="202"/>
      <c r="G168" s="202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</row>
    <row r="169" spans="1:32" ht="15.75" customHeight="1">
      <c r="A169" s="158"/>
      <c r="B169" s="201"/>
      <c r="C169" s="158"/>
      <c r="D169" s="158"/>
      <c r="E169" s="158"/>
      <c r="F169" s="202"/>
      <c r="G169" s="202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</row>
    <row r="170" spans="1:32" ht="15.75" customHeight="1">
      <c r="A170" s="158"/>
      <c r="B170" s="201"/>
      <c r="C170" s="158"/>
      <c r="D170" s="158"/>
      <c r="E170" s="158"/>
      <c r="F170" s="202"/>
      <c r="G170" s="202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</row>
    <row r="171" spans="1:32" ht="15.75" customHeight="1">
      <c r="A171" s="158"/>
      <c r="B171" s="201"/>
      <c r="C171" s="158"/>
      <c r="D171" s="158"/>
      <c r="E171" s="158"/>
      <c r="F171" s="202"/>
      <c r="G171" s="202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</row>
    <row r="172" spans="1:32" ht="15.75" customHeight="1">
      <c r="A172" s="158"/>
      <c r="B172" s="201"/>
      <c r="C172" s="158"/>
      <c r="D172" s="158"/>
      <c r="E172" s="158"/>
      <c r="F172" s="202"/>
      <c r="G172" s="202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</row>
    <row r="173" spans="1:32" ht="15.75" customHeight="1">
      <c r="A173" s="158"/>
      <c r="B173" s="201"/>
      <c r="C173" s="158"/>
      <c r="D173" s="158"/>
      <c r="E173" s="158"/>
      <c r="F173" s="202"/>
      <c r="G173" s="202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</row>
    <row r="174" spans="1:32" ht="15.75" customHeight="1">
      <c r="A174" s="158"/>
      <c r="B174" s="201"/>
      <c r="C174" s="158"/>
      <c r="D174" s="158"/>
      <c r="E174" s="158"/>
      <c r="F174" s="202"/>
      <c r="G174" s="202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</row>
    <row r="175" spans="1:32" ht="15.75" customHeight="1">
      <c r="A175" s="158"/>
      <c r="B175" s="201"/>
      <c r="C175" s="158"/>
      <c r="D175" s="158"/>
      <c r="E175" s="158"/>
      <c r="F175" s="202"/>
      <c r="G175" s="202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</row>
    <row r="176" spans="1:32" ht="15.75" customHeight="1">
      <c r="A176" s="158"/>
      <c r="B176" s="201"/>
      <c r="C176" s="158"/>
      <c r="D176" s="158"/>
      <c r="E176" s="158"/>
      <c r="F176" s="202"/>
      <c r="G176" s="202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</row>
    <row r="177" spans="1:32" ht="15.75" customHeight="1">
      <c r="A177" s="158"/>
      <c r="B177" s="201"/>
      <c r="C177" s="158"/>
      <c r="D177" s="158"/>
      <c r="E177" s="158"/>
      <c r="F177" s="202"/>
      <c r="G177" s="202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</row>
    <row r="178" spans="1:32" ht="15.75" customHeight="1">
      <c r="A178" s="158"/>
      <c r="B178" s="201"/>
      <c r="C178" s="158"/>
      <c r="D178" s="158"/>
      <c r="E178" s="158"/>
      <c r="F178" s="202"/>
      <c r="G178" s="202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</row>
    <row r="179" spans="1:32" ht="15.75" customHeight="1">
      <c r="A179" s="158"/>
      <c r="B179" s="201"/>
      <c r="C179" s="158"/>
      <c r="D179" s="158"/>
      <c r="E179" s="158"/>
      <c r="F179" s="202"/>
      <c r="G179" s="202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</row>
    <row r="180" spans="1:32" ht="15.75" customHeight="1">
      <c r="A180" s="158"/>
      <c r="B180" s="201"/>
      <c r="C180" s="158"/>
      <c r="D180" s="158"/>
      <c r="E180" s="158"/>
      <c r="F180" s="202"/>
      <c r="G180" s="202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</row>
    <row r="181" spans="1:32" ht="15.75" customHeight="1">
      <c r="A181" s="158"/>
      <c r="B181" s="201"/>
      <c r="C181" s="158"/>
      <c r="D181" s="158"/>
      <c r="E181" s="158"/>
      <c r="F181" s="202"/>
      <c r="G181" s="202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</row>
    <row r="182" spans="1:32" ht="15.75" customHeight="1">
      <c r="A182" s="158"/>
      <c r="B182" s="201"/>
      <c r="C182" s="158"/>
      <c r="D182" s="158"/>
      <c r="E182" s="158"/>
      <c r="F182" s="202"/>
      <c r="G182" s="202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</row>
    <row r="183" spans="1:32" ht="15.75" customHeight="1">
      <c r="A183" s="158"/>
      <c r="B183" s="201"/>
      <c r="C183" s="158"/>
      <c r="D183" s="158"/>
      <c r="E183" s="158"/>
      <c r="F183" s="202"/>
      <c r="G183" s="202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</row>
    <row r="184" spans="1:32" ht="15.75" customHeight="1">
      <c r="A184" s="158"/>
      <c r="B184" s="201"/>
      <c r="C184" s="158"/>
      <c r="D184" s="158"/>
      <c r="E184" s="158"/>
      <c r="F184" s="202"/>
      <c r="G184" s="202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</row>
    <row r="185" spans="1:32" ht="15.75" customHeight="1">
      <c r="A185" s="158"/>
      <c r="B185" s="201"/>
      <c r="C185" s="158"/>
      <c r="D185" s="158"/>
      <c r="E185" s="158"/>
      <c r="F185" s="202"/>
      <c r="G185" s="202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</row>
    <row r="186" spans="1:32" ht="15.75" customHeight="1">
      <c r="A186" s="158"/>
      <c r="B186" s="201"/>
      <c r="C186" s="158"/>
      <c r="D186" s="158"/>
      <c r="E186" s="158"/>
      <c r="F186" s="202"/>
      <c r="G186" s="202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</row>
    <row r="187" spans="1:32" ht="15.75" customHeight="1">
      <c r="A187" s="158"/>
      <c r="B187" s="201"/>
      <c r="C187" s="158"/>
      <c r="D187" s="158"/>
      <c r="E187" s="158"/>
      <c r="F187" s="202"/>
      <c r="G187" s="202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</row>
    <row r="188" spans="1:32" ht="15.75" customHeight="1">
      <c r="A188" s="158"/>
      <c r="B188" s="201"/>
      <c r="C188" s="158"/>
      <c r="D188" s="158"/>
      <c r="E188" s="158"/>
      <c r="F188" s="202"/>
      <c r="G188" s="202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</row>
    <row r="189" spans="1:32" ht="15.75" customHeight="1">
      <c r="A189" s="158"/>
      <c r="B189" s="201"/>
      <c r="C189" s="158"/>
      <c r="D189" s="158"/>
      <c r="E189" s="158"/>
      <c r="F189" s="202"/>
      <c r="G189" s="202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</row>
    <row r="190" spans="1:32" ht="15.75" customHeight="1">
      <c r="A190" s="158"/>
      <c r="B190" s="201"/>
      <c r="C190" s="158"/>
      <c r="D190" s="158"/>
      <c r="E190" s="158"/>
      <c r="F190" s="202"/>
      <c r="G190" s="202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</row>
    <row r="191" spans="1:32" ht="15.75" customHeight="1">
      <c r="A191" s="158"/>
      <c r="B191" s="201"/>
      <c r="C191" s="158"/>
      <c r="D191" s="158"/>
      <c r="E191" s="158"/>
      <c r="F191" s="202"/>
      <c r="G191" s="202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</row>
    <row r="192" spans="1:32" ht="15.75" customHeight="1">
      <c r="A192" s="158"/>
      <c r="B192" s="201"/>
      <c r="C192" s="158"/>
      <c r="D192" s="158"/>
      <c r="E192" s="158"/>
      <c r="F192" s="202"/>
      <c r="G192" s="202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</row>
    <row r="193" spans="1:32" ht="15.75" customHeight="1">
      <c r="A193" s="158"/>
      <c r="B193" s="201"/>
      <c r="C193" s="158"/>
      <c r="D193" s="158"/>
      <c r="E193" s="158"/>
      <c r="F193" s="202"/>
      <c r="G193" s="202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</row>
    <row r="194" spans="1:32" ht="15.75" customHeight="1">
      <c r="A194" s="158"/>
      <c r="B194" s="201"/>
      <c r="C194" s="158"/>
      <c r="D194" s="158"/>
      <c r="E194" s="158"/>
      <c r="F194" s="202"/>
      <c r="G194" s="202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</row>
    <row r="195" spans="1:32" ht="15.75" customHeight="1">
      <c r="A195" s="158"/>
      <c r="B195" s="201"/>
      <c r="C195" s="158"/>
      <c r="D195" s="158"/>
      <c r="E195" s="158"/>
      <c r="F195" s="202"/>
      <c r="G195" s="202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</row>
    <row r="196" spans="1:32" ht="15.75" customHeight="1">
      <c r="A196" s="158"/>
      <c r="B196" s="201"/>
      <c r="C196" s="158"/>
      <c r="D196" s="158"/>
      <c r="E196" s="158"/>
      <c r="F196" s="202"/>
      <c r="G196" s="202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</row>
    <row r="197" spans="1:32" ht="15.75" customHeight="1">
      <c r="A197" s="158"/>
      <c r="B197" s="201"/>
      <c r="C197" s="158"/>
      <c r="D197" s="158"/>
      <c r="E197" s="158"/>
      <c r="F197" s="202"/>
      <c r="G197" s="202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</row>
    <row r="198" spans="1:32" ht="15.75" customHeight="1">
      <c r="A198" s="158"/>
      <c r="B198" s="201"/>
      <c r="C198" s="158"/>
      <c r="D198" s="158"/>
      <c r="E198" s="158"/>
      <c r="F198" s="202"/>
      <c r="G198" s="202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</row>
    <row r="199" spans="1:32" ht="15.75" customHeight="1">
      <c r="A199" s="158"/>
      <c r="B199" s="201"/>
      <c r="C199" s="158"/>
      <c r="D199" s="158"/>
      <c r="E199" s="158"/>
      <c r="F199" s="202"/>
      <c r="G199" s="202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</row>
    <row r="200" spans="1:32" ht="15.75" customHeight="1">
      <c r="A200" s="158"/>
      <c r="B200" s="201"/>
      <c r="C200" s="158"/>
      <c r="D200" s="158"/>
      <c r="E200" s="158"/>
      <c r="F200" s="202"/>
      <c r="G200" s="202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</row>
    <row r="201" spans="1:32" ht="15.75" customHeight="1">
      <c r="A201" s="158"/>
      <c r="B201" s="201"/>
      <c r="C201" s="158"/>
      <c r="D201" s="158"/>
      <c r="E201" s="158"/>
      <c r="F201" s="202"/>
      <c r="G201" s="202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</row>
    <row r="202" spans="1:32" ht="15.75" customHeight="1">
      <c r="A202" s="158"/>
      <c r="B202" s="201"/>
      <c r="C202" s="158"/>
      <c r="D202" s="158"/>
      <c r="E202" s="158"/>
      <c r="F202" s="202"/>
      <c r="G202" s="202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</row>
    <row r="203" spans="1:32" ht="15.75" customHeight="1">
      <c r="A203" s="158"/>
      <c r="B203" s="201"/>
      <c r="C203" s="158"/>
      <c r="D203" s="158"/>
      <c r="E203" s="158"/>
      <c r="F203" s="202"/>
      <c r="G203" s="202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</row>
    <row r="204" spans="1:32" ht="15.75" customHeight="1">
      <c r="A204" s="158"/>
      <c r="B204" s="201"/>
      <c r="C204" s="158"/>
      <c r="D204" s="158"/>
      <c r="E204" s="158"/>
      <c r="F204" s="202"/>
      <c r="G204" s="202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</row>
    <row r="205" spans="1:32" ht="15.75" customHeight="1">
      <c r="A205" s="158"/>
      <c r="B205" s="201"/>
      <c r="C205" s="158"/>
      <c r="D205" s="158"/>
      <c r="E205" s="158"/>
      <c r="F205" s="202"/>
      <c r="G205" s="202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</row>
    <row r="206" spans="1:32" ht="15.75" customHeight="1">
      <c r="A206" s="158"/>
      <c r="B206" s="201"/>
      <c r="C206" s="158"/>
      <c r="D206" s="158"/>
      <c r="E206" s="158"/>
      <c r="F206" s="202"/>
      <c r="G206" s="202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</row>
    <row r="207" spans="1:32" ht="15.75" customHeight="1">
      <c r="A207" s="158"/>
      <c r="B207" s="201"/>
      <c r="C207" s="158"/>
      <c r="D207" s="158"/>
      <c r="E207" s="158"/>
      <c r="F207" s="202"/>
      <c r="G207" s="202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</row>
    <row r="208" spans="1:32" ht="15.75" customHeight="1">
      <c r="A208" s="158"/>
      <c r="B208" s="201"/>
      <c r="C208" s="158"/>
      <c r="D208" s="158"/>
      <c r="E208" s="158"/>
      <c r="F208" s="202"/>
      <c r="G208" s="202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</row>
    <row r="209" spans="1:32" ht="15.75" customHeight="1">
      <c r="A209" s="158"/>
      <c r="B209" s="201"/>
      <c r="C209" s="158"/>
      <c r="D209" s="158"/>
      <c r="E209" s="158"/>
      <c r="F209" s="202"/>
      <c r="G209" s="202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</row>
    <row r="210" spans="1:32" ht="15.75" customHeight="1">
      <c r="A210" s="158"/>
      <c r="B210" s="201"/>
      <c r="C210" s="158"/>
      <c r="D210" s="158"/>
      <c r="E210" s="158"/>
      <c r="F210" s="202"/>
      <c r="G210" s="202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</row>
    <row r="211" spans="1:32" ht="15.75" customHeight="1">
      <c r="A211" s="158"/>
      <c r="B211" s="201"/>
      <c r="C211" s="158"/>
      <c r="D211" s="158"/>
      <c r="E211" s="158"/>
      <c r="F211" s="202"/>
      <c r="G211" s="202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</row>
    <row r="212" spans="1:32" ht="15.75" customHeight="1">
      <c r="A212" s="158"/>
      <c r="B212" s="201"/>
      <c r="C212" s="158"/>
      <c r="D212" s="158"/>
      <c r="E212" s="158"/>
      <c r="F212" s="202"/>
      <c r="G212" s="202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</row>
    <row r="213" spans="1:32" ht="15.75" customHeight="1">
      <c r="A213" s="158"/>
      <c r="B213" s="201"/>
      <c r="C213" s="158"/>
      <c r="D213" s="158"/>
      <c r="E213" s="158"/>
      <c r="F213" s="202"/>
      <c r="G213" s="202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</row>
    <row r="214" spans="1:32" ht="15.75" customHeight="1">
      <c r="A214" s="158"/>
      <c r="B214" s="201"/>
      <c r="C214" s="158"/>
      <c r="D214" s="158"/>
      <c r="E214" s="158"/>
      <c r="F214" s="202"/>
      <c r="G214" s="202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</row>
    <row r="215" spans="1:32" ht="15.75" customHeight="1">
      <c r="A215" s="158"/>
      <c r="B215" s="201"/>
      <c r="C215" s="158"/>
      <c r="D215" s="158"/>
      <c r="E215" s="158"/>
      <c r="F215" s="202"/>
      <c r="G215" s="202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</row>
    <row r="216" spans="1:32" ht="15.75" customHeight="1">
      <c r="A216" s="158"/>
      <c r="B216" s="201"/>
      <c r="C216" s="158"/>
      <c r="D216" s="158"/>
      <c r="E216" s="158"/>
      <c r="F216" s="202"/>
      <c r="G216" s="202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</row>
    <row r="217" spans="1:32" ht="15.75" customHeight="1">
      <c r="A217" s="158"/>
      <c r="B217" s="201"/>
      <c r="C217" s="158"/>
      <c r="D217" s="158"/>
      <c r="E217" s="158"/>
      <c r="F217" s="202"/>
      <c r="G217" s="202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</row>
    <row r="218" spans="1:32" ht="15.75" customHeight="1">
      <c r="A218" s="158"/>
      <c r="B218" s="201"/>
      <c r="C218" s="158"/>
      <c r="D218" s="158"/>
      <c r="E218" s="158"/>
      <c r="F218" s="202"/>
      <c r="G218" s="202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</row>
    <row r="219" spans="1:32" ht="15.75" customHeight="1">
      <c r="A219" s="158"/>
      <c r="B219" s="201"/>
      <c r="C219" s="158"/>
      <c r="D219" s="158"/>
      <c r="E219" s="158"/>
      <c r="F219" s="202"/>
      <c r="G219" s="202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</row>
    <row r="220" spans="1:32" ht="15.75" customHeight="1">
      <c r="A220" s="158"/>
      <c r="B220" s="201"/>
      <c r="C220" s="158"/>
      <c r="D220" s="158"/>
      <c r="E220" s="158"/>
      <c r="F220" s="202"/>
      <c r="G220" s="202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</row>
    <row r="221" spans="1:32" ht="15.75" customHeight="1">
      <c r="A221" s="158"/>
      <c r="B221" s="201"/>
      <c r="C221" s="158"/>
      <c r="D221" s="158"/>
      <c r="E221" s="158"/>
      <c r="F221" s="202"/>
      <c r="G221" s="202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</row>
    <row r="222" spans="1:32" ht="15.75" customHeight="1">
      <c r="A222" s="158"/>
      <c r="B222" s="201"/>
      <c r="C222" s="158"/>
      <c r="D222" s="158"/>
      <c r="E222" s="158"/>
      <c r="F222" s="202"/>
      <c r="G222" s="202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</row>
    <row r="223" spans="1:32" ht="15.75" customHeight="1">
      <c r="A223" s="158"/>
      <c r="B223" s="201"/>
      <c r="C223" s="158"/>
      <c r="D223" s="158"/>
      <c r="E223" s="158"/>
      <c r="F223" s="202"/>
      <c r="G223" s="202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</row>
    <row r="224" spans="1:32" ht="15.75" customHeight="1">
      <c r="A224" s="158"/>
      <c r="B224" s="201"/>
      <c r="C224" s="158"/>
      <c r="D224" s="158"/>
      <c r="E224" s="158"/>
      <c r="F224" s="202"/>
      <c r="G224" s="202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</row>
    <row r="225" spans="1:32" ht="15.75" customHeight="1">
      <c r="A225" s="158"/>
      <c r="B225" s="201"/>
      <c r="C225" s="158"/>
      <c r="D225" s="158"/>
      <c r="E225" s="158"/>
      <c r="F225" s="202"/>
      <c r="G225" s="202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</row>
    <row r="226" spans="1:32" ht="15.75" customHeight="1">
      <c r="A226" s="158"/>
      <c r="B226" s="201"/>
      <c r="C226" s="158"/>
      <c r="D226" s="158"/>
      <c r="E226" s="158"/>
      <c r="F226" s="202"/>
      <c r="G226" s="202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</row>
    <row r="227" spans="1:32" ht="15.75" customHeight="1">
      <c r="A227" s="158"/>
      <c r="B227" s="201"/>
      <c r="C227" s="158"/>
      <c r="D227" s="158"/>
      <c r="E227" s="158"/>
      <c r="F227" s="202"/>
      <c r="G227" s="202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</row>
    <row r="228" spans="1:32" ht="15.75" customHeight="1">
      <c r="A228" s="158"/>
      <c r="B228" s="201"/>
      <c r="C228" s="158"/>
      <c r="D228" s="158"/>
      <c r="E228" s="158"/>
      <c r="F228" s="202"/>
      <c r="G228" s="202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</row>
    <row r="229" spans="1:32" ht="15.75" customHeight="1">
      <c r="A229" s="158"/>
      <c r="B229" s="201"/>
      <c r="C229" s="158"/>
      <c r="D229" s="158"/>
      <c r="E229" s="158"/>
      <c r="F229" s="202"/>
      <c r="G229" s="202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</row>
    <row r="230" spans="1:32" ht="15.75" customHeight="1">
      <c r="A230" s="158"/>
      <c r="B230" s="201"/>
      <c r="C230" s="158"/>
      <c r="D230" s="158"/>
      <c r="E230" s="158"/>
      <c r="F230" s="202"/>
      <c r="G230" s="202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</row>
    <row r="231" spans="1:32" ht="15.75" customHeight="1">
      <c r="A231" s="158"/>
      <c r="B231" s="201"/>
      <c r="C231" s="158"/>
      <c r="D231" s="158"/>
      <c r="E231" s="158"/>
      <c r="F231" s="202"/>
      <c r="G231" s="202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</row>
    <row r="232" spans="1:32" ht="15.75" customHeight="1">
      <c r="A232" s="158"/>
      <c r="B232" s="201"/>
      <c r="C232" s="158"/>
      <c r="D232" s="158"/>
      <c r="E232" s="158"/>
      <c r="F232" s="202"/>
      <c r="G232" s="202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</row>
    <row r="233" spans="1:32" ht="15.75" customHeight="1">
      <c r="A233" s="158"/>
      <c r="B233" s="201"/>
      <c r="C233" s="158"/>
      <c r="D233" s="158"/>
      <c r="E233" s="158"/>
      <c r="F233" s="202"/>
      <c r="G233" s="202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</row>
    <row r="234" spans="1:32" ht="15.75" customHeight="1">
      <c r="A234" s="158"/>
      <c r="B234" s="201"/>
      <c r="C234" s="158"/>
      <c r="D234" s="158"/>
      <c r="E234" s="158"/>
      <c r="F234" s="202"/>
      <c r="G234" s="202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</row>
    <row r="235" spans="1:32" ht="15.75" customHeight="1">
      <c r="A235" s="158"/>
      <c r="B235" s="201"/>
      <c r="C235" s="158"/>
      <c r="D235" s="158"/>
      <c r="E235" s="158"/>
      <c r="F235" s="202"/>
      <c r="G235" s="202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</row>
    <row r="236" spans="1:32" ht="15.75" customHeight="1">
      <c r="A236" s="158"/>
      <c r="B236" s="201"/>
      <c r="C236" s="158"/>
      <c r="D236" s="158"/>
      <c r="E236" s="158"/>
      <c r="F236" s="202"/>
      <c r="G236" s="202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</row>
    <row r="237" spans="1:32" ht="15.75" customHeight="1">
      <c r="A237" s="158"/>
      <c r="B237" s="201"/>
      <c r="C237" s="158"/>
      <c r="D237" s="158"/>
      <c r="E237" s="158"/>
      <c r="F237" s="202"/>
      <c r="G237" s="202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</row>
    <row r="238" spans="1:32" ht="15.75" customHeight="1">
      <c r="A238" s="158"/>
      <c r="B238" s="201"/>
      <c r="C238" s="158"/>
      <c r="D238" s="158"/>
      <c r="E238" s="158"/>
      <c r="F238" s="202"/>
      <c r="G238" s="202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</row>
    <row r="239" spans="1:32" ht="15.75" customHeight="1">
      <c r="A239" s="158"/>
      <c r="B239" s="201"/>
      <c r="C239" s="158"/>
      <c r="D239" s="158"/>
      <c r="E239" s="158"/>
      <c r="F239" s="202"/>
      <c r="G239" s="202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</row>
    <row r="240" spans="1:32" ht="15.75" customHeight="1">
      <c r="A240" s="158"/>
      <c r="B240" s="201"/>
      <c r="C240" s="158"/>
      <c r="D240" s="158"/>
      <c r="E240" s="158"/>
      <c r="F240" s="202"/>
      <c r="G240" s="202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</row>
    <row r="241" spans="1:32" ht="15.75" customHeight="1">
      <c r="A241" s="158"/>
      <c r="B241" s="201"/>
      <c r="C241" s="158"/>
      <c r="D241" s="158"/>
      <c r="E241" s="158"/>
      <c r="F241" s="202"/>
      <c r="G241" s="202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</row>
    <row r="242" spans="1:32" ht="15.75" customHeight="1">
      <c r="A242" s="158"/>
      <c r="B242" s="201"/>
      <c r="C242" s="158"/>
      <c r="D242" s="158"/>
      <c r="E242" s="158"/>
      <c r="F242" s="202"/>
      <c r="G242" s="202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</row>
    <row r="243" spans="1:32" ht="15.75" customHeight="1">
      <c r="A243" s="158"/>
      <c r="B243" s="201"/>
      <c r="C243" s="158"/>
      <c r="D243" s="158"/>
      <c r="E243" s="158"/>
      <c r="F243" s="202"/>
      <c r="G243" s="202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</row>
    <row r="244" spans="1:32" ht="15.75" customHeight="1">
      <c r="A244" s="158"/>
      <c r="B244" s="201"/>
      <c r="C244" s="158"/>
      <c r="D244" s="158"/>
      <c r="E244" s="158"/>
      <c r="F244" s="202"/>
      <c r="G244" s="202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</row>
    <row r="245" spans="1:32" ht="15.75" customHeight="1">
      <c r="A245" s="158"/>
      <c r="B245" s="201"/>
      <c r="C245" s="158"/>
      <c r="D245" s="158"/>
      <c r="E245" s="158"/>
      <c r="F245" s="202"/>
      <c r="G245" s="202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</row>
    <row r="246" spans="1:32" ht="15.75" customHeight="1">
      <c r="A246" s="158"/>
      <c r="B246" s="201"/>
      <c r="C246" s="158"/>
      <c r="D246" s="158"/>
      <c r="E246" s="158"/>
      <c r="F246" s="202"/>
      <c r="G246" s="202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</row>
    <row r="247" spans="1:32" ht="15.75" customHeight="1">
      <c r="A247" s="158"/>
      <c r="B247" s="201"/>
      <c r="C247" s="158"/>
      <c r="D247" s="158"/>
      <c r="E247" s="158"/>
      <c r="F247" s="202"/>
      <c r="G247" s="202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</row>
    <row r="248" spans="1:32" ht="15.75" customHeight="1">
      <c r="A248" s="158"/>
      <c r="B248" s="201"/>
      <c r="C248" s="158"/>
      <c r="D248" s="158"/>
      <c r="E248" s="158"/>
      <c r="F248" s="202"/>
      <c r="G248" s="202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</row>
    <row r="249" spans="1:32" ht="15.75" customHeight="1">
      <c r="A249" s="158"/>
      <c r="B249" s="201"/>
      <c r="C249" s="158"/>
      <c r="D249" s="158"/>
      <c r="E249" s="158"/>
      <c r="F249" s="202"/>
      <c r="G249" s="202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</row>
    <row r="250" spans="1:32" ht="15.75" customHeight="1">
      <c r="A250" s="158"/>
      <c r="B250" s="201"/>
      <c r="C250" s="158"/>
      <c r="D250" s="158"/>
      <c r="E250" s="158"/>
      <c r="F250" s="202"/>
      <c r="G250" s="202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</row>
    <row r="251" spans="1:32" ht="15.75" customHeight="1">
      <c r="A251" s="158"/>
      <c r="B251" s="201"/>
      <c r="C251" s="158"/>
      <c r="D251" s="158"/>
      <c r="E251" s="158"/>
      <c r="F251" s="202"/>
      <c r="G251" s="202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</row>
    <row r="252" spans="1:32" ht="15.75" customHeight="1">
      <c r="A252" s="158"/>
      <c r="B252" s="201"/>
      <c r="C252" s="158"/>
      <c r="D252" s="158"/>
      <c r="E252" s="158"/>
      <c r="F252" s="202"/>
      <c r="G252" s="202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</row>
    <row r="253" spans="1:32" ht="15.75" customHeight="1">
      <c r="A253" s="158"/>
      <c r="B253" s="201"/>
      <c r="C253" s="158"/>
      <c r="D253" s="158"/>
      <c r="E253" s="158"/>
      <c r="F253" s="202"/>
      <c r="G253" s="202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</row>
    <row r="254" spans="1:32" ht="15.75" customHeight="1">
      <c r="A254" s="158"/>
      <c r="B254" s="201"/>
      <c r="C254" s="158"/>
      <c r="D254" s="158"/>
      <c r="E254" s="158"/>
      <c r="F254" s="202"/>
      <c r="G254" s="202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</row>
    <row r="255" spans="1:32" ht="15.75" customHeight="1">
      <c r="A255" s="158"/>
      <c r="B255" s="201"/>
      <c r="C255" s="158"/>
      <c r="D255" s="158"/>
      <c r="E255" s="158"/>
      <c r="F255" s="202"/>
      <c r="G255" s="202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</row>
    <row r="256" spans="1:32" ht="15.75" customHeight="1">
      <c r="A256" s="158"/>
      <c r="B256" s="201"/>
      <c r="C256" s="158"/>
      <c r="D256" s="158"/>
      <c r="E256" s="158"/>
      <c r="F256" s="202"/>
      <c r="G256" s="202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</row>
    <row r="257" spans="1:32" ht="15.75" customHeight="1">
      <c r="A257" s="158"/>
      <c r="B257" s="201"/>
      <c r="C257" s="158"/>
      <c r="D257" s="158"/>
      <c r="E257" s="158"/>
      <c r="F257" s="202"/>
      <c r="G257" s="202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</row>
    <row r="258" spans="1:32" ht="15.75" customHeight="1">
      <c r="A258" s="158"/>
      <c r="B258" s="201"/>
      <c r="C258" s="158"/>
      <c r="D258" s="158"/>
      <c r="E258" s="158"/>
      <c r="F258" s="202"/>
      <c r="G258" s="202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</row>
    <row r="259" spans="1:32" ht="15.75" customHeight="1">
      <c r="A259" s="158"/>
      <c r="B259" s="201"/>
      <c r="C259" s="158"/>
      <c r="D259" s="158"/>
      <c r="E259" s="158"/>
      <c r="F259" s="202"/>
      <c r="G259" s="202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</row>
    <row r="260" spans="1:32" ht="15.75" customHeight="1">
      <c r="A260" s="158"/>
      <c r="B260" s="201"/>
      <c r="C260" s="158"/>
      <c r="D260" s="158"/>
      <c r="E260" s="158"/>
      <c r="F260" s="202"/>
      <c r="G260" s="202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</row>
    <row r="261" spans="1:32" ht="15.75" customHeight="1">
      <c r="A261" s="158"/>
      <c r="B261" s="201"/>
      <c r="C261" s="158"/>
      <c r="D261" s="158"/>
      <c r="E261" s="158"/>
      <c r="F261" s="202"/>
      <c r="G261" s="202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</row>
    <row r="262" spans="1:32" ht="15.75" customHeight="1">
      <c r="A262" s="158"/>
      <c r="B262" s="201"/>
      <c r="C262" s="158"/>
      <c r="D262" s="158"/>
      <c r="E262" s="158"/>
      <c r="F262" s="202"/>
      <c r="G262" s="202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</row>
    <row r="263" spans="1:32" ht="15.75" customHeight="1">
      <c r="A263" s="158"/>
      <c r="B263" s="201"/>
      <c r="C263" s="158"/>
      <c r="D263" s="158"/>
      <c r="E263" s="158"/>
      <c r="F263" s="202"/>
      <c r="G263" s="202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</row>
    <row r="264" spans="1:32" ht="15.75" customHeight="1">
      <c r="A264" s="158"/>
      <c r="B264" s="201"/>
      <c r="C264" s="158"/>
      <c r="D264" s="158"/>
      <c r="E264" s="158"/>
      <c r="F264" s="202"/>
      <c r="G264" s="202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</row>
    <row r="265" spans="1:32" ht="15.75" customHeight="1">
      <c r="A265" s="158"/>
      <c r="B265" s="201"/>
      <c r="C265" s="158"/>
      <c r="D265" s="158"/>
      <c r="E265" s="158"/>
      <c r="F265" s="202"/>
      <c r="G265" s="202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</row>
    <row r="266" spans="1:32" ht="15.75" customHeight="1">
      <c r="A266" s="158"/>
      <c r="B266" s="201"/>
      <c r="C266" s="158"/>
      <c r="D266" s="158"/>
      <c r="E266" s="158"/>
      <c r="F266" s="202"/>
      <c r="G266" s="202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</row>
    <row r="267" spans="1:32" ht="15.75" customHeight="1">
      <c r="A267" s="158"/>
      <c r="B267" s="201"/>
      <c r="C267" s="158"/>
      <c r="D267" s="158"/>
      <c r="E267" s="158"/>
      <c r="F267" s="202"/>
      <c r="G267" s="202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</row>
    <row r="268" spans="1:32" ht="15.75" customHeight="1">
      <c r="A268" s="158"/>
      <c r="B268" s="201"/>
      <c r="C268" s="158"/>
      <c r="D268" s="158"/>
      <c r="E268" s="158"/>
      <c r="F268" s="202"/>
      <c r="G268" s="202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</row>
    <row r="269" spans="1:32" ht="15.75" customHeight="1">
      <c r="A269" s="158"/>
      <c r="B269" s="201"/>
      <c r="C269" s="158"/>
      <c r="D269" s="158"/>
      <c r="E269" s="158"/>
      <c r="F269" s="202"/>
      <c r="G269" s="202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</row>
    <row r="270" spans="1:32" ht="15.75" customHeight="1">
      <c r="A270" s="158"/>
      <c r="B270" s="201"/>
      <c r="C270" s="158"/>
      <c r="D270" s="158"/>
      <c r="E270" s="158"/>
      <c r="F270" s="202"/>
      <c r="G270" s="202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</row>
    <row r="271" spans="1:32" ht="15.75" customHeight="1">
      <c r="A271" s="158"/>
      <c r="B271" s="201"/>
      <c r="C271" s="158"/>
      <c r="D271" s="158"/>
      <c r="E271" s="158"/>
      <c r="F271" s="202"/>
      <c r="G271" s="202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</row>
    <row r="272" spans="1:32" ht="15.75" customHeight="1">
      <c r="A272" s="158"/>
      <c r="B272" s="201"/>
      <c r="C272" s="158"/>
      <c r="D272" s="158"/>
      <c r="E272" s="158"/>
      <c r="F272" s="202"/>
      <c r="G272" s="202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</row>
    <row r="273" spans="1:32" ht="15.75" customHeight="1">
      <c r="A273" s="158"/>
      <c r="B273" s="201"/>
      <c r="C273" s="158"/>
      <c r="D273" s="158"/>
      <c r="E273" s="158"/>
      <c r="F273" s="202"/>
      <c r="G273" s="202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</row>
    <row r="274" spans="1:32" ht="15.75" customHeight="1">
      <c r="A274" s="158"/>
      <c r="B274" s="201"/>
      <c r="C274" s="158"/>
      <c r="D274" s="158"/>
      <c r="E274" s="158"/>
      <c r="F274" s="202"/>
      <c r="G274" s="202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</row>
    <row r="275" spans="1:32" ht="15.75" customHeight="1">
      <c r="A275" s="158"/>
      <c r="B275" s="201"/>
      <c r="C275" s="158"/>
      <c r="D275" s="158"/>
      <c r="E275" s="158"/>
      <c r="F275" s="202"/>
      <c r="G275" s="202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</row>
    <row r="276" spans="1:32" ht="15.75" customHeight="1">
      <c r="A276" s="158"/>
      <c r="B276" s="201"/>
      <c r="C276" s="158"/>
      <c r="D276" s="158"/>
      <c r="E276" s="158"/>
      <c r="F276" s="202"/>
      <c r="G276" s="202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</row>
    <row r="277" spans="1:32" ht="15.75" customHeight="1">
      <c r="A277" s="158"/>
      <c r="B277" s="201"/>
      <c r="C277" s="158"/>
      <c r="D277" s="158"/>
      <c r="E277" s="158"/>
      <c r="F277" s="202"/>
      <c r="G277" s="202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</row>
    <row r="278" spans="1:32" ht="15.75" customHeight="1">
      <c r="A278" s="158"/>
      <c r="B278" s="201"/>
      <c r="C278" s="158"/>
      <c r="D278" s="158"/>
      <c r="E278" s="158"/>
      <c r="F278" s="202"/>
      <c r="G278" s="202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</row>
    <row r="279" spans="1:32" ht="15.75" customHeight="1">
      <c r="A279" s="158"/>
      <c r="B279" s="201"/>
      <c r="C279" s="158"/>
      <c r="D279" s="158"/>
      <c r="E279" s="158"/>
      <c r="F279" s="202"/>
      <c r="G279" s="202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</row>
    <row r="280" spans="1:32" ht="15.75" customHeight="1">
      <c r="A280" s="158"/>
      <c r="B280" s="201"/>
      <c r="C280" s="158"/>
      <c r="D280" s="158"/>
      <c r="E280" s="158"/>
      <c r="F280" s="202"/>
      <c r="G280" s="202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</row>
    <row r="281" spans="1:32" ht="15.75" customHeight="1">
      <c r="A281" s="158"/>
      <c r="B281" s="201"/>
      <c r="C281" s="158"/>
      <c r="D281" s="158"/>
      <c r="E281" s="158"/>
      <c r="F281" s="202"/>
      <c r="G281" s="202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</row>
    <row r="282" spans="1:32" ht="15.75" customHeight="1">
      <c r="A282" s="158"/>
      <c r="B282" s="201"/>
      <c r="C282" s="158"/>
      <c r="D282" s="158"/>
      <c r="E282" s="158"/>
      <c r="F282" s="202"/>
      <c r="G282" s="202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</row>
    <row r="283" spans="1:32" ht="15.75" customHeight="1">
      <c r="A283" s="158"/>
      <c r="B283" s="201"/>
      <c r="C283" s="158"/>
      <c r="D283" s="158"/>
      <c r="E283" s="158"/>
      <c r="F283" s="202"/>
      <c r="G283" s="202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</row>
    <row r="284" spans="1:32" ht="15.75" customHeight="1">
      <c r="A284" s="158"/>
      <c r="B284" s="201"/>
      <c r="C284" s="158"/>
      <c r="D284" s="158"/>
      <c r="E284" s="158"/>
      <c r="F284" s="202"/>
      <c r="G284" s="202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</row>
    <row r="285" spans="1:32" ht="15.75" customHeight="1">
      <c r="A285" s="158"/>
      <c r="B285" s="201"/>
      <c r="C285" s="158"/>
      <c r="D285" s="158"/>
      <c r="E285" s="158"/>
      <c r="F285" s="202"/>
      <c r="G285" s="202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</row>
    <row r="286" spans="1:32" ht="15.75" customHeight="1">
      <c r="A286" s="158"/>
      <c r="B286" s="201"/>
      <c r="C286" s="158"/>
      <c r="D286" s="158"/>
      <c r="E286" s="158"/>
      <c r="F286" s="202"/>
      <c r="G286" s="202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</row>
    <row r="287" spans="1:32" ht="15.75" customHeight="1">
      <c r="A287" s="158"/>
      <c r="B287" s="201"/>
      <c r="C287" s="158"/>
      <c r="D287" s="158"/>
      <c r="E287" s="158"/>
      <c r="F287" s="202"/>
      <c r="G287" s="202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</row>
    <row r="288" spans="1:32" ht="15.75" customHeight="1">
      <c r="A288" s="158"/>
      <c r="B288" s="201"/>
      <c r="C288" s="158"/>
      <c r="D288" s="158"/>
      <c r="E288" s="158"/>
      <c r="F288" s="202"/>
      <c r="G288" s="202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</row>
    <row r="289" spans="1:32" ht="15.75" customHeight="1">
      <c r="A289" s="158"/>
      <c r="B289" s="201"/>
      <c r="C289" s="158"/>
      <c r="D289" s="158"/>
      <c r="E289" s="158"/>
      <c r="F289" s="202"/>
      <c r="G289" s="202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</row>
    <row r="290" spans="1:32" ht="15.75" customHeight="1">
      <c r="A290" s="158"/>
      <c r="B290" s="201"/>
      <c r="C290" s="158"/>
      <c r="D290" s="158"/>
      <c r="E290" s="158"/>
      <c r="F290" s="202"/>
      <c r="G290" s="202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</row>
    <row r="291" spans="1:32" ht="15.75" customHeight="1">
      <c r="A291" s="158"/>
      <c r="B291" s="201"/>
      <c r="C291" s="158"/>
      <c r="D291" s="158"/>
      <c r="E291" s="158"/>
      <c r="F291" s="202"/>
      <c r="G291" s="202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</row>
    <row r="292" spans="1:32" ht="15.75" customHeight="1">
      <c r="A292" s="158"/>
      <c r="B292" s="201"/>
      <c r="C292" s="158"/>
      <c r="D292" s="158"/>
      <c r="E292" s="158"/>
      <c r="F292" s="202"/>
      <c r="G292" s="202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</row>
    <row r="293" spans="1:32" ht="15.75" customHeight="1">
      <c r="A293" s="158"/>
      <c r="B293" s="201"/>
      <c r="C293" s="158"/>
      <c r="D293" s="158"/>
      <c r="E293" s="158"/>
      <c r="F293" s="202"/>
      <c r="G293" s="202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</row>
    <row r="294" spans="1:32" ht="15.75" customHeight="1">
      <c r="A294" s="158"/>
      <c r="B294" s="201"/>
      <c r="C294" s="158"/>
      <c r="D294" s="158"/>
      <c r="E294" s="158"/>
      <c r="F294" s="202"/>
      <c r="G294" s="202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</row>
    <row r="295" spans="1:32" ht="15.75" customHeight="1">
      <c r="A295" s="158"/>
      <c r="B295" s="201"/>
      <c r="C295" s="158"/>
      <c r="D295" s="158"/>
      <c r="E295" s="158"/>
      <c r="F295" s="202"/>
      <c r="G295" s="202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</row>
    <row r="296" spans="1:32" ht="15.75" customHeight="1">
      <c r="A296" s="158"/>
      <c r="B296" s="201"/>
      <c r="C296" s="158"/>
      <c r="D296" s="158"/>
      <c r="E296" s="158"/>
      <c r="F296" s="202"/>
      <c r="G296" s="202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</row>
    <row r="297" spans="1:32" ht="15.75" customHeight="1">
      <c r="A297" s="158"/>
      <c r="B297" s="201"/>
      <c r="C297" s="158"/>
      <c r="D297" s="158"/>
      <c r="E297" s="158"/>
      <c r="F297" s="202"/>
      <c r="G297" s="202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</row>
    <row r="298" spans="1:32" ht="15.75" customHeight="1">
      <c r="A298" s="158"/>
      <c r="B298" s="201"/>
      <c r="C298" s="158"/>
      <c r="D298" s="158"/>
      <c r="E298" s="158"/>
      <c r="F298" s="202"/>
      <c r="G298" s="202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</row>
    <row r="299" spans="1:32" ht="15.75" customHeight="1">
      <c r="A299" s="158"/>
      <c r="B299" s="201"/>
      <c r="C299" s="158"/>
      <c r="D299" s="158"/>
      <c r="E299" s="158"/>
      <c r="F299" s="202"/>
      <c r="G299" s="202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</row>
    <row r="300" spans="1:32" ht="15.75" customHeight="1">
      <c r="A300" s="158"/>
      <c r="B300" s="201"/>
      <c r="C300" s="158"/>
      <c r="D300" s="158"/>
      <c r="E300" s="158"/>
      <c r="F300" s="202"/>
      <c r="G300" s="202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</row>
    <row r="301" spans="1:32" ht="15.75" customHeight="1">
      <c r="A301" s="158"/>
      <c r="B301" s="201"/>
      <c r="C301" s="158"/>
      <c r="D301" s="158"/>
      <c r="E301" s="158"/>
      <c r="F301" s="202"/>
      <c r="G301" s="202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</row>
    <row r="302" spans="1:32" ht="15.75" customHeight="1">
      <c r="A302" s="158"/>
      <c r="B302" s="201"/>
      <c r="C302" s="158"/>
      <c r="D302" s="158"/>
      <c r="E302" s="158"/>
      <c r="F302" s="202"/>
      <c r="G302" s="202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</row>
    <row r="303" spans="1:32" ht="15.75" customHeight="1">
      <c r="A303" s="158"/>
      <c r="B303" s="201"/>
      <c r="C303" s="158"/>
      <c r="D303" s="158"/>
      <c r="E303" s="158"/>
      <c r="F303" s="202"/>
      <c r="G303" s="202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</row>
    <row r="304" spans="1:32" ht="15.75" customHeight="1">
      <c r="A304" s="158"/>
      <c r="B304" s="201"/>
      <c r="C304" s="158"/>
      <c r="D304" s="158"/>
      <c r="E304" s="158"/>
      <c r="F304" s="202"/>
      <c r="G304" s="202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</row>
    <row r="305" spans="1:32" ht="15.75" customHeight="1">
      <c r="A305" s="158"/>
      <c r="B305" s="201"/>
      <c r="C305" s="158"/>
      <c r="D305" s="158"/>
      <c r="E305" s="158"/>
      <c r="F305" s="202"/>
      <c r="G305" s="202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</row>
    <row r="306" spans="1:32" ht="15.75" customHeight="1">
      <c r="A306" s="158"/>
      <c r="B306" s="201"/>
      <c r="C306" s="158"/>
      <c r="D306" s="158"/>
      <c r="E306" s="158"/>
      <c r="F306" s="202"/>
      <c r="G306" s="202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</row>
    <row r="307" spans="1:32" ht="15.75" customHeight="1">
      <c r="A307" s="158"/>
      <c r="B307" s="201"/>
      <c r="C307" s="158"/>
      <c r="D307" s="158"/>
      <c r="E307" s="158"/>
      <c r="F307" s="202"/>
      <c r="G307" s="202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</row>
    <row r="308" spans="1:32" ht="15.75" customHeight="1">
      <c r="A308" s="158"/>
      <c r="B308" s="201"/>
      <c r="C308" s="158"/>
      <c r="D308" s="158"/>
      <c r="E308" s="158"/>
      <c r="F308" s="202"/>
      <c r="G308" s="202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</row>
    <row r="309" spans="1:32" ht="15.75" customHeight="1">
      <c r="A309" s="158"/>
      <c r="B309" s="201"/>
      <c r="C309" s="158"/>
      <c r="D309" s="158"/>
      <c r="E309" s="158"/>
      <c r="F309" s="202"/>
      <c r="G309" s="202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</row>
    <row r="310" spans="1:32" ht="15.75" customHeight="1">
      <c r="A310" s="158"/>
      <c r="B310" s="201"/>
      <c r="C310" s="158"/>
      <c r="D310" s="158"/>
      <c r="E310" s="158"/>
      <c r="F310" s="202"/>
      <c r="G310" s="202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</row>
    <row r="311" spans="1:32" ht="15.75" customHeight="1">
      <c r="A311" s="158"/>
      <c r="B311" s="201"/>
      <c r="C311" s="158"/>
      <c r="D311" s="158"/>
      <c r="E311" s="158"/>
      <c r="F311" s="202"/>
      <c r="G311" s="202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</row>
    <row r="312" spans="1:32" ht="15.75" customHeight="1">
      <c r="A312" s="158"/>
      <c r="B312" s="201"/>
      <c r="C312" s="158"/>
      <c r="D312" s="158"/>
      <c r="E312" s="158"/>
      <c r="F312" s="202"/>
      <c r="G312" s="202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</row>
    <row r="313" spans="1:32" ht="15.75" customHeight="1">
      <c r="A313" s="158"/>
      <c r="B313" s="201"/>
      <c r="C313" s="158"/>
      <c r="D313" s="158"/>
      <c r="E313" s="158"/>
      <c r="F313" s="202"/>
      <c r="G313" s="202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</row>
    <row r="314" spans="1:32" ht="15.75" customHeight="1">
      <c r="A314" s="158"/>
      <c r="B314" s="201"/>
      <c r="C314" s="158"/>
      <c r="D314" s="158"/>
      <c r="E314" s="158"/>
      <c r="F314" s="202"/>
      <c r="G314" s="202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</row>
    <row r="315" spans="1:32" ht="15.75" customHeight="1">
      <c r="A315" s="158"/>
      <c r="B315" s="201"/>
      <c r="C315" s="158"/>
      <c r="D315" s="158"/>
      <c r="E315" s="158"/>
      <c r="F315" s="202"/>
      <c r="G315" s="202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</row>
    <row r="316" spans="1:32" ht="15.75" customHeight="1">
      <c r="A316" s="158"/>
      <c r="B316" s="201"/>
      <c r="C316" s="158"/>
      <c r="D316" s="158"/>
      <c r="E316" s="158"/>
      <c r="F316" s="202"/>
      <c r="G316" s="202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</row>
    <row r="317" spans="1:32" ht="15.75" customHeight="1">
      <c r="A317" s="158"/>
      <c r="B317" s="201"/>
      <c r="C317" s="158"/>
      <c r="D317" s="158"/>
      <c r="E317" s="158"/>
      <c r="F317" s="202"/>
      <c r="G317" s="202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</row>
    <row r="318" spans="1:32" ht="15.75" customHeight="1">
      <c r="A318" s="158"/>
      <c r="B318" s="201"/>
      <c r="C318" s="158"/>
      <c r="D318" s="158"/>
      <c r="E318" s="158"/>
      <c r="F318" s="202"/>
      <c r="G318" s="202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</row>
    <row r="319" spans="1:32" ht="15.75" customHeight="1">
      <c r="A319" s="158"/>
      <c r="B319" s="201"/>
      <c r="C319" s="158"/>
      <c r="D319" s="158"/>
      <c r="E319" s="158"/>
      <c r="F319" s="202"/>
      <c r="G319" s="202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</row>
    <row r="320" spans="1:32" ht="15.75" customHeight="1">
      <c r="A320" s="158"/>
      <c r="B320" s="201"/>
      <c r="C320" s="158"/>
      <c r="D320" s="158"/>
      <c r="E320" s="158"/>
      <c r="F320" s="202"/>
      <c r="G320" s="202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</row>
    <row r="321" spans="1:32" ht="15.75" customHeight="1">
      <c r="A321" s="158"/>
      <c r="B321" s="201"/>
      <c r="C321" s="158"/>
      <c r="D321" s="158"/>
      <c r="E321" s="158"/>
      <c r="F321" s="202"/>
      <c r="G321" s="202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</row>
    <row r="322" spans="1:32" ht="15.75" customHeight="1">
      <c r="A322" s="158"/>
      <c r="B322" s="201"/>
      <c r="C322" s="158"/>
      <c r="D322" s="158"/>
      <c r="E322" s="158"/>
      <c r="F322" s="202"/>
      <c r="G322" s="202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</row>
    <row r="323" spans="1:32" ht="15.75" customHeight="1">
      <c r="A323" s="158"/>
      <c r="B323" s="201"/>
      <c r="C323" s="158"/>
      <c r="D323" s="158"/>
      <c r="E323" s="158"/>
      <c r="F323" s="202"/>
      <c r="G323" s="202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</row>
    <row r="324" spans="1:32" ht="15.75" customHeight="1">
      <c r="A324" s="158"/>
      <c r="B324" s="201"/>
      <c r="C324" s="158"/>
      <c r="D324" s="158"/>
      <c r="E324" s="158"/>
      <c r="F324" s="202"/>
      <c r="G324" s="202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</row>
    <row r="325" spans="1:32" ht="15.75" customHeight="1">
      <c r="A325" s="158"/>
      <c r="B325" s="201"/>
      <c r="C325" s="158"/>
      <c r="D325" s="158"/>
      <c r="E325" s="158"/>
      <c r="F325" s="202"/>
      <c r="G325" s="202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</row>
    <row r="326" spans="1:32" ht="15.75" customHeight="1">
      <c r="A326" s="158"/>
      <c r="B326" s="201"/>
      <c r="C326" s="158"/>
      <c r="D326" s="158"/>
      <c r="E326" s="158"/>
      <c r="F326" s="202"/>
      <c r="G326" s="202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</row>
    <row r="327" spans="1:32" ht="15.75" customHeight="1">
      <c r="A327" s="158"/>
      <c r="B327" s="201"/>
      <c r="C327" s="158"/>
      <c r="D327" s="158"/>
      <c r="E327" s="158"/>
      <c r="F327" s="202"/>
      <c r="G327" s="202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</row>
    <row r="328" spans="1:32" ht="15.75" customHeight="1">
      <c r="A328" s="158"/>
      <c r="B328" s="201"/>
      <c r="C328" s="158"/>
      <c r="D328" s="158"/>
      <c r="E328" s="158"/>
      <c r="F328" s="202"/>
      <c r="G328" s="202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</row>
    <row r="329" spans="1:32" ht="15.75" customHeight="1">
      <c r="A329" s="158"/>
      <c r="B329" s="201"/>
      <c r="C329" s="158"/>
      <c r="D329" s="158"/>
      <c r="E329" s="158"/>
      <c r="F329" s="202"/>
      <c r="G329" s="202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</row>
    <row r="330" spans="1:32" ht="15.75" customHeight="1">
      <c r="A330" s="158"/>
      <c r="B330" s="201"/>
      <c r="C330" s="158"/>
      <c r="D330" s="158"/>
      <c r="E330" s="158"/>
      <c r="F330" s="202"/>
      <c r="G330" s="202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</row>
    <row r="331" spans="1:32" ht="15.75" customHeight="1">
      <c r="A331" s="158"/>
      <c r="B331" s="201"/>
      <c r="C331" s="158"/>
      <c r="D331" s="158"/>
      <c r="E331" s="158"/>
      <c r="F331" s="202"/>
      <c r="G331" s="202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</row>
    <row r="332" spans="1:32" ht="15.75" customHeight="1">
      <c r="A332" s="158"/>
      <c r="B332" s="201"/>
      <c r="C332" s="158"/>
      <c r="D332" s="158"/>
      <c r="E332" s="158"/>
      <c r="F332" s="202"/>
      <c r="G332" s="202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</row>
    <row r="333" spans="1:32" ht="15.75" customHeight="1">
      <c r="A333" s="158"/>
      <c r="B333" s="201"/>
      <c r="C333" s="158"/>
      <c r="D333" s="158"/>
      <c r="E333" s="158"/>
      <c r="F333" s="202"/>
      <c r="G333" s="202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</row>
    <row r="334" spans="1:32" ht="15.75" customHeight="1">
      <c r="A334" s="158"/>
      <c r="B334" s="201"/>
      <c r="C334" s="158"/>
      <c r="D334" s="158"/>
      <c r="E334" s="158"/>
      <c r="F334" s="202"/>
      <c r="G334" s="202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</row>
    <row r="335" spans="1:32" ht="15.75" customHeight="1">
      <c r="A335" s="158"/>
      <c r="B335" s="201"/>
      <c r="C335" s="158"/>
      <c r="D335" s="158"/>
      <c r="E335" s="158"/>
      <c r="F335" s="202"/>
      <c r="G335" s="202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</row>
    <row r="336" spans="1:32" ht="15.75" customHeight="1">
      <c r="A336" s="158"/>
      <c r="B336" s="201"/>
      <c r="C336" s="158"/>
      <c r="D336" s="158"/>
      <c r="E336" s="158"/>
      <c r="F336" s="202"/>
      <c r="G336" s="202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</row>
    <row r="337" spans="1:32" ht="15.75" customHeight="1">
      <c r="A337" s="158"/>
      <c r="B337" s="201"/>
      <c r="C337" s="158"/>
      <c r="D337" s="158"/>
      <c r="E337" s="158"/>
      <c r="F337" s="202"/>
      <c r="G337" s="202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</row>
    <row r="338" spans="1:32" ht="15.75" customHeight="1">
      <c r="A338" s="158"/>
      <c r="B338" s="201"/>
      <c r="C338" s="158"/>
      <c r="D338" s="158"/>
      <c r="E338" s="158"/>
      <c r="F338" s="202"/>
      <c r="G338" s="202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</row>
    <row r="339" spans="1:32" ht="15.75" customHeight="1">
      <c r="A339" s="158"/>
      <c r="B339" s="201"/>
      <c r="C339" s="158"/>
      <c r="D339" s="158"/>
      <c r="E339" s="158"/>
      <c r="F339" s="202"/>
      <c r="G339" s="202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</row>
    <row r="340" spans="1:32" ht="15.75" customHeight="1">
      <c r="A340" s="158"/>
      <c r="B340" s="201"/>
      <c r="C340" s="158"/>
      <c r="D340" s="158"/>
      <c r="E340" s="158"/>
      <c r="F340" s="202"/>
      <c r="G340" s="202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</row>
    <row r="341" spans="1:32" ht="15.75" customHeight="1">
      <c r="A341" s="158"/>
      <c r="B341" s="201"/>
      <c r="C341" s="158"/>
      <c r="D341" s="158"/>
      <c r="E341" s="158"/>
      <c r="F341" s="202"/>
      <c r="G341" s="202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</row>
    <row r="342" spans="1:32" ht="15.75" customHeight="1">
      <c r="A342" s="158"/>
      <c r="B342" s="201"/>
      <c r="C342" s="158"/>
      <c r="D342" s="158"/>
      <c r="E342" s="158"/>
      <c r="F342" s="202"/>
      <c r="G342" s="202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</row>
    <row r="343" spans="1:32" ht="15.75" customHeight="1">
      <c r="A343" s="158"/>
      <c r="B343" s="201"/>
      <c r="C343" s="158"/>
      <c r="D343" s="158"/>
      <c r="E343" s="158"/>
      <c r="F343" s="202"/>
      <c r="G343" s="202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</row>
    <row r="344" spans="1:32" ht="15.75" customHeight="1">
      <c r="A344" s="158"/>
      <c r="B344" s="201"/>
      <c r="C344" s="158"/>
      <c r="D344" s="158"/>
      <c r="E344" s="158"/>
      <c r="F344" s="202"/>
      <c r="G344" s="202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</row>
    <row r="345" spans="1:32" ht="15.75" customHeight="1">
      <c r="A345" s="158"/>
      <c r="B345" s="201"/>
      <c r="C345" s="158"/>
      <c r="D345" s="158"/>
      <c r="E345" s="158"/>
      <c r="F345" s="202"/>
      <c r="G345" s="202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</row>
    <row r="346" spans="1:32" ht="15.75" customHeight="1">
      <c r="A346" s="158"/>
      <c r="B346" s="201"/>
      <c r="C346" s="158"/>
      <c r="D346" s="158"/>
      <c r="E346" s="158"/>
      <c r="F346" s="202"/>
      <c r="G346" s="202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</row>
    <row r="347" spans="1:32" ht="15.75" customHeight="1">
      <c r="A347" s="158"/>
      <c r="B347" s="201"/>
      <c r="C347" s="158"/>
      <c r="D347" s="158"/>
      <c r="E347" s="158"/>
      <c r="F347" s="202"/>
      <c r="G347" s="202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</row>
    <row r="348" spans="1:32" ht="15.75" customHeight="1">
      <c r="A348" s="158"/>
      <c r="B348" s="201"/>
      <c r="C348" s="158"/>
      <c r="D348" s="158"/>
      <c r="E348" s="158"/>
      <c r="F348" s="202"/>
      <c r="G348" s="202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</row>
    <row r="349" spans="1:32" ht="15.75" customHeight="1">
      <c r="A349" s="158"/>
      <c r="B349" s="201"/>
      <c r="C349" s="158"/>
      <c r="D349" s="158"/>
      <c r="E349" s="158"/>
      <c r="F349" s="202"/>
      <c r="G349" s="202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</row>
    <row r="350" spans="1:32" ht="15.75" customHeight="1">
      <c r="A350" s="158"/>
      <c r="B350" s="201"/>
      <c r="C350" s="158"/>
      <c r="D350" s="158"/>
      <c r="E350" s="158"/>
      <c r="F350" s="202"/>
      <c r="G350" s="202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</row>
    <row r="351" spans="1:32" ht="15.75" customHeight="1">
      <c r="A351" s="158"/>
      <c r="B351" s="201"/>
      <c r="C351" s="158"/>
      <c r="D351" s="158"/>
      <c r="E351" s="158"/>
      <c r="F351" s="202"/>
      <c r="G351" s="202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</row>
    <row r="352" spans="1:32" ht="15.75" customHeight="1">
      <c r="A352" s="158"/>
      <c r="B352" s="201"/>
      <c r="C352" s="158"/>
      <c r="D352" s="158"/>
      <c r="E352" s="158"/>
      <c r="F352" s="202"/>
      <c r="G352" s="202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</row>
    <row r="353" spans="1:32" ht="15.75" customHeight="1">
      <c r="A353" s="158"/>
      <c r="B353" s="201"/>
      <c r="C353" s="158"/>
      <c r="D353" s="158"/>
      <c r="E353" s="158"/>
      <c r="F353" s="202"/>
      <c r="G353" s="202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</row>
    <row r="354" spans="1:32" ht="15.75" customHeight="1">
      <c r="A354" s="158"/>
      <c r="B354" s="201"/>
      <c r="C354" s="158"/>
      <c r="D354" s="158"/>
      <c r="E354" s="158"/>
      <c r="F354" s="202"/>
      <c r="G354" s="202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</row>
    <row r="355" spans="1:32" ht="15.75" customHeight="1">
      <c r="A355" s="158"/>
      <c r="B355" s="201"/>
      <c r="C355" s="158"/>
      <c r="D355" s="158"/>
      <c r="E355" s="158"/>
      <c r="F355" s="202"/>
      <c r="G355" s="202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</row>
    <row r="356" spans="1:32" ht="15.75" customHeight="1">
      <c r="A356" s="158"/>
      <c r="B356" s="201"/>
      <c r="C356" s="158"/>
      <c r="D356" s="158"/>
      <c r="E356" s="158"/>
      <c r="F356" s="202"/>
      <c r="G356" s="202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</row>
    <row r="357" spans="1:32" ht="15.75" customHeight="1">
      <c r="A357" s="158"/>
      <c r="B357" s="201"/>
      <c r="C357" s="158"/>
      <c r="D357" s="158"/>
      <c r="E357" s="158"/>
      <c r="F357" s="202"/>
      <c r="G357" s="202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</row>
    <row r="358" spans="1:32" ht="15.75" customHeight="1">
      <c r="A358" s="158"/>
      <c r="B358" s="201"/>
      <c r="C358" s="158"/>
      <c r="D358" s="158"/>
      <c r="E358" s="158"/>
      <c r="F358" s="202"/>
      <c r="G358" s="202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</row>
    <row r="359" spans="1:32" ht="15.75" customHeight="1">
      <c r="A359" s="158"/>
      <c r="B359" s="201"/>
      <c r="C359" s="158"/>
      <c r="D359" s="158"/>
      <c r="E359" s="158"/>
      <c r="F359" s="202"/>
      <c r="G359" s="202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</row>
    <row r="360" spans="1:32" ht="15.75" customHeight="1">
      <c r="A360" s="158"/>
      <c r="B360" s="201"/>
      <c r="C360" s="158"/>
      <c r="D360" s="158"/>
      <c r="E360" s="158"/>
      <c r="F360" s="202"/>
      <c r="G360" s="202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</row>
    <row r="361" spans="1:32" ht="15.75" customHeight="1">
      <c r="A361" s="158"/>
      <c r="B361" s="201"/>
      <c r="C361" s="158"/>
      <c r="D361" s="158"/>
      <c r="E361" s="158"/>
      <c r="F361" s="202"/>
      <c r="G361" s="202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</row>
    <row r="362" spans="1:32" ht="15.75" customHeight="1">
      <c r="A362" s="158"/>
      <c r="B362" s="201"/>
      <c r="C362" s="158"/>
      <c r="D362" s="158"/>
      <c r="E362" s="158"/>
      <c r="F362" s="202"/>
      <c r="G362" s="202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</row>
    <row r="363" spans="1:32" ht="15.75" customHeight="1">
      <c r="A363" s="158"/>
      <c r="B363" s="201"/>
      <c r="C363" s="158"/>
      <c r="D363" s="158"/>
      <c r="E363" s="158"/>
      <c r="F363" s="202"/>
      <c r="G363" s="202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</row>
    <row r="364" spans="1:32" ht="15.75" customHeight="1">
      <c r="A364" s="158"/>
      <c r="B364" s="201"/>
      <c r="C364" s="158"/>
      <c r="D364" s="158"/>
      <c r="E364" s="158"/>
      <c r="F364" s="202"/>
      <c r="G364" s="202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</row>
    <row r="365" spans="1:32" ht="15.75" customHeight="1">
      <c r="A365" s="158"/>
      <c r="B365" s="201"/>
      <c r="C365" s="158"/>
      <c r="D365" s="158"/>
      <c r="E365" s="158"/>
      <c r="F365" s="202"/>
      <c r="G365" s="202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</row>
    <row r="366" spans="1:32" ht="15.75" customHeight="1">
      <c r="A366" s="158"/>
      <c r="B366" s="201"/>
      <c r="C366" s="158"/>
      <c r="D366" s="158"/>
      <c r="E366" s="158"/>
      <c r="F366" s="202"/>
      <c r="G366" s="202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</row>
    <row r="367" spans="1:32" ht="15.75" customHeight="1">
      <c r="A367" s="158"/>
      <c r="B367" s="201"/>
      <c r="C367" s="158"/>
      <c r="D367" s="158"/>
      <c r="E367" s="158"/>
      <c r="F367" s="202"/>
      <c r="G367" s="202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</row>
    <row r="368" spans="1:32" ht="15.75" customHeight="1">
      <c r="A368" s="158"/>
      <c r="B368" s="201"/>
      <c r="C368" s="158"/>
      <c r="D368" s="158"/>
      <c r="E368" s="158"/>
      <c r="F368" s="202"/>
      <c r="G368" s="202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</row>
    <row r="369" spans="1:32" ht="15.75" customHeight="1">
      <c r="A369" s="158"/>
      <c r="B369" s="201"/>
      <c r="C369" s="158"/>
      <c r="D369" s="158"/>
      <c r="E369" s="158"/>
      <c r="F369" s="202"/>
      <c r="G369" s="202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</row>
    <row r="370" spans="1:32" ht="15.75" customHeight="1">
      <c r="A370" s="158"/>
      <c r="B370" s="201"/>
      <c r="C370" s="158"/>
      <c r="D370" s="158"/>
      <c r="E370" s="158"/>
      <c r="F370" s="202"/>
      <c r="G370" s="202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</row>
    <row r="371" spans="1:32" ht="15.75" customHeight="1">
      <c r="A371" s="158"/>
      <c r="B371" s="201"/>
      <c r="C371" s="158"/>
      <c r="D371" s="158"/>
      <c r="E371" s="158"/>
      <c r="F371" s="202"/>
      <c r="G371" s="202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</row>
    <row r="372" spans="1:32" ht="15.75" customHeight="1">
      <c r="A372" s="158"/>
      <c r="B372" s="201"/>
      <c r="C372" s="158"/>
      <c r="D372" s="158"/>
      <c r="E372" s="158"/>
      <c r="F372" s="202"/>
      <c r="G372" s="202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</row>
    <row r="373" spans="1:32" ht="15.75" customHeight="1">
      <c r="A373" s="158"/>
      <c r="B373" s="201"/>
      <c r="C373" s="158"/>
      <c r="D373" s="158"/>
      <c r="E373" s="158"/>
      <c r="F373" s="202"/>
      <c r="G373" s="202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</row>
    <row r="374" spans="1:32" ht="15.75" customHeight="1">
      <c r="A374" s="158"/>
      <c r="B374" s="201"/>
      <c r="C374" s="158"/>
      <c r="D374" s="158"/>
      <c r="E374" s="158"/>
      <c r="F374" s="202"/>
      <c r="G374" s="202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</row>
    <row r="375" spans="1:32" ht="15.75" customHeight="1">
      <c r="A375" s="158"/>
      <c r="B375" s="201"/>
      <c r="C375" s="158"/>
      <c r="D375" s="158"/>
      <c r="E375" s="158"/>
      <c r="F375" s="202"/>
      <c r="G375" s="202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</row>
    <row r="376" spans="1:32" ht="15.75" customHeight="1">
      <c r="A376" s="158"/>
      <c r="B376" s="201"/>
      <c r="C376" s="158"/>
      <c r="D376" s="158"/>
      <c r="E376" s="158"/>
      <c r="F376" s="202"/>
      <c r="G376" s="202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</row>
    <row r="377" spans="1:32" ht="15.75" customHeight="1">
      <c r="A377" s="158"/>
      <c r="B377" s="201"/>
      <c r="C377" s="158"/>
      <c r="D377" s="158"/>
      <c r="E377" s="158"/>
      <c r="F377" s="202"/>
      <c r="G377" s="202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</row>
    <row r="378" spans="1:32" ht="15.75" customHeight="1">
      <c r="A378" s="158"/>
      <c r="B378" s="201"/>
      <c r="C378" s="158"/>
      <c r="D378" s="158"/>
      <c r="E378" s="158"/>
      <c r="F378" s="202"/>
      <c r="G378" s="202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</row>
    <row r="379" spans="1:32" ht="15.75" customHeight="1">
      <c r="A379" s="158"/>
      <c r="B379" s="201"/>
      <c r="C379" s="158"/>
      <c r="D379" s="158"/>
      <c r="E379" s="158"/>
      <c r="F379" s="202"/>
      <c r="G379" s="202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</row>
    <row r="380" spans="1:32" ht="15.75" customHeight="1">
      <c r="A380" s="158"/>
      <c r="B380" s="201"/>
      <c r="C380" s="158"/>
      <c r="D380" s="158"/>
      <c r="E380" s="158"/>
      <c r="F380" s="202"/>
      <c r="G380" s="202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</row>
    <row r="381" spans="1:32" ht="15.75" customHeight="1">
      <c r="A381" s="158"/>
      <c r="B381" s="201"/>
      <c r="C381" s="158"/>
      <c r="D381" s="158"/>
      <c r="E381" s="158"/>
      <c r="F381" s="202"/>
      <c r="G381" s="202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</row>
    <row r="382" spans="1:32" ht="15.75" customHeight="1">
      <c r="A382" s="158"/>
      <c r="B382" s="201"/>
      <c r="C382" s="158"/>
      <c r="D382" s="158"/>
      <c r="E382" s="158"/>
      <c r="F382" s="202"/>
      <c r="G382" s="202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</row>
    <row r="383" spans="1:32" ht="15.75" customHeight="1">
      <c r="A383" s="158"/>
      <c r="B383" s="201"/>
      <c r="C383" s="158"/>
      <c r="D383" s="158"/>
      <c r="E383" s="158"/>
      <c r="F383" s="202"/>
      <c r="G383" s="202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</row>
    <row r="384" spans="1:32" ht="15.75" customHeight="1">
      <c r="A384" s="158"/>
      <c r="B384" s="201"/>
      <c r="C384" s="158"/>
      <c r="D384" s="158"/>
      <c r="E384" s="158"/>
      <c r="F384" s="202"/>
      <c r="G384" s="202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</row>
    <row r="385" spans="1:32" ht="15.75" customHeight="1">
      <c r="A385" s="158"/>
      <c r="B385" s="201"/>
      <c r="C385" s="158"/>
      <c r="D385" s="158"/>
      <c r="E385" s="158"/>
      <c r="F385" s="202"/>
      <c r="G385" s="202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</row>
    <row r="386" spans="1:32" ht="15.75" customHeight="1">
      <c r="A386" s="158"/>
      <c r="B386" s="201"/>
      <c r="C386" s="158"/>
      <c r="D386" s="158"/>
      <c r="E386" s="158"/>
      <c r="F386" s="202"/>
      <c r="G386" s="202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</row>
    <row r="387" spans="1:32" ht="15.75" customHeight="1">
      <c r="A387" s="158"/>
      <c r="B387" s="201"/>
      <c r="C387" s="158"/>
      <c r="D387" s="158"/>
      <c r="E387" s="158"/>
      <c r="F387" s="202"/>
      <c r="G387" s="202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</row>
    <row r="388" spans="1:32" ht="15.75" customHeight="1">
      <c r="A388" s="158"/>
      <c r="B388" s="201"/>
      <c r="C388" s="158"/>
      <c r="D388" s="158"/>
      <c r="E388" s="158"/>
      <c r="F388" s="202"/>
      <c r="G388" s="202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</row>
    <row r="389" spans="1:32" ht="15.75" customHeight="1">
      <c r="A389" s="158"/>
      <c r="B389" s="201"/>
      <c r="C389" s="158"/>
      <c r="D389" s="158"/>
      <c r="E389" s="158"/>
      <c r="F389" s="202"/>
      <c r="G389" s="202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</row>
    <row r="390" spans="1:32" ht="15.75" customHeight="1">
      <c r="A390" s="158"/>
      <c r="B390" s="201"/>
      <c r="C390" s="158"/>
      <c r="D390" s="158"/>
      <c r="E390" s="158"/>
      <c r="F390" s="202"/>
      <c r="G390" s="202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</row>
    <row r="391" spans="1:32" ht="15.75" customHeight="1">
      <c r="A391" s="158"/>
      <c r="B391" s="201"/>
      <c r="C391" s="158"/>
      <c r="D391" s="158"/>
      <c r="E391" s="158"/>
      <c r="F391" s="202"/>
      <c r="G391" s="202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</row>
    <row r="392" spans="1:32" ht="15.75" customHeight="1">
      <c r="A392" s="158"/>
      <c r="B392" s="201"/>
      <c r="C392" s="158"/>
      <c r="D392" s="158"/>
      <c r="E392" s="158"/>
      <c r="F392" s="202"/>
      <c r="G392" s="202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</row>
    <row r="393" spans="1:32" ht="15.75" customHeight="1">
      <c r="A393" s="158"/>
      <c r="B393" s="201"/>
      <c r="C393" s="158"/>
      <c r="D393" s="158"/>
      <c r="E393" s="158"/>
      <c r="F393" s="202"/>
      <c r="G393" s="202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</row>
    <row r="394" spans="1:32" ht="15.75" customHeight="1">
      <c r="A394" s="158"/>
      <c r="B394" s="201"/>
      <c r="C394" s="158"/>
      <c r="D394" s="158"/>
      <c r="E394" s="158"/>
      <c r="F394" s="202"/>
      <c r="G394" s="202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</row>
    <row r="395" spans="1:32" ht="15.75" customHeight="1">
      <c r="A395" s="158"/>
      <c r="B395" s="201"/>
      <c r="C395" s="158"/>
      <c r="D395" s="158"/>
      <c r="E395" s="158"/>
      <c r="F395" s="202"/>
      <c r="G395" s="202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</row>
    <row r="396" spans="1:32" ht="15.75" customHeight="1">
      <c r="A396" s="158"/>
      <c r="B396" s="201"/>
      <c r="C396" s="158"/>
      <c r="D396" s="158"/>
      <c r="E396" s="158"/>
      <c r="F396" s="202"/>
      <c r="G396" s="202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</row>
    <row r="397" spans="1:32" ht="15.75" customHeight="1">
      <c r="A397" s="158"/>
      <c r="B397" s="201"/>
      <c r="C397" s="158"/>
      <c r="D397" s="158"/>
      <c r="E397" s="158"/>
      <c r="F397" s="202"/>
      <c r="G397" s="202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</row>
    <row r="398" spans="1:32" ht="15.75" customHeight="1">
      <c r="A398" s="158"/>
      <c r="B398" s="201"/>
      <c r="C398" s="158"/>
      <c r="D398" s="158"/>
      <c r="E398" s="158"/>
      <c r="F398" s="202"/>
      <c r="G398" s="202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</row>
    <row r="399" spans="1:32" ht="15.75" customHeight="1">
      <c r="A399" s="158"/>
      <c r="B399" s="201"/>
      <c r="C399" s="158"/>
      <c r="D399" s="158"/>
      <c r="E399" s="158"/>
      <c r="F399" s="202"/>
      <c r="G399" s="202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</row>
    <row r="400" spans="1:32" ht="15.75" customHeight="1">
      <c r="A400" s="158"/>
      <c r="B400" s="201"/>
      <c r="C400" s="158"/>
      <c r="D400" s="158"/>
      <c r="E400" s="158"/>
      <c r="F400" s="202"/>
      <c r="G400" s="202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</row>
    <row r="401" spans="1:32" ht="15.75" customHeight="1">
      <c r="A401" s="158"/>
      <c r="B401" s="201"/>
      <c r="C401" s="158"/>
      <c r="D401" s="158"/>
      <c r="E401" s="158"/>
      <c r="F401" s="202"/>
      <c r="G401" s="202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</row>
    <row r="402" spans="1:32" ht="15.75" customHeight="1">
      <c r="A402" s="158"/>
      <c r="B402" s="201"/>
      <c r="C402" s="158"/>
      <c r="D402" s="158"/>
      <c r="E402" s="158"/>
      <c r="F402" s="202"/>
      <c r="G402" s="202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</row>
    <row r="403" spans="1:32" ht="15.75" customHeight="1">
      <c r="A403" s="158"/>
      <c r="B403" s="201"/>
      <c r="C403" s="158"/>
      <c r="D403" s="158"/>
      <c r="E403" s="158"/>
      <c r="F403" s="202"/>
      <c r="G403" s="202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</row>
    <row r="404" spans="1:32" ht="15.75" customHeight="1">
      <c r="A404" s="158"/>
      <c r="B404" s="201"/>
      <c r="C404" s="158"/>
      <c r="D404" s="158"/>
      <c r="E404" s="158"/>
      <c r="F404" s="202"/>
      <c r="G404" s="202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</row>
    <row r="405" spans="1:32" ht="15.75" customHeight="1">
      <c r="A405" s="158"/>
      <c r="B405" s="201"/>
      <c r="C405" s="158"/>
      <c r="D405" s="158"/>
      <c r="E405" s="158"/>
      <c r="F405" s="202"/>
      <c r="G405" s="202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</row>
    <row r="406" spans="1:32" ht="15.75" customHeight="1">
      <c r="A406" s="158"/>
      <c r="B406" s="201"/>
      <c r="C406" s="158"/>
      <c r="D406" s="158"/>
      <c r="E406" s="158"/>
      <c r="F406" s="202"/>
      <c r="G406" s="202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</row>
    <row r="407" spans="1:32" ht="15.75" customHeight="1">
      <c r="A407" s="158"/>
      <c r="B407" s="201"/>
      <c r="C407" s="158"/>
      <c r="D407" s="158"/>
      <c r="E407" s="158"/>
      <c r="F407" s="202"/>
      <c r="G407" s="202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</row>
    <row r="408" spans="1:32" ht="15.75" customHeight="1">
      <c r="A408" s="158"/>
      <c r="B408" s="201"/>
      <c r="C408" s="158"/>
      <c r="D408" s="158"/>
      <c r="E408" s="158"/>
      <c r="F408" s="202"/>
      <c r="G408" s="202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</row>
    <row r="409" spans="1:32" ht="15.75" customHeight="1">
      <c r="A409" s="158"/>
      <c r="B409" s="201"/>
      <c r="C409" s="158"/>
      <c r="D409" s="158"/>
      <c r="E409" s="158"/>
      <c r="F409" s="202"/>
      <c r="G409" s="202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</row>
    <row r="410" spans="1:32" ht="15.75" customHeight="1">
      <c r="A410" s="158"/>
      <c r="B410" s="201"/>
      <c r="C410" s="158"/>
      <c r="D410" s="158"/>
      <c r="E410" s="158"/>
      <c r="F410" s="202"/>
      <c r="G410" s="202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</row>
    <row r="411" spans="1:32" ht="15.75" customHeight="1">
      <c r="A411" s="158"/>
      <c r="B411" s="201"/>
      <c r="C411" s="158"/>
      <c r="D411" s="158"/>
      <c r="E411" s="158"/>
      <c r="F411" s="202"/>
      <c r="G411" s="202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</row>
    <row r="412" spans="1:32" ht="15.75" customHeight="1">
      <c r="A412" s="158"/>
      <c r="B412" s="201"/>
      <c r="C412" s="158"/>
      <c r="D412" s="158"/>
      <c r="E412" s="158"/>
      <c r="F412" s="202"/>
      <c r="G412" s="202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</row>
    <row r="413" spans="1:32" ht="15.75" customHeight="1">
      <c r="A413" s="158"/>
      <c r="B413" s="201"/>
      <c r="C413" s="158"/>
      <c r="D413" s="158"/>
      <c r="E413" s="158"/>
      <c r="F413" s="202"/>
      <c r="G413" s="202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</row>
    <row r="414" spans="1:32" ht="15.75" customHeight="1">
      <c r="A414" s="158"/>
      <c r="B414" s="201"/>
      <c r="C414" s="158"/>
      <c r="D414" s="158"/>
      <c r="E414" s="158"/>
      <c r="F414" s="202"/>
      <c r="G414" s="202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</row>
    <row r="415" spans="1:32" ht="15.75" customHeight="1">
      <c r="A415" s="158"/>
      <c r="B415" s="201"/>
      <c r="C415" s="158"/>
      <c r="D415" s="158"/>
      <c r="E415" s="158"/>
      <c r="F415" s="202"/>
      <c r="G415" s="202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</row>
    <row r="416" spans="1:32" ht="15.75" customHeight="1">
      <c r="A416" s="158"/>
      <c r="B416" s="201"/>
      <c r="C416" s="158"/>
      <c r="D416" s="158"/>
      <c r="E416" s="158"/>
      <c r="F416" s="202"/>
      <c r="G416" s="202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</row>
    <row r="417" spans="1:32" ht="15.75" customHeight="1">
      <c r="A417" s="158"/>
      <c r="B417" s="201"/>
      <c r="C417" s="158"/>
      <c r="D417" s="158"/>
      <c r="E417" s="158"/>
      <c r="F417" s="202"/>
      <c r="G417" s="202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</row>
    <row r="418" spans="1:32" ht="15.75" customHeight="1">
      <c r="A418" s="158"/>
      <c r="B418" s="201"/>
      <c r="C418" s="158"/>
      <c r="D418" s="158"/>
      <c r="E418" s="158"/>
      <c r="F418" s="202"/>
      <c r="G418" s="202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</row>
    <row r="419" spans="1:32" ht="15.75" customHeight="1">
      <c r="A419" s="158"/>
      <c r="B419" s="201"/>
      <c r="C419" s="158"/>
      <c r="D419" s="158"/>
      <c r="E419" s="158"/>
      <c r="F419" s="202"/>
      <c r="G419" s="202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</row>
    <row r="420" spans="1:32" ht="15.75" customHeight="1">
      <c r="A420" s="158"/>
      <c r="B420" s="201"/>
      <c r="C420" s="158"/>
      <c r="D420" s="158"/>
      <c r="E420" s="158"/>
      <c r="F420" s="202"/>
      <c r="G420" s="202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</row>
    <row r="421" spans="1:32" ht="15.75" customHeight="1">
      <c r="A421" s="158"/>
      <c r="B421" s="201"/>
      <c r="C421" s="158"/>
      <c r="D421" s="158"/>
      <c r="E421" s="158"/>
      <c r="F421" s="202"/>
      <c r="G421" s="202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</row>
    <row r="422" spans="1:32" ht="15.75" customHeight="1">
      <c r="A422" s="158"/>
      <c r="B422" s="201"/>
      <c r="C422" s="158"/>
      <c r="D422" s="158"/>
      <c r="E422" s="158"/>
      <c r="F422" s="202"/>
      <c r="G422" s="202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</row>
    <row r="423" spans="1:32" ht="15.75" customHeight="1">
      <c r="A423" s="158"/>
      <c r="B423" s="201"/>
      <c r="C423" s="158"/>
      <c r="D423" s="158"/>
      <c r="E423" s="158"/>
      <c r="F423" s="202"/>
      <c r="G423" s="202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</row>
    <row r="424" spans="1:32" ht="15.75" customHeight="1">
      <c r="A424" s="158"/>
      <c r="B424" s="201"/>
      <c r="C424" s="158"/>
      <c r="D424" s="158"/>
      <c r="E424" s="158"/>
      <c r="F424" s="202"/>
      <c r="G424" s="202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</row>
    <row r="425" spans="1:32" ht="15.75" customHeight="1">
      <c r="A425" s="158"/>
      <c r="B425" s="201"/>
      <c r="C425" s="158"/>
      <c r="D425" s="158"/>
      <c r="E425" s="158"/>
      <c r="F425" s="202"/>
      <c r="G425" s="202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</row>
    <row r="426" spans="1:32" ht="15.75" customHeight="1">
      <c r="A426" s="158"/>
      <c r="B426" s="201"/>
      <c r="C426" s="158"/>
      <c r="D426" s="158"/>
      <c r="E426" s="158"/>
      <c r="F426" s="202"/>
      <c r="G426" s="202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</row>
    <row r="427" spans="1:32" ht="15.75" customHeight="1">
      <c r="A427" s="158"/>
      <c r="B427" s="201"/>
      <c r="C427" s="158"/>
      <c r="D427" s="158"/>
      <c r="E427" s="158"/>
      <c r="F427" s="202"/>
      <c r="G427" s="202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</row>
    <row r="428" spans="1:32" ht="15.75" customHeight="1">
      <c r="A428" s="158"/>
      <c r="B428" s="201"/>
      <c r="C428" s="158"/>
      <c r="D428" s="158"/>
      <c r="E428" s="158"/>
      <c r="F428" s="202"/>
      <c r="G428" s="202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</row>
    <row r="429" spans="1:32" ht="15.75" customHeight="1">
      <c r="A429" s="158"/>
      <c r="B429" s="201"/>
      <c r="C429" s="158"/>
      <c r="D429" s="158"/>
      <c r="E429" s="158"/>
      <c r="F429" s="202"/>
      <c r="G429" s="202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</row>
    <row r="430" spans="1:32" ht="15.75" customHeight="1">
      <c r="A430" s="158"/>
      <c r="B430" s="201"/>
      <c r="C430" s="158"/>
      <c r="D430" s="158"/>
      <c r="E430" s="158"/>
      <c r="F430" s="202"/>
      <c r="G430" s="202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</row>
    <row r="431" spans="1:32" ht="15.75" customHeight="1">
      <c r="A431" s="158"/>
      <c r="B431" s="201"/>
      <c r="C431" s="158"/>
      <c r="D431" s="158"/>
      <c r="E431" s="158"/>
      <c r="F431" s="202"/>
      <c r="G431" s="202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</row>
    <row r="432" spans="1:32" ht="15.75" customHeight="1">
      <c r="A432" s="158"/>
      <c r="B432" s="201"/>
      <c r="C432" s="158"/>
      <c r="D432" s="158"/>
      <c r="E432" s="158"/>
      <c r="F432" s="202"/>
      <c r="G432" s="202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</row>
    <row r="433" spans="1:32" ht="15.75" customHeight="1">
      <c r="A433" s="158"/>
      <c r="B433" s="201"/>
      <c r="C433" s="158"/>
      <c r="D433" s="158"/>
      <c r="E433" s="158"/>
      <c r="F433" s="202"/>
      <c r="G433" s="202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</row>
    <row r="434" spans="1:32" ht="15.75" customHeight="1">
      <c r="A434" s="158"/>
      <c r="B434" s="201"/>
      <c r="C434" s="158"/>
      <c r="D434" s="158"/>
      <c r="E434" s="158"/>
      <c r="F434" s="202"/>
      <c r="G434" s="202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</row>
    <row r="435" spans="1:32" ht="15.75" customHeight="1">
      <c r="A435" s="158"/>
      <c r="B435" s="201"/>
      <c r="C435" s="158"/>
      <c r="D435" s="158"/>
      <c r="E435" s="158"/>
      <c r="F435" s="202"/>
      <c r="G435" s="202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</row>
    <row r="436" spans="1:32" ht="15.75" customHeight="1">
      <c r="A436" s="158"/>
      <c r="B436" s="201"/>
      <c r="C436" s="158"/>
      <c r="D436" s="158"/>
      <c r="E436" s="158"/>
      <c r="F436" s="202"/>
      <c r="G436" s="202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</row>
    <row r="437" spans="1:32" ht="15.75" customHeight="1">
      <c r="A437" s="158"/>
      <c r="B437" s="201"/>
      <c r="C437" s="158"/>
      <c r="D437" s="158"/>
      <c r="E437" s="158"/>
      <c r="F437" s="202"/>
      <c r="G437" s="202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</row>
    <row r="438" spans="1:32" ht="15.75" customHeight="1">
      <c r="A438" s="158"/>
      <c r="B438" s="201"/>
      <c r="C438" s="158"/>
      <c r="D438" s="158"/>
      <c r="E438" s="158"/>
      <c r="F438" s="202"/>
      <c r="G438" s="202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</row>
    <row r="439" spans="1:32" ht="15.75" customHeight="1">
      <c r="A439" s="158"/>
      <c r="B439" s="201"/>
      <c r="C439" s="158"/>
      <c r="D439" s="158"/>
      <c r="E439" s="158"/>
      <c r="F439" s="202"/>
      <c r="G439" s="202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</row>
    <row r="440" spans="1:32" ht="15.75" customHeight="1">
      <c r="A440" s="158"/>
      <c r="B440" s="201"/>
      <c r="C440" s="158"/>
      <c r="D440" s="158"/>
      <c r="E440" s="158"/>
      <c r="F440" s="202"/>
      <c r="G440" s="202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</row>
    <row r="441" spans="1:32" ht="15.75" customHeight="1">
      <c r="A441" s="158"/>
      <c r="B441" s="201"/>
      <c r="C441" s="158"/>
      <c r="D441" s="158"/>
      <c r="E441" s="158"/>
      <c r="F441" s="202"/>
      <c r="G441" s="202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</row>
    <row r="442" spans="1:32" ht="15.75" customHeight="1">
      <c r="A442" s="158"/>
      <c r="B442" s="201"/>
      <c r="C442" s="158"/>
      <c r="D442" s="158"/>
      <c r="E442" s="158"/>
      <c r="F442" s="202"/>
      <c r="G442" s="202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</row>
    <row r="443" spans="1:32" ht="15.75" customHeight="1">
      <c r="A443" s="158"/>
      <c r="B443" s="201"/>
      <c r="C443" s="158"/>
      <c r="D443" s="158"/>
      <c r="E443" s="158"/>
      <c r="F443" s="202"/>
      <c r="G443" s="202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</row>
    <row r="444" spans="1:32" ht="15.75" customHeight="1">
      <c r="A444" s="158"/>
      <c r="B444" s="201"/>
      <c r="C444" s="158"/>
      <c r="D444" s="158"/>
      <c r="E444" s="158"/>
      <c r="F444" s="202"/>
      <c r="G444" s="202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</row>
    <row r="445" spans="1:32" ht="15.75" customHeight="1">
      <c r="A445" s="158"/>
      <c r="B445" s="201"/>
      <c r="C445" s="158"/>
      <c r="D445" s="158"/>
      <c r="E445" s="158"/>
      <c r="F445" s="202"/>
      <c r="G445" s="202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</row>
    <row r="446" spans="1:32" ht="15.75" customHeight="1">
      <c r="A446" s="158"/>
      <c r="B446" s="201"/>
      <c r="C446" s="158"/>
      <c r="D446" s="158"/>
      <c r="E446" s="158"/>
      <c r="F446" s="202"/>
      <c r="G446" s="202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</row>
    <row r="447" spans="1:32" ht="15.75" customHeight="1">
      <c r="A447" s="158"/>
      <c r="B447" s="201"/>
      <c r="C447" s="158"/>
      <c r="D447" s="158"/>
      <c r="E447" s="158"/>
      <c r="F447" s="202"/>
      <c r="G447" s="202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</row>
    <row r="448" spans="1:32" ht="15.75" customHeight="1">
      <c r="A448" s="158"/>
      <c r="B448" s="201"/>
      <c r="C448" s="158"/>
      <c r="D448" s="158"/>
      <c r="E448" s="158"/>
      <c r="F448" s="202"/>
      <c r="G448" s="202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</row>
    <row r="449" spans="1:32" ht="15.75" customHeight="1">
      <c r="A449" s="158"/>
      <c r="B449" s="201"/>
      <c r="C449" s="158"/>
      <c r="D449" s="158"/>
      <c r="E449" s="158"/>
      <c r="F449" s="202"/>
      <c r="G449" s="202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</row>
    <row r="450" spans="1:32" ht="15.75" customHeight="1">
      <c r="A450" s="158"/>
      <c r="B450" s="201"/>
      <c r="C450" s="158"/>
      <c r="D450" s="158"/>
      <c r="E450" s="158"/>
      <c r="F450" s="202"/>
      <c r="G450" s="202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</row>
    <row r="451" spans="1:32" ht="15.75" customHeight="1">
      <c r="A451" s="158"/>
      <c r="B451" s="201"/>
      <c r="C451" s="158"/>
      <c r="D451" s="158"/>
      <c r="E451" s="158"/>
      <c r="F451" s="202"/>
      <c r="G451" s="202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</row>
    <row r="452" spans="1:32" ht="15.75" customHeight="1">
      <c r="A452" s="158"/>
      <c r="B452" s="201"/>
      <c r="C452" s="158"/>
      <c r="D452" s="158"/>
      <c r="E452" s="158"/>
      <c r="F452" s="202"/>
      <c r="G452" s="202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</row>
    <row r="453" spans="1:32" ht="15.75" customHeight="1">
      <c r="A453" s="158"/>
      <c r="B453" s="201"/>
      <c r="C453" s="158"/>
      <c r="D453" s="158"/>
      <c r="E453" s="158"/>
      <c r="F453" s="202"/>
      <c r="G453" s="202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</row>
    <row r="454" spans="1:32" ht="15.75" customHeight="1">
      <c r="A454" s="158"/>
      <c r="B454" s="201"/>
      <c r="C454" s="158"/>
      <c r="D454" s="158"/>
      <c r="E454" s="158"/>
      <c r="F454" s="202"/>
      <c r="G454" s="202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</row>
    <row r="455" spans="1:32" ht="15.75" customHeight="1">
      <c r="A455" s="158"/>
      <c r="B455" s="201"/>
      <c r="C455" s="158"/>
      <c r="D455" s="158"/>
      <c r="E455" s="158"/>
      <c r="F455" s="202"/>
      <c r="G455" s="202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</row>
    <row r="456" spans="1:32" ht="15.75" customHeight="1">
      <c r="A456" s="158"/>
      <c r="B456" s="201"/>
      <c r="C456" s="158"/>
      <c r="D456" s="158"/>
      <c r="E456" s="158"/>
      <c r="F456" s="202"/>
      <c r="G456" s="202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</row>
    <row r="457" spans="1:32" ht="15.75" customHeight="1">
      <c r="A457" s="158"/>
      <c r="B457" s="201"/>
      <c r="C457" s="158"/>
      <c r="D457" s="158"/>
      <c r="E457" s="158"/>
      <c r="F457" s="202"/>
      <c r="G457" s="202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</row>
    <row r="458" spans="1:32" ht="15.75" customHeight="1">
      <c r="A458" s="158"/>
      <c r="B458" s="201"/>
      <c r="C458" s="158"/>
      <c r="D458" s="158"/>
      <c r="E458" s="158"/>
      <c r="F458" s="202"/>
      <c r="G458" s="202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</row>
    <row r="459" spans="1:32" ht="15.75" customHeight="1">
      <c r="A459" s="158"/>
      <c r="B459" s="201"/>
      <c r="C459" s="158"/>
      <c r="D459" s="158"/>
      <c r="E459" s="158"/>
      <c r="F459" s="202"/>
      <c r="G459" s="202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</row>
    <row r="460" spans="1:32" ht="15.75" customHeight="1">
      <c r="A460" s="158"/>
      <c r="B460" s="201"/>
      <c r="C460" s="158"/>
      <c r="D460" s="158"/>
      <c r="E460" s="158"/>
      <c r="F460" s="202"/>
      <c r="G460" s="202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</row>
    <row r="461" spans="1:32" ht="15.75" customHeight="1">
      <c r="A461" s="158"/>
      <c r="B461" s="201"/>
      <c r="C461" s="158"/>
      <c r="D461" s="158"/>
      <c r="E461" s="158"/>
      <c r="F461" s="202"/>
      <c r="G461" s="202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</row>
    <row r="462" spans="1:32" ht="15.75" customHeight="1">
      <c r="A462" s="158"/>
      <c r="B462" s="201"/>
      <c r="C462" s="158"/>
      <c r="D462" s="158"/>
      <c r="E462" s="158"/>
      <c r="F462" s="202"/>
      <c r="G462" s="202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</row>
    <row r="463" spans="1:32" ht="15.75" customHeight="1">
      <c r="A463" s="158"/>
      <c r="B463" s="201"/>
      <c r="C463" s="158"/>
      <c r="D463" s="158"/>
      <c r="E463" s="158"/>
      <c r="F463" s="202"/>
      <c r="G463" s="202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</row>
    <row r="464" spans="1:32" ht="15.75" customHeight="1">
      <c r="A464" s="158"/>
      <c r="B464" s="201"/>
      <c r="C464" s="158"/>
      <c r="D464" s="158"/>
      <c r="E464" s="158"/>
      <c r="F464" s="202"/>
      <c r="G464" s="202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</row>
    <row r="465" spans="1:32" ht="15.75" customHeight="1">
      <c r="A465" s="158"/>
      <c r="B465" s="201"/>
      <c r="C465" s="158"/>
      <c r="D465" s="158"/>
      <c r="E465" s="158"/>
      <c r="F465" s="202"/>
      <c r="G465" s="202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</row>
    <row r="466" spans="1:32" ht="15.75" customHeight="1">
      <c r="A466" s="158"/>
      <c r="B466" s="201"/>
      <c r="C466" s="158"/>
      <c r="D466" s="158"/>
      <c r="E466" s="158"/>
      <c r="F466" s="202"/>
      <c r="G466" s="202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</row>
    <row r="467" spans="1:32" ht="15.75" customHeight="1">
      <c r="A467" s="158"/>
      <c r="B467" s="201"/>
      <c r="C467" s="158"/>
      <c r="D467" s="158"/>
      <c r="E467" s="158"/>
      <c r="F467" s="202"/>
      <c r="G467" s="202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</row>
    <row r="468" spans="1:32" ht="15.75" customHeight="1">
      <c r="A468" s="158"/>
      <c r="B468" s="201"/>
      <c r="C468" s="158"/>
      <c r="D468" s="158"/>
      <c r="E468" s="158"/>
      <c r="F468" s="202"/>
      <c r="G468" s="202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</row>
    <row r="469" spans="1:32" ht="15.75" customHeight="1">
      <c r="A469" s="158"/>
      <c r="B469" s="201"/>
      <c r="C469" s="158"/>
      <c r="D469" s="158"/>
      <c r="E469" s="158"/>
      <c r="F469" s="202"/>
      <c r="G469" s="202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</row>
    <row r="470" spans="1:32" ht="15.75" customHeight="1">
      <c r="A470" s="158"/>
      <c r="B470" s="201"/>
      <c r="C470" s="158"/>
      <c r="D470" s="158"/>
      <c r="E470" s="158"/>
      <c r="F470" s="202"/>
      <c r="G470" s="202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</row>
    <row r="471" spans="1:32" ht="15.75" customHeight="1">
      <c r="A471" s="158"/>
      <c r="B471" s="201"/>
      <c r="C471" s="158"/>
      <c r="D471" s="158"/>
      <c r="E471" s="158"/>
      <c r="F471" s="202"/>
      <c r="G471" s="202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</row>
    <row r="472" spans="1:32" ht="15.75" customHeight="1">
      <c r="A472" s="158"/>
      <c r="B472" s="201"/>
      <c r="C472" s="158"/>
      <c r="D472" s="158"/>
      <c r="E472" s="158"/>
      <c r="F472" s="202"/>
      <c r="G472" s="202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</row>
    <row r="473" spans="1:32" ht="15.75" customHeight="1">
      <c r="A473" s="158"/>
      <c r="B473" s="201"/>
      <c r="C473" s="158"/>
      <c r="D473" s="158"/>
      <c r="E473" s="158"/>
      <c r="F473" s="202"/>
      <c r="G473" s="202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</row>
    <row r="474" spans="1:32" ht="15.75" customHeight="1">
      <c r="A474" s="158"/>
      <c r="B474" s="201"/>
      <c r="C474" s="158"/>
      <c r="D474" s="158"/>
      <c r="E474" s="158"/>
      <c r="F474" s="202"/>
      <c r="G474" s="202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</row>
    <row r="475" spans="1:32" ht="15.75" customHeight="1">
      <c r="A475" s="158"/>
      <c r="B475" s="201"/>
      <c r="C475" s="158"/>
      <c r="D475" s="158"/>
      <c r="E475" s="158"/>
      <c r="F475" s="202"/>
      <c r="G475" s="202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</row>
    <row r="476" spans="1:32" ht="15.75" customHeight="1">
      <c r="A476" s="158"/>
      <c r="B476" s="201"/>
      <c r="C476" s="158"/>
      <c r="D476" s="158"/>
      <c r="E476" s="158"/>
      <c r="F476" s="202"/>
      <c r="G476" s="202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</row>
    <row r="477" spans="1:32" ht="15.75" customHeight="1">
      <c r="A477" s="158"/>
      <c r="B477" s="201"/>
      <c r="C477" s="158"/>
      <c r="D477" s="158"/>
      <c r="E477" s="158"/>
      <c r="F477" s="202"/>
      <c r="G477" s="202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</row>
    <row r="478" spans="1:32" ht="15.75" customHeight="1">
      <c r="A478" s="158"/>
      <c r="B478" s="201"/>
      <c r="C478" s="158"/>
      <c r="D478" s="158"/>
      <c r="E478" s="158"/>
      <c r="F478" s="202"/>
      <c r="G478" s="202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</row>
    <row r="479" spans="1:32" ht="15.75" customHeight="1">
      <c r="A479" s="158"/>
      <c r="B479" s="201"/>
      <c r="C479" s="158"/>
      <c r="D479" s="158"/>
      <c r="E479" s="158"/>
      <c r="F479" s="202"/>
      <c r="G479" s="202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</row>
    <row r="480" spans="1:32" ht="15.75" customHeight="1">
      <c r="A480" s="158"/>
      <c r="B480" s="201"/>
      <c r="C480" s="158"/>
      <c r="D480" s="158"/>
      <c r="E480" s="158"/>
      <c r="F480" s="202"/>
      <c r="G480" s="202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</row>
    <row r="481" spans="1:32" ht="15.75" customHeight="1">
      <c r="A481" s="158"/>
      <c r="B481" s="201"/>
      <c r="C481" s="158"/>
      <c r="D481" s="158"/>
      <c r="E481" s="158"/>
      <c r="F481" s="202"/>
      <c r="G481" s="202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</row>
    <row r="482" spans="1:32" ht="15.75" customHeight="1">
      <c r="A482" s="158"/>
      <c r="B482" s="201"/>
      <c r="C482" s="158"/>
      <c r="D482" s="158"/>
      <c r="E482" s="158"/>
      <c r="F482" s="202"/>
      <c r="G482" s="202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</row>
    <row r="483" spans="1:32" ht="15.75" customHeight="1">
      <c r="A483" s="158"/>
      <c r="B483" s="201"/>
      <c r="C483" s="158"/>
      <c r="D483" s="158"/>
      <c r="E483" s="158"/>
      <c r="F483" s="202"/>
      <c r="G483" s="202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</row>
    <row r="484" spans="1:32" ht="15.75" customHeight="1">
      <c r="A484" s="158"/>
      <c r="B484" s="201"/>
      <c r="C484" s="158"/>
      <c r="D484" s="158"/>
      <c r="E484" s="158"/>
      <c r="F484" s="202"/>
      <c r="G484" s="202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</row>
    <row r="485" spans="1:32" ht="15.75" customHeight="1">
      <c r="A485" s="158"/>
      <c r="B485" s="201"/>
      <c r="C485" s="158"/>
      <c r="D485" s="158"/>
      <c r="E485" s="158"/>
      <c r="F485" s="202"/>
      <c r="G485" s="202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</row>
    <row r="486" spans="1:32" ht="15.75" customHeight="1">
      <c r="A486" s="158"/>
      <c r="B486" s="201"/>
      <c r="C486" s="158"/>
      <c r="D486" s="158"/>
      <c r="E486" s="158"/>
      <c r="F486" s="202"/>
      <c r="G486" s="202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</row>
    <row r="487" spans="1:32" ht="15.75" customHeight="1">
      <c r="A487" s="158"/>
      <c r="B487" s="201"/>
      <c r="C487" s="158"/>
      <c r="D487" s="158"/>
      <c r="E487" s="158"/>
      <c r="F487" s="202"/>
      <c r="G487" s="202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</row>
    <row r="488" spans="1:32" ht="15.75" customHeight="1">
      <c r="A488" s="158"/>
      <c r="B488" s="201"/>
      <c r="C488" s="158"/>
      <c r="D488" s="158"/>
      <c r="E488" s="158"/>
      <c r="F488" s="202"/>
      <c r="G488" s="202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</row>
    <row r="489" spans="1:32" ht="15.75" customHeight="1">
      <c r="A489" s="158"/>
      <c r="B489" s="201"/>
      <c r="C489" s="158"/>
      <c r="D489" s="158"/>
      <c r="E489" s="158"/>
      <c r="F489" s="202"/>
      <c r="G489" s="202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</row>
    <row r="490" spans="1:32" ht="15.75" customHeight="1">
      <c r="A490" s="158"/>
      <c r="B490" s="201"/>
      <c r="C490" s="158"/>
      <c r="D490" s="158"/>
      <c r="E490" s="158"/>
      <c r="F490" s="202"/>
      <c r="G490" s="202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</row>
    <row r="491" spans="1:32" ht="15.75" customHeight="1">
      <c r="A491" s="158"/>
      <c r="B491" s="201"/>
      <c r="C491" s="158"/>
      <c r="D491" s="158"/>
      <c r="E491" s="158"/>
      <c r="F491" s="202"/>
      <c r="G491" s="202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</row>
    <row r="492" spans="1:32" ht="15.75" customHeight="1">
      <c r="A492" s="158"/>
      <c r="B492" s="201"/>
      <c r="C492" s="158"/>
      <c r="D492" s="158"/>
      <c r="E492" s="158"/>
      <c r="F492" s="202"/>
      <c r="G492" s="202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</row>
    <row r="493" spans="1:32" ht="15.75" customHeight="1">
      <c r="A493" s="158"/>
      <c r="B493" s="201"/>
      <c r="C493" s="158"/>
      <c r="D493" s="158"/>
      <c r="E493" s="158"/>
      <c r="F493" s="202"/>
      <c r="G493" s="202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</row>
    <row r="494" spans="1:32" ht="15.75" customHeight="1">
      <c r="A494" s="158"/>
      <c r="B494" s="201"/>
      <c r="C494" s="158"/>
      <c r="D494" s="158"/>
      <c r="E494" s="158"/>
      <c r="F494" s="202"/>
      <c r="G494" s="202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</row>
    <row r="495" spans="1:32" ht="15.75" customHeight="1">
      <c r="A495" s="158"/>
      <c r="B495" s="201"/>
      <c r="C495" s="158"/>
      <c r="D495" s="158"/>
      <c r="E495" s="158"/>
      <c r="F495" s="202"/>
      <c r="G495" s="202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</row>
    <row r="496" spans="1:32" ht="15.75" customHeight="1">
      <c r="A496" s="158"/>
      <c r="B496" s="201"/>
      <c r="C496" s="158"/>
      <c r="D496" s="158"/>
      <c r="E496" s="158"/>
      <c r="F496" s="202"/>
      <c r="G496" s="202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</row>
    <row r="497" spans="1:32" ht="15.75" customHeight="1">
      <c r="A497" s="158"/>
      <c r="B497" s="201"/>
      <c r="C497" s="158"/>
      <c r="D497" s="158"/>
      <c r="E497" s="158"/>
      <c r="F497" s="202"/>
      <c r="G497" s="202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</row>
    <row r="498" spans="1:32" ht="15.75" customHeight="1">
      <c r="A498" s="158"/>
      <c r="B498" s="201"/>
      <c r="C498" s="158"/>
      <c r="D498" s="158"/>
      <c r="E498" s="158"/>
      <c r="F498" s="202"/>
      <c r="G498" s="202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</row>
    <row r="499" spans="1:32" ht="15.75" customHeight="1">
      <c r="A499" s="158"/>
      <c r="B499" s="201"/>
      <c r="C499" s="158"/>
      <c r="D499" s="158"/>
      <c r="E499" s="158"/>
      <c r="F499" s="202"/>
      <c r="G499" s="202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</row>
    <row r="500" spans="1:32" ht="15.75" customHeight="1">
      <c r="A500" s="158"/>
      <c r="B500" s="201"/>
      <c r="C500" s="158"/>
      <c r="D500" s="158"/>
      <c r="E500" s="158"/>
      <c r="F500" s="202"/>
      <c r="G500" s="202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</row>
    <row r="501" spans="1:32" ht="15.75" customHeight="1">
      <c r="A501" s="158"/>
      <c r="B501" s="201"/>
      <c r="C501" s="158"/>
      <c r="D501" s="158"/>
      <c r="E501" s="158"/>
      <c r="F501" s="202"/>
      <c r="G501" s="202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</row>
    <row r="502" spans="1:32" ht="15.75" customHeight="1">
      <c r="A502" s="158"/>
      <c r="B502" s="201"/>
      <c r="C502" s="158"/>
      <c r="D502" s="158"/>
      <c r="E502" s="158"/>
      <c r="F502" s="202"/>
      <c r="G502" s="202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</row>
    <row r="503" spans="1:32" ht="15.75" customHeight="1">
      <c r="A503" s="158"/>
      <c r="B503" s="201"/>
      <c r="C503" s="158"/>
      <c r="D503" s="158"/>
      <c r="E503" s="158"/>
      <c r="F503" s="202"/>
      <c r="G503" s="202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</row>
    <row r="504" spans="1:32" ht="15.75" customHeight="1">
      <c r="A504" s="158"/>
      <c r="B504" s="201"/>
      <c r="C504" s="158"/>
      <c r="D504" s="158"/>
      <c r="E504" s="158"/>
      <c r="F504" s="202"/>
      <c r="G504" s="202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</row>
    <row r="505" spans="1:32" ht="15.75" customHeight="1">
      <c r="A505" s="158"/>
      <c r="B505" s="201"/>
      <c r="C505" s="158"/>
      <c r="D505" s="158"/>
      <c r="E505" s="158"/>
      <c r="F505" s="202"/>
      <c r="G505" s="202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</row>
    <row r="506" spans="1:32" ht="15.75" customHeight="1">
      <c r="A506" s="158"/>
      <c r="B506" s="201"/>
      <c r="C506" s="158"/>
      <c r="D506" s="158"/>
      <c r="E506" s="158"/>
      <c r="F506" s="202"/>
      <c r="G506" s="202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</row>
    <row r="507" spans="1:32" ht="15.75" customHeight="1">
      <c r="A507" s="158"/>
      <c r="B507" s="201"/>
      <c r="C507" s="158"/>
      <c r="D507" s="158"/>
      <c r="E507" s="158"/>
      <c r="F507" s="202"/>
      <c r="G507" s="202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</row>
    <row r="508" spans="1:32" ht="15.75" customHeight="1">
      <c r="A508" s="158"/>
      <c r="B508" s="201"/>
      <c r="C508" s="158"/>
      <c r="D508" s="158"/>
      <c r="E508" s="158"/>
      <c r="F508" s="202"/>
      <c r="G508" s="202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</row>
    <row r="509" spans="1:32" ht="15.75" customHeight="1">
      <c r="A509" s="158"/>
      <c r="B509" s="201"/>
      <c r="C509" s="158"/>
      <c r="D509" s="158"/>
      <c r="E509" s="158"/>
      <c r="F509" s="202"/>
      <c r="G509" s="202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</row>
    <row r="510" spans="1:32" ht="15.75" customHeight="1">
      <c r="A510" s="158"/>
      <c r="B510" s="201"/>
      <c r="C510" s="158"/>
      <c r="D510" s="158"/>
      <c r="E510" s="158"/>
      <c r="F510" s="202"/>
      <c r="G510" s="202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</row>
    <row r="511" spans="1:32" ht="15.75" customHeight="1">
      <c r="A511" s="158"/>
      <c r="B511" s="201"/>
      <c r="C511" s="158"/>
      <c r="D511" s="158"/>
      <c r="E511" s="158"/>
      <c r="F511" s="202"/>
      <c r="G511" s="202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</row>
    <row r="512" spans="1:32" ht="15.75" customHeight="1">
      <c r="A512" s="158"/>
      <c r="B512" s="201"/>
      <c r="C512" s="158"/>
      <c r="D512" s="158"/>
      <c r="E512" s="158"/>
      <c r="F512" s="202"/>
      <c r="G512" s="202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</row>
    <row r="513" spans="1:32" ht="15.75" customHeight="1">
      <c r="A513" s="158"/>
      <c r="B513" s="201"/>
      <c r="C513" s="158"/>
      <c r="D513" s="158"/>
      <c r="E513" s="158"/>
      <c r="F513" s="202"/>
      <c r="G513" s="202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</row>
    <row r="514" spans="1:32" ht="15.75" customHeight="1">
      <c r="A514" s="158"/>
      <c r="B514" s="201"/>
      <c r="C514" s="158"/>
      <c r="D514" s="158"/>
      <c r="E514" s="158"/>
      <c r="F514" s="202"/>
      <c r="G514" s="202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</row>
    <row r="515" spans="1:32" ht="15.75" customHeight="1">
      <c r="A515" s="158"/>
      <c r="B515" s="201"/>
      <c r="C515" s="158"/>
      <c r="D515" s="158"/>
      <c r="E515" s="158"/>
      <c r="F515" s="202"/>
      <c r="G515" s="202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</row>
    <row r="516" spans="1:32" ht="15.75" customHeight="1">
      <c r="A516" s="158"/>
      <c r="B516" s="201"/>
      <c r="C516" s="158"/>
      <c r="D516" s="158"/>
      <c r="E516" s="158"/>
      <c r="F516" s="202"/>
      <c r="G516" s="202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</row>
    <row r="517" spans="1:32" ht="15.75" customHeight="1">
      <c r="A517" s="158"/>
      <c r="B517" s="201"/>
      <c r="C517" s="158"/>
      <c r="D517" s="158"/>
      <c r="E517" s="158"/>
      <c r="F517" s="202"/>
      <c r="G517" s="202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</row>
    <row r="518" spans="1:32" ht="15.75" customHeight="1">
      <c r="A518" s="158"/>
      <c r="B518" s="201"/>
      <c r="C518" s="158"/>
      <c r="D518" s="158"/>
      <c r="E518" s="158"/>
      <c r="F518" s="202"/>
      <c r="G518" s="202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</row>
    <row r="519" spans="1:32" ht="15.75" customHeight="1">
      <c r="A519" s="158"/>
      <c r="B519" s="201"/>
      <c r="C519" s="158"/>
      <c r="D519" s="158"/>
      <c r="E519" s="158"/>
      <c r="F519" s="202"/>
      <c r="G519" s="202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</row>
    <row r="520" spans="1:32" ht="15.75" customHeight="1">
      <c r="A520" s="158"/>
      <c r="B520" s="201"/>
      <c r="C520" s="158"/>
      <c r="D520" s="158"/>
      <c r="E520" s="158"/>
      <c r="F520" s="202"/>
      <c r="G520" s="202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</row>
    <row r="521" spans="1:32" ht="15.75" customHeight="1">
      <c r="A521" s="158"/>
      <c r="B521" s="201"/>
      <c r="C521" s="158"/>
      <c r="D521" s="158"/>
      <c r="E521" s="158"/>
      <c r="F521" s="202"/>
      <c r="G521" s="202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</row>
    <row r="522" spans="1:32" ht="15.75" customHeight="1">
      <c r="A522" s="158"/>
      <c r="B522" s="201"/>
      <c r="C522" s="158"/>
      <c r="D522" s="158"/>
      <c r="E522" s="158"/>
      <c r="F522" s="202"/>
      <c r="G522" s="202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</row>
    <row r="523" spans="1:32" ht="15.75" customHeight="1">
      <c r="A523" s="158"/>
      <c r="B523" s="201"/>
      <c r="C523" s="158"/>
      <c r="D523" s="158"/>
      <c r="E523" s="158"/>
      <c r="F523" s="202"/>
      <c r="G523" s="202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</row>
    <row r="524" spans="1:32" ht="15.75" customHeight="1">
      <c r="A524" s="158"/>
      <c r="B524" s="201"/>
      <c r="C524" s="158"/>
      <c r="D524" s="158"/>
      <c r="E524" s="158"/>
      <c r="F524" s="202"/>
      <c r="G524" s="202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</row>
    <row r="525" spans="1:32" ht="15.75" customHeight="1">
      <c r="A525" s="158"/>
      <c r="B525" s="201"/>
      <c r="C525" s="158"/>
      <c r="D525" s="158"/>
      <c r="E525" s="158"/>
      <c r="F525" s="202"/>
      <c r="G525" s="202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</row>
    <row r="526" spans="1:32" ht="15.75" customHeight="1">
      <c r="A526" s="158"/>
      <c r="B526" s="201"/>
      <c r="C526" s="158"/>
      <c r="D526" s="158"/>
      <c r="E526" s="158"/>
      <c r="F526" s="202"/>
      <c r="G526" s="202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</row>
    <row r="527" spans="1:32" ht="15.75" customHeight="1">
      <c r="A527" s="158"/>
      <c r="B527" s="201"/>
      <c r="C527" s="158"/>
      <c r="D527" s="158"/>
      <c r="E527" s="158"/>
      <c r="F527" s="202"/>
      <c r="G527" s="202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</row>
    <row r="528" spans="1:32" ht="15.75" customHeight="1">
      <c r="A528" s="158"/>
      <c r="B528" s="201"/>
      <c r="C528" s="158"/>
      <c r="D528" s="158"/>
      <c r="E528" s="158"/>
      <c r="F528" s="202"/>
      <c r="G528" s="202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</row>
    <row r="529" spans="1:32" ht="15.75" customHeight="1">
      <c r="A529" s="158"/>
      <c r="B529" s="201"/>
      <c r="C529" s="158"/>
      <c r="D529" s="158"/>
      <c r="E529" s="158"/>
      <c r="F529" s="202"/>
      <c r="G529" s="202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</row>
    <row r="530" spans="1:32" ht="15.75" customHeight="1">
      <c r="A530" s="158"/>
      <c r="B530" s="201"/>
      <c r="C530" s="158"/>
      <c r="D530" s="158"/>
      <c r="E530" s="158"/>
      <c r="F530" s="202"/>
      <c r="G530" s="202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</row>
    <row r="531" spans="1:32" ht="15.75" customHeight="1">
      <c r="A531" s="158"/>
      <c r="B531" s="201"/>
      <c r="C531" s="158"/>
      <c r="D531" s="158"/>
      <c r="E531" s="158"/>
      <c r="F531" s="202"/>
      <c r="G531" s="202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</row>
    <row r="532" spans="1:32" ht="15.75" customHeight="1">
      <c r="A532" s="158"/>
      <c r="B532" s="201"/>
      <c r="C532" s="158"/>
      <c r="D532" s="158"/>
      <c r="E532" s="158"/>
      <c r="F532" s="202"/>
      <c r="G532" s="202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</row>
    <row r="533" spans="1:32" ht="15.75" customHeight="1">
      <c r="A533" s="158"/>
      <c r="B533" s="201"/>
      <c r="C533" s="158"/>
      <c r="D533" s="158"/>
      <c r="E533" s="158"/>
      <c r="F533" s="202"/>
      <c r="G533" s="202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</row>
    <row r="534" spans="1:32" ht="15.75" customHeight="1">
      <c r="A534" s="158"/>
      <c r="B534" s="201"/>
      <c r="C534" s="158"/>
      <c r="D534" s="158"/>
      <c r="E534" s="158"/>
      <c r="F534" s="202"/>
      <c r="G534" s="202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</row>
    <row r="535" spans="1:32" ht="15.75" customHeight="1">
      <c r="A535" s="158"/>
      <c r="B535" s="201"/>
      <c r="C535" s="158"/>
      <c r="D535" s="158"/>
      <c r="E535" s="158"/>
      <c r="F535" s="202"/>
      <c r="G535" s="202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</row>
    <row r="536" spans="1:32" ht="15.75" customHeight="1">
      <c r="A536" s="158"/>
      <c r="B536" s="201"/>
      <c r="C536" s="158"/>
      <c r="D536" s="158"/>
      <c r="E536" s="158"/>
      <c r="F536" s="202"/>
      <c r="G536" s="202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</row>
    <row r="537" spans="1:32" ht="15.75" customHeight="1">
      <c r="A537" s="158"/>
      <c r="B537" s="201"/>
      <c r="C537" s="158"/>
      <c r="D537" s="158"/>
      <c r="E537" s="158"/>
      <c r="F537" s="202"/>
      <c r="G537" s="202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</row>
    <row r="538" spans="1:32" ht="15.75" customHeight="1">
      <c r="A538" s="158"/>
      <c r="B538" s="201"/>
      <c r="C538" s="158"/>
      <c r="D538" s="158"/>
      <c r="E538" s="158"/>
      <c r="F538" s="202"/>
      <c r="G538" s="202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</row>
    <row r="539" spans="1:32" ht="15.75" customHeight="1">
      <c r="A539" s="158"/>
      <c r="B539" s="201"/>
      <c r="C539" s="158"/>
      <c r="D539" s="158"/>
      <c r="E539" s="158"/>
      <c r="F539" s="202"/>
      <c r="G539" s="202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</row>
    <row r="540" spans="1:32" ht="15.75" customHeight="1">
      <c r="A540" s="158"/>
      <c r="B540" s="201"/>
      <c r="C540" s="158"/>
      <c r="D540" s="158"/>
      <c r="E540" s="158"/>
      <c r="F540" s="202"/>
      <c r="G540" s="202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</row>
    <row r="541" spans="1:32" ht="15.75" customHeight="1">
      <c r="A541" s="158"/>
      <c r="B541" s="201"/>
      <c r="C541" s="158"/>
      <c r="D541" s="158"/>
      <c r="E541" s="158"/>
      <c r="F541" s="202"/>
      <c r="G541" s="202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</row>
    <row r="542" spans="1:32" ht="15.75" customHeight="1">
      <c r="A542" s="158"/>
      <c r="B542" s="201"/>
      <c r="C542" s="158"/>
      <c r="D542" s="158"/>
      <c r="E542" s="158"/>
      <c r="F542" s="202"/>
      <c r="G542" s="202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</row>
    <row r="543" spans="1:32" ht="15.75" customHeight="1">
      <c r="A543" s="158"/>
      <c r="B543" s="201"/>
      <c r="C543" s="158"/>
      <c r="D543" s="158"/>
      <c r="E543" s="158"/>
      <c r="F543" s="202"/>
      <c r="G543" s="202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</row>
    <row r="544" spans="1:32" ht="15.75" customHeight="1">
      <c r="A544" s="158"/>
      <c r="B544" s="201"/>
      <c r="C544" s="158"/>
      <c r="D544" s="158"/>
      <c r="E544" s="158"/>
      <c r="F544" s="202"/>
      <c r="G544" s="202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</row>
    <row r="545" spans="1:32" ht="15.75" customHeight="1">
      <c r="A545" s="158"/>
      <c r="B545" s="201"/>
      <c r="C545" s="158"/>
      <c r="D545" s="158"/>
      <c r="E545" s="158"/>
      <c r="F545" s="202"/>
      <c r="G545" s="202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</row>
    <row r="546" spans="1:32" ht="15.75" customHeight="1">
      <c r="A546" s="158"/>
      <c r="B546" s="201"/>
      <c r="C546" s="158"/>
      <c r="D546" s="158"/>
      <c r="E546" s="158"/>
      <c r="F546" s="202"/>
      <c r="G546" s="202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</row>
    <row r="547" spans="1:32" ht="15.75" customHeight="1">
      <c r="A547" s="158"/>
      <c r="B547" s="201"/>
      <c r="C547" s="158"/>
      <c r="D547" s="158"/>
      <c r="E547" s="158"/>
      <c r="F547" s="202"/>
      <c r="G547" s="202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</row>
    <row r="548" spans="1:32" ht="15.75" customHeight="1">
      <c r="A548" s="158"/>
      <c r="B548" s="201"/>
      <c r="C548" s="158"/>
      <c r="D548" s="158"/>
      <c r="E548" s="158"/>
      <c r="F548" s="202"/>
      <c r="G548" s="202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</row>
    <row r="549" spans="1:32" ht="15.75" customHeight="1">
      <c r="A549" s="158"/>
      <c r="B549" s="201"/>
      <c r="C549" s="158"/>
      <c r="D549" s="158"/>
      <c r="E549" s="158"/>
      <c r="F549" s="202"/>
      <c r="G549" s="202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</row>
    <row r="550" spans="1:32" ht="15.75" customHeight="1">
      <c r="A550" s="158"/>
      <c r="B550" s="201"/>
      <c r="C550" s="158"/>
      <c r="D550" s="158"/>
      <c r="E550" s="158"/>
      <c r="F550" s="202"/>
      <c r="G550" s="202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</row>
    <row r="551" spans="1:32" ht="15.75" customHeight="1">
      <c r="A551" s="158"/>
      <c r="B551" s="201"/>
      <c r="C551" s="158"/>
      <c r="D551" s="158"/>
      <c r="E551" s="158"/>
      <c r="F551" s="202"/>
      <c r="G551" s="202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</row>
    <row r="552" spans="1:32" ht="15.75" customHeight="1">
      <c r="A552" s="158"/>
      <c r="B552" s="201"/>
      <c r="C552" s="158"/>
      <c r="D552" s="158"/>
      <c r="E552" s="158"/>
      <c r="F552" s="202"/>
      <c r="G552" s="202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</row>
    <row r="553" spans="1:32" ht="15.75" customHeight="1">
      <c r="A553" s="158"/>
      <c r="B553" s="201"/>
      <c r="C553" s="158"/>
      <c r="D553" s="158"/>
      <c r="E553" s="158"/>
      <c r="F553" s="202"/>
      <c r="G553" s="202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</row>
    <row r="554" spans="1:32" ht="15.75" customHeight="1">
      <c r="A554" s="158"/>
      <c r="B554" s="201"/>
      <c r="C554" s="158"/>
      <c r="D554" s="158"/>
      <c r="E554" s="158"/>
      <c r="F554" s="202"/>
      <c r="G554" s="202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</row>
    <row r="555" spans="1:32" ht="15.75" customHeight="1">
      <c r="A555" s="158"/>
      <c r="B555" s="201"/>
      <c r="C555" s="158"/>
      <c r="D555" s="158"/>
      <c r="E555" s="158"/>
      <c r="F555" s="202"/>
      <c r="G555" s="202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</row>
    <row r="556" spans="1:32" ht="15.75" customHeight="1">
      <c r="A556" s="158"/>
      <c r="B556" s="201"/>
      <c r="C556" s="158"/>
      <c r="D556" s="158"/>
      <c r="E556" s="158"/>
      <c r="F556" s="202"/>
      <c r="G556" s="202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</row>
    <row r="557" spans="1:32" ht="15.75" customHeight="1">
      <c r="A557" s="158"/>
      <c r="B557" s="201"/>
      <c r="C557" s="158"/>
      <c r="D557" s="158"/>
      <c r="E557" s="158"/>
      <c r="F557" s="202"/>
      <c r="G557" s="202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</row>
    <row r="558" spans="1:32" ht="15.75" customHeight="1">
      <c r="A558" s="158"/>
      <c r="B558" s="201"/>
      <c r="C558" s="158"/>
      <c r="D558" s="158"/>
      <c r="E558" s="158"/>
      <c r="F558" s="202"/>
      <c r="G558" s="202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</row>
    <row r="559" spans="1:32" ht="15.75" customHeight="1">
      <c r="A559" s="158"/>
      <c r="B559" s="201"/>
      <c r="C559" s="158"/>
      <c r="D559" s="158"/>
      <c r="E559" s="158"/>
      <c r="F559" s="202"/>
      <c r="G559" s="202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</row>
    <row r="560" spans="1:32" ht="15.75" customHeight="1">
      <c r="A560" s="158"/>
      <c r="B560" s="201"/>
      <c r="C560" s="158"/>
      <c r="D560" s="158"/>
      <c r="E560" s="158"/>
      <c r="F560" s="202"/>
      <c r="G560" s="202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</row>
    <row r="561" spans="1:32" ht="15.75" customHeight="1">
      <c r="A561" s="158"/>
      <c r="B561" s="201"/>
      <c r="C561" s="158"/>
      <c r="D561" s="158"/>
      <c r="E561" s="158"/>
      <c r="F561" s="202"/>
      <c r="G561" s="202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</row>
    <row r="562" spans="1:32" ht="15.75" customHeight="1">
      <c r="A562" s="158"/>
      <c r="B562" s="201"/>
      <c r="C562" s="158"/>
      <c r="D562" s="158"/>
      <c r="E562" s="158"/>
      <c r="F562" s="202"/>
      <c r="G562" s="202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</row>
    <row r="563" spans="1:32" ht="15.75" customHeight="1">
      <c r="A563" s="158"/>
      <c r="B563" s="201"/>
      <c r="C563" s="158"/>
      <c r="D563" s="158"/>
      <c r="E563" s="158"/>
      <c r="F563" s="202"/>
      <c r="G563" s="202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</row>
    <row r="564" spans="1:32" ht="15.75" customHeight="1">
      <c r="A564" s="158"/>
      <c r="B564" s="201"/>
      <c r="C564" s="158"/>
      <c r="D564" s="158"/>
      <c r="E564" s="158"/>
      <c r="F564" s="202"/>
      <c r="G564" s="202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</row>
    <row r="565" spans="1:32" ht="15.75" customHeight="1">
      <c r="A565" s="158"/>
      <c r="B565" s="201"/>
      <c r="C565" s="158"/>
      <c r="D565" s="158"/>
      <c r="E565" s="158"/>
      <c r="F565" s="202"/>
      <c r="G565" s="202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</row>
    <row r="566" spans="1:32" ht="15.75" customHeight="1">
      <c r="A566" s="158"/>
      <c r="B566" s="201"/>
      <c r="C566" s="158"/>
      <c r="D566" s="158"/>
      <c r="E566" s="158"/>
      <c r="F566" s="202"/>
      <c r="G566" s="202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</row>
    <row r="567" spans="1:32" ht="15.75" customHeight="1">
      <c r="A567" s="158"/>
      <c r="B567" s="201"/>
      <c r="C567" s="158"/>
      <c r="D567" s="158"/>
      <c r="E567" s="158"/>
      <c r="F567" s="202"/>
      <c r="G567" s="202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</row>
    <row r="568" spans="1:32" ht="15.75" customHeight="1">
      <c r="A568" s="158"/>
      <c r="B568" s="201"/>
      <c r="C568" s="158"/>
      <c r="D568" s="158"/>
      <c r="E568" s="158"/>
      <c r="F568" s="202"/>
      <c r="G568" s="202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</row>
    <row r="569" spans="1:32" ht="15.75" customHeight="1">
      <c r="A569" s="158"/>
      <c r="B569" s="201"/>
      <c r="C569" s="158"/>
      <c r="D569" s="158"/>
      <c r="E569" s="158"/>
      <c r="F569" s="202"/>
      <c r="G569" s="202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</row>
    <row r="570" spans="1:32" ht="15.75" customHeight="1">
      <c r="A570" s="158"/>
      <c r="B570" s="201"/>
      <c r="C570" s="158"/>
      <c r="D570" s="158"/>
      <c r="E570" s="158"/>
      <c r="F570" s="202"/>
      <c r="G570" s="202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</row>
    <row r="571" spans="1:32" ht="15.75" customHeight="1">
      <c r="A571" s="158"/>
      <c r="B571" s="201"/>
      <c r="C571" s="158"/>
      <c r="D571" s="158"/>
      <c r="E571" s="158"/>
      <c r="F571" s="202"/>
      <c r="G571" s="202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</row>
    <row r="572" spans="1:32" ht="15.75" customHeight="1">
      <c r="A572" s="158"/>
      <c r="B572" s="201"/>
      <c r="C572" s="158"/>
      <c r="D572" s="158"/>
      <c r="E572" s="158"/>
      <c r="F572" s="202"/>
      <c r="G572" s="202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</row>
    <row r="573" spans="1:32" ht="15.75" customHeight="1">
      <c r="A573" s="158"/>
      <c r="B573" s="201"/>
      <c r="C573" s="158"/>
      <c r="D573" s="158"/>
      <c r="E573" s="158"/>
      <c r="F573" s="202"/>
      <c r="G573" s="202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</row>
    <row r="574" spans="1:32" ht="15.75" customHeight="1">
      <c r="A574" s="158"/>
      <c r="B574" s="201"/>
      <c r="C574" s="158"/>
      <c r="D574" s="158"/>
      <c r="E574" s="158"/>
      <c r="F574" s="202"/>
      <c r="G574" s="202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</row>
    <row r="575" spans="1:32" ht="15.75" customHeight="1">
      <c r="A575" s="158"/>
      <c r="B575" s="201"/>
      <c r="C575" s="158"/>
      <c r="D575" s="158"/>
      <c r="E575" s="158"/>
      <c r="F575" s="202"/>
      <c r="G575" s="202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</row>
    <row r="576" spans="1:32" ht="15.75" customHeight="1">
      <c r="A576" s="158"/>
      <c r="B576" s="201"/>
      <c r="C576" s="158"/>
      <c r="D576" s="158"/>
      <c r="E576" s="158"/>
      <c r="F576" s="202"/>
      <c r="G576" s="202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</row>
    <row r="577" spans="1:32" ht="15.75" customHeight="1">
      <c r="A577" s="158"/>
      <c r="B577" s="201"/>
      <c r="C577" s="158"/>
      <c r="D577" s="158"/>
      <c r="E577" s="158"/>
      <c r="F577" s="202"/>
      <c r="G577" s="202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</row>
    <row r="578" spans="1:32" ht="15.75" customHeight="1">
      <c r="A578" s="158"/>
      <c r="B578" s="201"/>
      <c r="C578" s="158"/>
      <c r="D578" s="158"/>
      <c r="E578" s="158"/>
      <c r="F578" s="202"/>
      <c r="G578" s="202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</row>
    <row r="579" spans="1:32" ht="15.75" customHeight="1">
      <c r="A579" s="158"/>
      <c r="B579" s="201"/>
      <c r="C579" s="158"/>
      <c r="D579" s="158"/>
      <c r="E579" s="158"/>
      <c r="F579" s="202"/>
      <c r="G579" s="202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</row>
    <row r="580" spans="1:32" ht="15.75" customHeight="1">
      <c r="A580" s="158"/>
      <c r="B580" s="201"/>
      <c r="C580" s="158"/>
      <c r="D580" s="158"/>
      <c r="E580" s="158"/>
      <c r="F580" s="202"/>
      <c r="G580" s="202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</row>
    <row r="581" spans="1:32" ht="15.75" customHeight="1">
      <c r="A581" s="158"/>
      <c r="B581" s="201"/>
      <c r="C581" s="158"/>
      <c r="D581" s="158"/>
      <c r="E581" s="158"/>
      <c r="F581" s="202"/>
      <c r="G581" s="202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</row>
    <row r="582" spans="1:32" ht="15.75" customHeight="1">
      <c r="A582" s="158"/>
      <c r="B582" s="201"/>
      <c r="C582" s="158"/>
      <c r="D582" s="158"/>
      <c r="E582" s="158"/>
      <c r="F582" s="202"/>
      <c r="G582" s="202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</row>
    <row r="583" spans="1:32" ht="15.75" customHeight="1">
      <c r="A583" s="158"/>
      <c r="B583" s="201"/>
      <c r="C583" s="158"/>
      <c r="D583" s="158"/>
      <c r="E583" s="158"/>
      <c r="F583" s="202"/>
      <c r="G583" s="202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</row>
    <row r="584" spans="1:32" ht="15.75" customHeight="1">
      <c r="A584" s="158"/>
      <c r="B584" s="201"/>
      <c r="C584" s="158"/>
      <c r="D584" s="158"/>
      <c r="E584" s="158"/>
      <c r="F584" s="202"/>
      <c r="G584" s="202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</row>
    <row r="585" spans="1:32" ht="15.75" customHeight="1">
      <c r="A585" s="158"/>
      <c r="B585" s="201"/>
      <c r="C585" s="158"/>
      <c r="D585" s="158"/>
      <c r="E585" s="158"/>
      <c r="F585" s="202"/>
      <c r="G585" s="202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</row>
    <row r="586" spans="1:32" ht="15.75" customHeight="1">
      <c r="A586" s="158"/>
      <c r="B586" s="201"/>
      <c r="C586" s="158"/>
      <c r="D586" s="158"/>
      <c r="E586" s="158"/>
      <c r="F586" s="202"/>
      <c r="G586" s="202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</row>
    <row r="587" spans="1:32" ht="15.75" customHeight="1">
      <c r="A587" s="158"/>
      <c r="B587" s="201"/>
      <c r="C587" s="158"/>
      <c r="D587" s="158"/>
      <c r="E587" s="158"/>
      <c r="F587" s="202"/>
      <c r="G587" s="202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</row>
    <row r="588" spans="1:32" ht="15.75" customHeight="1">
      <c r="A588" s="158"/>
      <c r="B588" s="201"/>
      <c r="C588" s="158"/>
      <c r="D588" s="158"/>
      <c r="E588" s="158"/>
      <c r="F588" s="202"/>
      <c r="G588" s="202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</row>
    <row r="589" spans="1:32" ht="15.75" customHeight="1">
      <c r="A589" s="158"/>
      <c r="B589" s="201"/>
      <c r="C589" s="158"/>
      <c r="D589" s="158"/>
      <c r="E589" s="158"/>
      <c r="F589" s="202"/>
      <c r="G589" s="202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</row>
    <row r="590" spans="1:32" ht="15.75" customHeight="1">
      <c r="A590" s="158"/>
      <c r="B590" s="201"/>
      <c r="C590" s="158"/>
      <c r="D590" s="158"/>
      <c r="E590" s="158"/>
      <c r="F590" s="202"/>
      <c r="G590" s="202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</row>
    <row r="591" spans="1:32" ht="15.75" customHeight="1">
      <c r="A591" s="158"/>
      <c r="B591" s="201"/>
      <c r="C591" s="158"/>
      <c r="D591" s="158"/>
      <c r="E591" s="158"/>
      <c r="F591" s="202"/>
      <c r="G591" s="202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</row>
    <row r="592" spans="1:32" ht="15.75" customHeight="1">
      <c r="A592" s="158"/>
      <c r="B592" s="201"/>
      <c r="C592" s="158"/>
      <c r="D592" s="158"/>
      <c r="E592" s="158"/>
      <c r="F592" s="202"/>
      <c r="G592" s="202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</row>
    <row r="593" spans="1:32" ht="15.75" customHeight="1">
      <c r="A593" s="158"/>
      <c r="B593" s="201"/>
      <c r="C593" s="158"/>
      <c r="D593" s="158"/>
      <c r="E593" s="158"/>
      <c r="F593" s="202"/>
      <c r="G593" s="202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</row>
    <row r="594" spans="1:32" ht="15.75" customHeight="1">
      <c r="A594" s="158"/>
      <c r="B594" s="201"/>
      <c r="C594" s="158"/>
      <c r="D594" s="158"/>
      <c r="E594" s="158"/>
      <c r="F594" s="202"/>
      <c r="G594" s="202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</row>
    <row r="595" spans="1:32" ht="15.75" customHeight="1">
      <c r="A595" s="158"/>
      <c r="B595" s="201"/>
      <c r="C595" s="158"/>
      <c r="D595" s="158"/>
      <c r="E595" s="158"/>
      <c r="F595" s="202"/>
      <c r="G595" s="202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</row>
    <row r="596" spans="1:32" ht="15.75" customHeight="1">
      <c r="A596" s="158"/>
      <c r="B596" s="201"/>
      <c r="C596" s="158"/>
      <c r="D596" s="158"/>
      <c r="E596" s="158"/>
      <c r="F596" s="202"/>
      <c r="G596" s="202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</row>
    <row r="597" spans="1:32" ht="15.75" customHeight="1">
      <c r="A597" s="158"/>
      <c r="B597" s="201"/>
      <c r="C597" s="158"/>
      <c r="D597" s="158"/>
      <c r="E597" s="158"/>
      <c r="F597" s="202"/>
      <c r="G597" s="202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</row>
    <row r="598" spans="1:32" ht="15.75" customHeight="1">
      <c r="A598" s="158"/>
      <c r="B598" s="201"/>
      <c r="C598" s="158"/>
      <c r="D598" s="158"/>
      <c r="E598" s="158"/>
      <c r="F598" s="202"/>
      <c r="G598" s="202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</row>
    <row r="599" spans="1:32" ht="15.75" customHeight="1">
      <c r="A599" s="158"/>
      <c r="B599" s="201"/>
      <c r="C599" s="158"/>
      <c r="D599" s="158"/>
      <c r="E599" s="158"/>
      <c r="F599" s="202"/>
      <c r="G599" s="202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</row>
    <row r="600" spans="1:32" ht="15.75" customHeight="1">
      <c r="A600" s="158"/>
      <c r="B600" s="201"/>
      <c r="C600" s="158"/>
      <c r="D600" s="158"/>
      <c r="E600" s="158"/>
      <c r="F600" s="202"/>
      <c r="G600" s="202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</row>
    <row r="601" spans="1:32" ht="15.75" customHeight="1">
      <c r="A601" s="158"/>
      <c r="B601" s="201"/>
      <c r="C601" s="158"/>
      <c r="D601" s="158"/>
      <c r="E601" s="158"/>
      <c r="F601" s="202"/>
      <c r="G601" s="202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</row>
    <row r="602" spans="1:32" ht="15.75" customHeight="1">
      <c r="A602" s="158"/>
      <c r="B602" s="201"/>
      <c r="C602" s="158"/>
      <c r="D602" s="158"/>
      <c r="E602" s="158"/>
      <c r="F602" s="202"/>
      <c r="G602" s="202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</row>
    <row r="603" spans="1:32" ht="15.75" customHeight="1">
      <c r="A603" s="158"/>
      <c r="B603" s="201"/>
      <c r="C603" s="158"/>
      <c r="D603" s="158"/>
      <c r="E603" s="158"/>
      <c r="F603" s="202"/>
      <c r="G603" s="202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</row>
    <row r="604" spans="1:32" ht="15.75" customHeight="1">
      <c r="A604" s="158"/>
      <c r="B604" s="201"/>
      <c r="C604" s="158"/>
      <c r="D604" s="158"/>
      <c r="E604" s="158"/>
      <c r="F604" s="202"/>
      <c r="G604" s="202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</row>
    <row r="605" spans="1:32" ht="15.75" customHeight="1">
      <c r="A605" s="158"/>
      <c r="B605" s="201"/>
      <c r="C605" s="158"/>
      <c r="D605" s="158"/>
      <c r="E605" s="158"/>
      <c r="F605" s="202"/>
      <c r="G605" s="202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</row>
    <row r="606" spans="1:32" ht="15.75" customHeight="1">
      <c r="A606" s="158"/>
      <c r="B606" s="201"/>
      <c r="C606" s="158"/>
      <c r="D606" s="158"/>
      <c r="E606" s="158"/>
      <c r="F606" s="202"/>
      <c r="G606" s="202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</row>
    <row r="607" spans="1:32" ht="15.75" customHeight="1">
      <c r="A607" s="158"/>
      <c r="B607" s="201"/>
      <c r="C607" s="158"/>
      <c r="D607" s="158"/>
      <c r="E607" s="158"/>
      <c r="F607" s="202"/>
      <c r="G607" s="202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</row>
    <row r="608" spans="1:32" ht="15.75" customHeight="1">
      <c r="A608" s="158"/>
      <c r="B608" s="201"/>
      <c r="C608" s="158"/>
      <c r="D608" s="158"/>
      <c r="E608" s="158"/>
      <c r="F608" s="202"/>
      <c r="G608" s="202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</row>
    <row r="609" spans="1:32" ht="15.75" customHeight="1">
      <c r="A609" s="158"/>
      <c r="B609" s="201"/>
      <c r="C609" s="158"/>
      <c r="D609" s="158"/>
      <c r="E609" s="158"/>
      <c r="F609" s="202"/>
      <c r="G609" s="202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</row>
    <row r="610" spans="1:32" ht="15.75" customHeight="1">
      <c r="A610" s="158"/>
      <c r="B610" s="201"/>
      <c r="C610" s="158"/>
      <c r="D610" s="158"/>
      <c r="E610" s="158"/>
      <c r="F610" s="202"/>
      <c r="G610" s="202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</row>
    <row r="611" spans="1:32" ht="15.75" customHeight="1">
      <c r="A611" s="158"/>
      <c r="B611" s="201"/>
      <c r="C611" s="158"/>
      <c r="D611" s="158"/>
      <c r="E611" s="158"/>
      <c r="F611" s="202"/>
      <c r="G611" s="202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</row>
    <row r="612" spans="1:32" ht="15.75" customHeight="1">
      <c r="A612" s="158"/>
      <c r="B612" s="201"/>
      <c r="C612" s="158"/>
      <c r="D612" s="158"/>
      <c r="E612" s="158"/>
      <c r="F612" s="202"/>
      <c r="G612" s="202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</row>
    <row r="613" spans="1:32" ht="15.75" customHeight="1">
      <c r="A613" s="158"/>
      <c r="B613" s="201"/>
      <c r="C613" s="158"/>
      <c r="D613" s="158"/>
      <c r="E613" s="158"/>
      <c r="F613" s="202"/>
      <c r="G613" s="202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</row>
    <row r="614" spans="1:32" ht="15.75" customHeight="1">
      <c r="A614" s="158"/>
      <c r="B614" s="201"/>
      <c r="C614" s="158"/>
      <c r="D614" s="158"/>
      <c r="E614" s="158"/>
      <c r="F614" s="202"/>
      <c r="G614" s="202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</row>
    <row r="615" spans="1:32" ht="15.75" customHeight="1">
      <c r="A615" s="158"/>
      <c r="B615" s="201"/>
      <c r="C615" s="158"/>
      <c r="D615" s="158"/>
      <c r="E615" s="158"/>
      <c r="F615" s="202"/>
      <c r="G615" s="202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</row>
    <row r="616" spans="1:32" ht="15.75" customHeight="1">
      <c r="A616" s="158"/>
      <c r="B616" s="201"/>
      <c r="C616" s="158"/>
      <c r="D616" s="158"/>
      <c r="E616" s="158"/>
      <c r="F616" s="202"/>
      <c r="G616" s="202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</row>
    <row r="617" spans="1:32" ht="15.75" customHeight="1">
      <c r="A617" s="158"/>
      <c r="B617" s="201"/>
      <c r="C617" s="158"/>
      <c r="D617" s="158"/>
      <c r="E617" s="158"/>
      <c r="F617" s="202"/>
      <c r="G617" s="202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</row>
    <row r="618" spans="1:32" ht="15.75" customHeight="1">
      <c r="A618" s="158"/>
      <c r="B618" s="201"/>
      <c r="C618" s="158"/>
      <c r="D618" s="158"/>
      <c r="E618" s="158"/>
      <c r="F618" s="202"/>
      <c r="G618" s="202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</row>
    <row r="619" spans="1:32" ht="15.75" customHeight="1">
      <c r="A619" s="158"/>
      <c r="B619" s="201"/>
      <c r="C619" s="158"/>
      <c r="D619" s="158"/>
      <c r="E619" s="158"/>
      <c r="F619" s="202"/>
      <c r="G619" s="202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</row>
    <row r="620" spans="1:32" ht="15.75" customHeight="1">
      <c r="A620" s="158"/>
      <c r="B620" s="201"/>
      <c r="C620" s="158"/>
      <c r="D620" s="158"/>
      <c r="E620" s="158"/>
      <c r="F620" s="202"/>
      <c r="G620" s="202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</row>
    <row r="621" spans="1:32" ht="15.75" customHeight="1">
      <c r="A621" s="158"/>
      <c r="B621" s="201"/>
      <c r="C621" s="158"/>
      <c r="D621" s="158"/>
      <c r="E621" s="158"/>
      <c r="F621" s="202"/>
      <c r="G621" s="202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</row>
    <row r="622" spans="1:32" ht="15.75" customHeight="1">
      <c r="A622" s="158"/>
      <c r="B622" s="201"/>
      <c r="C622" s="158"/>
      <c r="D622" s="158"/>
      <c r="E622" s="158"/>
      <c r="F622" s="202"/>
      <c r="G622" s="202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</row>
    <row r="623" spans="1:32" ht="15.75" customHeight="1">
      <c r="A623" s="158"/>
      <c r="B623" s="201"/>
      <c r="C623" s="158"/>
      <c r="D623" s="158"/>
      <c r="E623" s="158"/>
      <c r="F623" s="202"/>
      <c r="G623" s="202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</row>
    <row r="624" spans="1:32" ht="15.75" customHeight="1">
      <c r="A624" s="158"/>
      <c r="B624" s="201"/>
      <c r="C624" s="158"/>
      <c r="D624" s="158"/>
      <c r="E624" s="158"/>
      <c r="F624" s="202"/>
      <c r="G624" s="202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</row>
    <row r="625" spans="1:32" ht="15.75" customHeight="1">
      <c r="A625" s="158"/>
      <c r="B625" s="201"/>
      <c r="C625" s="158"/>
      <c r="D625" s="158"/>
      <c r="E625" s="158"/>
      <c r="F625" s="202"/>
      <c r="G625" s="202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</row>
    <row r="626" spans="1:32" ht="15.75" customHeight="1">
      <c r="A626" s="158"/>
      <c r="B626" s="201"/>
      <c r="C626" s="158"/>
      <c r="D626" s="158"/>
      <c r="E626" s="158"/>
      <c r="F626" s="202"/>
      <c r="G626" s="202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</row>
    <row r="627" spans="1:32" ht="15.75" customHeight="1">
      <c r="A627" s="158"/>
      <c r="B627" s="201"/>
      <c r="C627" s="158"/>
      <c r="D627" s="158"/>
      <c r="E627" s="158"/>
      <c r="F627" s="202"/>
      <c r="G627" s="202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</row>
    <row r="628" spans="1:32" ht="15.75" customHeight="1">
      <c r="A628" s="158"/>
      <c r="B628" s="201"/>
      <c r="C628" s="158"/>
      <c r="D628" s="158"/>
      <c r="E628" s="158"/>
      <c r="F628" s="202"/>
      <c r="G628" s="202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</row>
    <row r="629" spans="1:32" ht="15.75" customHeight="1">
      <c r="A629" s="158"/>
      <c r="B629" s="201"/>
      <c r="C629" s="158"/>
      <c r="D629" s="158"/>
      <c r="E629" s="158"/>
      <c r="F629" s="202"/>
      <c r="G629" s="202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</row>
    <row r="630" spans="1:32" ht="15.75" customHeight="1">
      <c r="A630" s="158"/>
      <c r="B630" s="201"/>
      <c r="C630" s="158"/>
      <c r="D630" s="158"/>
      <c r="E630" s="158"/>
      <c r="F630" s="202"/>
      <c r="G630" s="202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</row>
    <row r="631" spans="1:32" ht="15.75" customHeight="1">
      <c r="A631" s="158"/>
      <c r="B631" s="201"/>
      <c r="C631" s="158"/>
      <c r="D631" s="158"/>
      <c r="E631" s="158"/>
      <c r="F631" s="202"/>
      <c r="G631" s="202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</row>
    <row r="632" spans="1:32" ht="15.75" customHeight="1">
      <c r="A632" s="158"/>
      <c r="B632" s="201"/>
      <c r="C632" s="158"/>
      <c r="D632" s="158"/>
      <c r="E632" s="158"/>
      <c r="F632" s="202"/>
      <c r="G632" s="202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</row>
    <row r="633" spans="1:32" ht="15.75" customHeight="1">
      <c r="A633" s="158"/>
      <c r="B633" s="201"/>
      <c r="C633" s="158"/>
      <c r="D633" s="158"/>
      <c r="E633" s="158"/>
      <c r="F633" s="202"/>
      <c r="G633" s="202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</row>
    <row r="634" spans="1:32" ht="15.75" customHeight="1">
      <c r="A634" s="158"/>
      <c r="B634" s="201"/>
      <c r="C634" s="158"/>
      <c r="D634" s="158"/>
      <c r="E634" s="158"/>
      <c r="F634" s="202"/>
      <c r="G634" s="202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</row>
    <row r="635" spans="1:32" ht="15.75" customHeight="1">
      <c r="A635" s="158"/>
      <c r="B635" s="201"/>
      <c r="C635" s="158"/>
      <c r="D635" s="158"/>
      <c r="E635" s="158"/>
      <c r="F635" s="202"/>
      <c r="G635" s="202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</row>
    <row r="636" spans="1:32" ht="15.75" customHeight="1">
      <c r="A636" s="158"/>
      <c r="B636" s="201"/>
      <c r="C636" s="158"/>
      <c r="D636" s="158"/>
      <c r="E636" s="158"/>
      <c r="F636" s="202"/>
      <c r="G636" s="202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</row>
    <row r="637" spans="1:32" ht="15.75" customHeight="1">
      <c r="A637" s="158"/>
      <c r="B637" s="201"/>
      <c r="C637" s="158"/>
      <c r="D637" s="158"/>
      <c r="E637" s="158"/>
      <c r="F637" s="202"/>
      <c r="G637" s="202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</row>
    <row r="638" spans="1:32" ht="15.75" customHeight="1">
      <c r="A638" s="158"/>
      <c r="B638" s="201"/>
      <c r="C638" s="158"/>
      <c r="D638" s="158"/>
      <c r="E638" s="158"/>
      <c r="F638" s="202"/>
      <c r="G638" s="202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</row>
    <row r="639" spans="1:32" ht="15.75" customHeight="1">
      <c r="A639" s="158"/>
      <c r="B639" s="201"/>
      <c r="C639" s="158"/>
      <c r="D639" s="158"/>
      <c r="E639" s="158"/>
      <c r="F639" s="202"/>
      <c r="G639" s="202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</row>
    <row r="640" spans="1:32" ht="15.75" customHeight="1">
      <c r="A640" s="158"/>
      <c r="B640" s="201"/>
      <c r="C640" s="158"/>
      <c r="D640" s="158"/>
      <c r="E640" s="158"/>
      <c r="F640" s="202"/>
      <c r="G640" s="202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</row>
    <row r="641" spans="1:32" ht="15.75" customHeight="1">
      <c r="A641" s="158"/>
      <c r="B641" s="201"/>
      <c r="C641" s="158"/>
      <c r="D641" s="158"/>
      <c r="E641" s="158"/>
      <c r="F641" s="202"/>
      <c r="G641" s="202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</row>
    <row r="642" spans="1:32" ht="15.75" customHeight="1">
      <c r="A642" s="158"/>
      <c r="B642" s="201"/>
      <c r="C642" s="158"/>
      <c r="D642" s="158"/>
      <c r="E642" s="158"/>
      <c r="F642" s="202"/>
      <c r="G642" s="202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</row>
    <row r="643" spans="1:32" ht="15.75" customHeight="1">
      <c r="A643" s="158"/>
      <c r="B643" s="201"/>
      <c r="C643" s="158"/>
      <c r="D643" s="158"/>
      <c r="E643" s="158"/>
      <c r="F643" s="202"/>
      <c r="G643" s="202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</row>
    <row r="644" spans="1:32" ht="15.75" customHeight="1">
      <c r="A644" s="158"/>
      <c r="B644" s="201"/>
      <c r="C644" s="158"/>
      <c r="D644" s="158"/>
      <c r="E644" s="158"/>
      <c r="F644" s="202"/>
      <c r="G644" s="202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</row>
    <row r="645" spans="1:32" ht="15.75" customHeight="1">
      <c r="A645" s="158"/>
      <c r="B645" s="201"/>
      <c r="C645" s="158"/>
      <c r="D645" s="158"/>
      <c r="E645" s="158"/>
      <c r="F645" s="202"/>
      <c r="G645" s="202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</row>
    <row r="646" spans="1:32" ht="15.75" customHeight="1">
      <c r="A646" s="158"/>
      <c r="B646" s="201"/>
      <c r="C646" s="158"/>
      <c r="D646" s="158"/>
      <c r="E646" s="158"/>
      <c r="F646" s="202"/>
      <c r="G646" s="202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</row>
    <row r="647" spans="1:32" ht="15.75" customHeight="1">
      <c r="A647" s="158"/>
      <c r="B647" s="201"/>
      <c r="C647" s="158"/>
      <c r="D647" s="158"/>
      <c r="E647" s="158"/>
      <c r="F647" s="202"/>
      <c r="G647" s="202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</row>
    <row r="648" spans="1:32" ht="15.75" customHeight="1">
      <c r="A648" s="158"/>
      <c r="B648" s="201"/>
      <c r="C648" s="158"/>
      <c r="D648" s="158"/>
      <c r="E648" s="158"/>
      <c r="F648" s="202"/>
      <c r="G648" s="202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</row>
    <row r="649" spans="1:32" ht="15.75" customHeight="1">
      <c r="A649" s="158"/>
      <c r="B649" s="201"/>
      <c r="C649" s="158"/>
      <c r="D649" s="158"/>
      <c r="E649" s="158"/>
      <c r="F649" s="202"/>
      <c r="G649" s="202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</row>
    <row r="650" spans="1:32" ht="15.75" customHeight="1">
      <c r="A650" s="158"/>
      <c r="B650" s="201"/>
      <c r="C650" s="158"/>
      <c r="D650" s="158"/>
      <c r="E650" s="158"/>
      <c r="F650" s="202"/>
      <c r="G650" s="202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</row>
    <row r="651" spans="1:32" ht="15.75" customHeight="1">
      <c r="A651" s="158"/>
      <c r="B651" s="201"/>
      <c r="C651" s="158"/>
      <c r="D651" s="158"/>
      <c r="E651" s="158"/>
      <c r="F651" s="202"/>
      <c r="G651" s="202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</row>
    <row r="652" spans="1:32" ht="15.75" customHeight="1">
      <c r="A652" s="158"/>
      <c r="B652" s="201"/>
      <c r="C652" s="158"/>
      <c r="D652" s="158"/>
      <c r="E652" s="158"/>
      <c r="F652" s="202"/>
      <c r="G652" s="202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</row>
    <row r="653" spans="1:32" ht="15.75" customHeight="1">
      <c r="A653" s="158"/>
      <c r="B653" s="201"/>
      <c r="C653" s="158"/>
      <c r="D653" s="158"/>
      <c r="E653" s="158"/>
      <c r="F653" s="202"/>
      <c r="G653" s="202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</row>
    <row r="654" spans="1:32" ht="15.75" customHeight="1">
      <c r="A654" s="158"/>
      <c r="B654" s="201"/>
      <c r="C654" s="158"/>
      <c r="D654" s="158"/>
      <c r="E654" s="158"/>
      <c r="F654" s="202"/>
      <c r="G654" s="202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</row>
    <row r="655" spans="1:32" ht="15.75" customHeight="1">
      <c r="A655" s="158"/>
      <c r="B655" s="201"/>
      <c r="C655" s="158"/>
      <c r="D655" s="158"/>
      <c r="E655" s="158"/>
      <c r="F655" s="202"/>
      <c r="G655" s="202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</row>
    <row r="656" spans="1:32" ht="15.75" customHeight="1">
      <c r="A656" s="158"/>
      <c r="B656" s="201"/>
      <c r="C656" s="158"/>
      <c r="D656" s="158"/>
      <c r="E656" s="158"/>
      <c r="F656" s="202"/>
      <c r="G656" s="202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</row>
    <row r="657" spans="1:32" ht="15.75" customHeight="1">
      <c r="A657" s="158"/>
      <c r="B657" s="201"/>
      <c r="C657" s="158"/>
      <c r="D657" s="158"/>
      <c r="E657" s="158"/>
      <c r="F657" s="202"/>
      <c r="G657" s="202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</row>
    <row r="658" spans="1:32" ht="15.75" customHeight="1">
      <c r="A658" s="158"/>
      <c r="B658" s="201"/>
      <c r="C658" s="158"/>
      <c r="D658" s="158"/>
      <c r="E658" s="158"/>
      <c r="F658" s="202"/>
      <c r="G658" s="202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</row>
    <row r="659" spans="1:32" ht="15.75" customHeight="1">
      <c r="A659" s="158"/>
      <c r="B659" s="201"/>
      <c r="C659" s="158"/>
      <c r="D659" s="158"/>
      <c r="E659" s="158"/>
      <c r="F659" s="202"/>
      <c r="G659" s="202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</row>
    <row r="660" spans="1:32" ht="15.75" customHeight="1">
      <c r="A660" s="158"/>
      <c r="B660" s="201"/>
      <c r="C660" s="158"/>
      <c r="D660" s="158"/>
      <c r="E660" s="158"/>
      <c r="F660" s="202"/>
      <c r="G660" s="202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</row>
    <row r="661" spans="1:32" ht="15.75" customHeight="1">
      <c r="A661" s="158"/>
      <c r="B661" s="201"/>
      <c r="C661" s="158"/>
      <c r="D661" s="158"/>
      <c r="E661" s="158"/>
      <c r="F661" s="202"/>
      <c r="G661" s="202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</row>
    <row r="662" spans="1:32" ht="15.75" customHeight="1">
      <c r="A662" s="158"/>
      <c r="B662" s="201"/>
      <c r="C662" s="158"/>
      <c r="D662" s="158"/>
      <c r="E662" s="158"/>
      <c r="F662" s="202"/>
      <c r="G662" s="202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</row>
    <row r="663" spans="1:32" ht="15.75" customHeight="1">
      <c r="A663" s="158"/>
      <c r="B663" s="201"/>
      <c r="C663" s="158"/>
      <c r="D663" s="158"/>
      <c r="E663" s="158"/>
      <c r="F663" s="202"/>
      <c r="G663" s="202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</row>
    <row r="664" spans="1:32" ht="15.75" customHeight="1">
      <c r="A664" s="158"/>
      <c r="B664" s="201"/>
      <c r="C664" s="158"/>
      <c r="D664" s="158"/>
      <c r="E664" s="158"/>
      <c r="F664" s="202"/>
      <c r="G664" s="202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</row>
    <row r="665" spans="1:32" ht="15.75" customHeight="1">
      <c r="A665" s="158"/>
      <c r="B665" s="201"/>
      <c r="C665" s="158"/>
      <c r="D665" s="158"/>
      <c r="E665" s="158"/>
      <c r="F665" s="202"/>
      <c r="G665" s="202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</row>
    <row r="666" spans="1:32" ht="15.75" customHeight="1">
      <c r="A666" s="158"/>
      <c r="B666" s="201"/>
      <c r="C666" s="158"/>
      <c r="D666" s="158"/>
      <c r="E666" s="158"/>
      <c r="F666" s="202"/>
      <c r="G666" s="202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</row>
    <row r="667" spans="1:32" ht="15.75" customHeight="1">
      <c r="A667" s="158"/>
      <c r="B667" s="201"/>
      <c r="C667" s="158"/>
      <c r="D667" s="158"/>
      <c r="E667" s="158"/>
      <c r="F667" s="202"/>
      <c r="G667" s="202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</row>
    <row r="668" spans="1:32" ht="15.75" customHeight="1">
      <c r="A668" s="158"/>
      <c r="B668" s="201"/>
      <c r="C668" s="158"/>
      <c r="D668" s="158"/>
      <c r="E668" s="158"/>
      <c r="F668" s="202"/>
      <c r="G668" s="202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</row>
    <row r="669" spans="1:32" ht="15.75" customHeight="1">
      <c r="A669" s="158"/>
      <c r="B669" s="201"/>
      <c r="C669" s="158"/>
      <c r="D669" s="158"/>
      <c r="E669" s="158"/>
      <c r="F669" s="202"/>
      <c r="G669" s="202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</row>
    <row r="670" spans="1:32" ht="15.75" customHeight="1">
      <c r="A670" s="158"/>
      <c r="B670" s="201"/>
      <c r="C670" s="158"/>
      <c r="D670" s="158"/>
      <c r="E670" s="158"/>
      <c r="F670" s="202"/>
      <c r="G670" s="202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</row>
    <row r="671" spans="1:32" ht="15.75" customHeight="1">
      <c r="A671" s="158"/>
      <c r="B671" s="201"/>
      <c r="C671" s="158"/>
      <c r="D671" s="158"/>
      <c r="E671" s="158"/>
      <c r="F671" s="202"/>
      <c r="G671" s="202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</row>
    <row r="672" spans="1:32" ht="15.75" customHeight="1">
      <c r="A672" s="158"/>
      <c r="B672" s="201"/>
      <c r="C672" s="158"/>
      <c r="D672" s="158"/>
      <c r="E672" s="158"/>
      <c r="F672" s="202"/>
      <c r="G672" s="202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</row>
    <row r="673" spans="1:32" ht="15.75" customHeight="1">
      <c r="A673" s="158"/>
      <c r="B673" s="201"/>
      <c r="C673" s="158"/>
      <c r="D673" s="158"/>
      <c r="E673" s="158"/>
      <c r="F673" s="202"/>
      <c r="G673" s="202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</row>
    <row r="674" spans="1:32" ht="15.75" customHeight="1">
      <c r="A674" s="158"/>
      <c r="B674" s="201"/>
      <c r="C674" s="158"/>
      <c r="D674" s="158"/>
      <c r="E674" s="158"/>
      <c r="F674" s="202"/>
      <c r="G674" s="202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</row>
    <row r="675" spans="1:32" ht="15.75" customHeight="1">
      <c r="A675" s="158"/>
      <c r="B675" s="201"/>
      <c r="C675" s="158"/>
      <c r="D675" s="158"/>
      <c r="E675" s="158"/>
      <c r="F675" s="202"/>
      <c r="G675" s="202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</row>
    <row r="676" spans="1:32" ht="15.75" customHeight="1">
      <c r="A676" s="158"/>
      <c r="B676" s="201"/>
      <c r="C676" s="158"/>
      <c r="D676" s="158"/>
      <c r="E676" s="158"/>
      <c r="F676" s="202"/>
      <c r="G676" s="202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</row>
    <row r="677" spans="1:32" ht="15.75" customHeight="1">
      <c r="A677" s="158"/>
      <c r="B677" s="201"/>
      <c r="C677" s="158"/>
      <c r="D677" s="158"/>
      <c r="E677" s="158"/>
      <c r="F677" s="202"/>
      <c r="G677" s="202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</row>
    <row r="678" spans="1:32" ht="15.75" customHeight="1">
      <c r="A678" s="158"/>
      <c r="B678" s="201"/>
      <c r="C678" s="158"/>
      <c r="D678" s="158"/>
      <c r="E678" s="158"/>
      <c r="F678" s="202"/>
      <c r="G678" s="202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</row>
    <row r="679" spans="1:32" ht="15.75" customHeight="1">
      <c r="A679" s="158"/>
      <c r="B679" s="201"/>
      <c r="C679" s="158"/>
      <c r="D679" s="158"/>
      <c r="E679" s="158"/>
      <c r="F679" s="202"/>
      <c r="G679" s="202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</row>
    <row r="680" spans="1:32" ht="15.75" customHeight="1">
      <c r="A680" s="158"/>
      <c r="B680" s="201"/>
      <c r="C680" s="158"/>
      <c r="D680" s="158"/>
      <c r="E680" s="158"/>
      <c r="F680" s="202"/>
      <c r="G680" s="202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</row>
    <row r="681" spans="1:32" ht="15.75" customHeight="1">
      <c r="A681" s="158"/>
      <c r="B681" s="201"/>
      <c r="C681" s="158"/>
      <c r="D681" s="158"/>
      <c r="E681" s="158"/>
      <c r="F681" s="202"/>
      <c r="G681" s="202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</row>
    <row r="682" spans="1:32" ht="15.75" customHeight="1">
      <c r="A682" s="158"/>
      <c r="B682" s="201"/>
      <c r="C682" s="158"/>
      <c r="D682" s="158"/>
      <c r="E682" s="158"/>
      <c r="F682" s="202"/>
      <c r="G682" s="202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</row>
    <row r="683" spans="1:32" ht="15.75" customHeight="1">
      <c r="A683" s="158"/>
      <c r="B683" s="201"/>
      <c r="C683" s="158"/>
      <c r="D683" s="158"/>
      <c r="E683" s="158"/>
      <c r="F683" s="202"/>
      <c r="G683" s="202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</row>
    <row r="684" spans="1:32" ht="15.75" customHeight="1">
      <c r="A684" s="158"/>
      <c r="B684" s="201"/>
      <c r="C684" s="158"/>
      <c r="D684" s="158"/>
      <c r="E684" s="158"/>
      <c r="F684" s="202"/>
      <c r="G684" s="202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</row>
    <row r="685" spans="1:32" ht="15.75" customHeight="1">
      <c r="A685" s="158"/>
      <c r="B685" s="201"/>
      <c r="C685" s="158"/>
      <c r="D685" s="158"/>
      <c r="E685" s="158"/>
      <c r="F685" s="202"/>
      <c r="G685" s="202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</row>
    <row r="686" spans="1:32" ht="15.75" customHeight="1">
      <c r="A686" s="158"/>
      <c r="B686" s="201"/>
      <c r="C686" s="158"/>
      <c r="D686" s="158"/>
      <c r="E686" s="158"/>
      <c r="F686" s="202"/>
      <c r="G686" s="202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</row>
    <row r="687" spans="1:32" ht="15.75" customHeight="1">
      <c r="A687" s="158"/>
      <c r="B687" s="201"/>
      <c r="C687" s="158"/>
      <c r="D687" s="158"/>
      <c r="E687" s="158"/>
      <c r="F687" s="202"/>
      <c r="G687" s="202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</row>
    <row r="688" spans="1:32" ht="15.75" customHeight="1">
      <c r="A688" s="158"/>
      <c r="B688" s="201"/>
      <c r="C688" s="158"/>
      <c r="D688" s="158"/>
      <c r="E688" s="158"/>
      <c r="F688" s="202"/>
      <c r="G688" s="202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</row>
    <row r="689" spans="1:32" ht="15.75" customHeight="1">
      <c r="A689" s="158"/>
      <c r="B689" s="201"/>
      <c r="C689" s="158"/>
      <c r="D689" s="158"/>
      <c r="E689" s="158"/>
      <c r="F689" s="202"/>
      <c r="G689" s="202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</row>
    <row r="690" spans="1:32" ht="15.75" customHeight="1">
      <c r="A690" s="158"/>
      <c r="B690" s="201"/>
      <c r="C690" s="158"/>
      <c r="D690" s="158"/>
      <c r="E690" s="158"/>
      <c r="F690" s="202"/>
      <c r="G690" s="202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</row>
    <row r="691" spans="1:32" ht="15.75" customHeight="1">
      <c r="A691" s="158"/>
      <c r="B691" s="201"/>
      <c r="C691" s="158"/>
      <c r="D691" s="158"/>
      <c r="E691" s="158"/>
      <c r="F691" s="202"/>
      <c r="G691" s="202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</row>
    <row r="692" spans="1:32" ht="15.75" customHeight="1">
      <c r="A692" s="158"/>
      <c r="B692" s="201"/>
      <c r="C692" s="158"/>
      <c r="D692" s="158"/>
      <c r="E692" s="158"/>
      <c r="F692" s="202"/>
      <c r="G692" s="202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</row>
    <row r="693" spans="1:32" ht="15.75" customHeight="1">
      <c r="A693" s="158"/>
      <c r="B693" s="201"/>
      <c r="C693" s="158"/>
      <c r="D693" s="158"/>
      <c r="E693" s="158"/>
      <c r="F693" s="202"/>
      <c r="G693" s="202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</row>
    <row r="694" spans="1:32" ht="15.75" customHeight="1">
      <c r="A694" s="158"/>
      <c r="B694" s="201"/>
      <c r="C694" s="158"/>
      <c r="D694" s="158"/>
      <c r="E694" s="158"/>
      <c r="F694" s="202"/>
      <c r="G694" s="202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</row>
    <row r="695" spans="1:32" ht="15.75" customHeight="1">
      <c r="A695" s="158"/>
      <c r="B695" s="201"/>
      <c r="C695" s="158"/>
      <c r="D695" s="158"/>
      <c r="E695" s="158"/>
      <c r="F695" s="202"/>
      <c r="G695" s="202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</row>
    <row r="696" spans="1:32" ht="15.75" customHeight="1">
      <c r="A696" s="158"/>
      <c r="B696" s="201"/>
      <c r="C696" s="158"/>
      <c r="D696" s="158"/>
      <c r="E696" s="158"/>
      <c r="F696" s="202"/>
      <c r="G696" s="202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</row>
    <row r="697" spans="1:32" ht="15.75" customHeight="1">
      <c r="A697" s="158"/>
      <c r="B697" s="201"/>
      <c r="C697" s="158"/>
      <c r="D697" s="158"/>
      <c r="E697" s="158"/>
      <c r="F697" s="202"/>
      <c r="G697" s="202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</row>
    <row r="698" spans="1:32" ht="15.75" customHeight="1">
      <c r="A698" s="158"/>
      <c r="B698" s="201"/>
      <c r="C698" s="158"/>
      <c r="D698" s="158"/>
      <c r="E698" s="158"/>
      <c r="F698" s="202"/>
      <c r="G698" s="202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</row>
    <row r="699" spans="1:32" ht="15.75" customHeight="1">
      <c r="A699" s="158"/>
      <c r="B699" s="201"/>
      <c r="C699" s="158"/>
      <c r="D699" s="158"/>
      <c r="E699" s="158"/>
      <c r="F699" s="202"/>
      <c r="G699" s="202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</row>
    <row r="700" spans="1:32" ht="15.75" customHeight="1">
      <c r="A700" s="158"/>
      <c r="B700" s="201"/>
      <c r="C700" s="158"/>
      <c r="D700" s="158"/>
      <c r="E700" s="158"/>
      <c r="F700" s="202"/>
      <c r="G700" s="202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</row>
    <row r="701" spans="1:32" ht="15.75" customHeight="1">
      <c r="A701" s="158"/>
      <c r="B701" s="201"/>
      <c r="C701" s="158"/>
      <c r="D701" s="158"/>
      <c r="E701" s="158"/>
      <c r="F701" s="202"/>
      <c r="G701" s="202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</row>
    <row r="702" spans="1:32" ht="15.75" customHeight="1">
      <c r="A702" s="158"/>
      <c r="B702" s="201"/>
      <c r="C702" s="158"/>
      <c r="D702" s="158"/>
      <c r="E702" s="158"/>
      <c r="F702" s="202"/>
      <c r="G702" s="202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</row>
    <row r="703" spans="1:32" ht="15.75" customHeight="1">
      <c r="A703" s="158"/>
      <c r="B703" s="201"/>
      <c r="C703" s="158"/>
      <c r="D703" s="158"/>
      <c r="E703" s="158"/>
      <c r="F703" s="202"/>
      <c r="G703" s="202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</row>
    <row r="704" spans="1:32" ht="15.75" customHeight="1">
      <c r="A704" s="158"/>
      <c r="B704" s="201"/>
      <c r="C704" s="158"/>
      <c r="D704" s="158"/>
      <c r="E704" s="158"/>
      <c r="F704" s="202"/>
      <c r="G704" s="202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</row>
    <row r="705" spans="1:32" ht="15.75" customHeight="1">
      <c r="A705" s="158"/>
      <c r="B705" s="201"/>
      <c r="C705" s="158"/>
      <c r="D705" s="158"/>
      <c r="E705" s="158"/>
      <c r="F705" s="202"/>
      <c r="G705" s="202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</row>
    <row r="706" spans="1:32" ht="15.75" customHeight="1">
      <c r="A706" s="158"/>
      <c r="B706" s="201"/>
      <c r="C706" s="158"/>
      <c r="D706" s="158"/>
      <c r="E706" s="158"/>
      <c r="F706" s="202"/>
      <c r="G706" s="202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</row>
    <row r="707" spans="1:32" ht="15.75" customHeight="1">
      <c r="A707" s="158"/>
      <c r="B707" s="201"/>
      <c r="C707" s="158"/>
      <c r="D707" s="158"/>
      <c r="E707" s="158"/>
      <c r="F707" s="202"/>
      <c r="G707" s="202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</row>
    <row r="708" spans="1:32" ht="15.75" customHeight="1">
      <c r="A708" s="158"/>
      <c r="B708" s="201"/>
      <c r="C708" s="158"/>
      <c r="D708" s="158"/>
      <c r="E708" s="158"/>
      <c r="F708" s="202"/>
      <c r="G708" s="202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</row>
    <row r="709" spans="1:32" ht="15.75" customHeight="1">
      <c r="A709" s="158"/>
      <c r="B709" s="201"/>
      <c r="C709" s="158"/>
      <c r="D709" s="158"/>
      <c r="E709" s="158"/>
      <c r="F709" s="202"/>
      <c r="G709" s="202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</row>
    <row r="710" spans="1:32" ht="15.75" customHeight="1">
      <c r="A710" s="158"/>
      <c r="B710" s="201"/>
      <c r="C710" s="158"/>
      <c r="D710" s="158"/>
      <c r="E710" s="158"/>
      <c r="F710" s="202"/>
      <c r="G710" s="202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</row>
    <row r="711" spans="1:32" ht="15.75" customHeight="1">
      <c r="A711" s="158"/>
      <c r="B711" s="201"/>
      <c r="C711" s="158"/>
      <c r="D711" s="158"/>
      <c r="E711" s="158"/>
      <c r="F711" s="202"/>
      <c r="G711" s="202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</row>
    <row r="712" spans="1:32" ht="15.75" customHeight="1">
      <c r="A712" s="158"/>
      <c r="B712" s="201"/>
      <c r="C712" s="158"/>
      <c r="D712" s="158"/>
      <c r="E712" s="158"/>
      <c r="F712" s="202"/>
      <c r="G712" s="202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</row>
    <row r="713" spans="1:32" ht="15.75" customHeight="1">
      <c r="A713" s="158"/>
      <c r="B713" s="201"/>
      <c r="C713" s="158"/>
      <c r="D713" s="158"/>
      <c r="E713" s="158"/>
      <c r="F713" s="202"/>
      <c r="G713" s="202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</row>
    <row r="714" spans="1:32" ht="15.75" customHeight="1">
      <c r="A714" s="158"/>
      <c r="B714" s="201"/>
      <c r="C714" s="158"/>
      <c r="D714" s="158"/>
      <c r="E714" s="158"/>
      <c r="F714" s="202"/>
      <c r="G714" s="202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</row>
    <row r="715" spans="1:32" ht="15.75" customHeight="1">
      <c r="A715" s="158"/>
      <c r="B715" s="201"/>
      <c r="C715" s="158"/>
      <c r="D715" s="158"/>
      <c r="E715" s="158"/>
      <c r="F715" s="202"/>
      <c r="G715" s="202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</row>
    <row r="716" spans="1:32" ht="15.75" customHeight="1">
      <c r="A716" s="158"/>
      <c r="B716" s="201"/>
      <c r="C716" s="158"/>
      <c r="D716" s="158"/>
      <c r="E716" s="158"/>
      <c r="F716" s="202"/>
      <c r="G716" s="202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</row>
    <row r="717" spans="1:32" ht="15.75" customHeight="1">
      <c r="A717" s="158"/>
      <c r="B717" s="201"/>
      <c r="C717" s="158"/>
      <c r="D717" s="158"/>
      <c r="E717" s="158"/>
      <c r="F717" s="202"/>
      <c r="G717" s="202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</row>
    <row r="718" spans="1:32" ht="15.75" customHeight="1">
      <c r="A718" s="158"/>
      <c r="B718" s="201"/>
      <c r="C718" s="158"/>
      <c r="D718" s="158"/>
      <c r="E718" s="158"/>
      <c r="F718" s="202"/>
      <c r="G718" s="202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</row>
    <row r="719" spans="1:32" ht="15.75" customHeight="1">
      <c r="A719" s="158"/>
      <c r="B719" s="201"/>
      <c r="C719" s="158"/>
      <c r="D719" s="158"/>
      <c r="E719" s="158"/>
      <c r="F719" s="202"/>
      <c r="G719" s="202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</row>
    <row r="720" spans="1:32" ht="15.75" customHeight="1">
      <c r="A720" s="158"/>
      <c r="B720" s="201"/>
      <c r="C720" s="158"/>
      <c r="D720" s="158"/>
      <c r="E720" s="158"/>
      <c r="F720" s="202"/>
      <c r="G720" s="202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</row>
    <row r="721" spans="1:32" ht="15.75" customHeight="1">
      <c r="A721" s="158"/>
      <c r="B721" s="201"/>
      <c r="C721" s="158"/>
      <c r="D721" s="158"/>
      <c r="E721" s="158"/>
      <c r="F721" s="202"/>
      <c r="G721" s="202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</row>
    <row r="722" spans="1:32" ht="15.75" customHeight="1">
      <c r="A722" s="158"/>
      <c r="B722" s="201"/>
      <c r="C722" s="158"/>
      <c r="D722" s="158"/>
      <c r="E722" s="158"/>
      <c r="F722" s="202"/>
      <c r="G722" s="202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</row>
    <row r="723" spans="1:32" ht="15.75" customHeight="1">
      <c r="A723" s="158"/>
      <c r="B723" s="201"/>
      <c r="C723" s="158"/>
      <c r="D723" s="158"/>
      <c r="E723" s="158"/>
      <c r="F723" s="202"/>
      <c r="G723" s="202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</row>
    <row r="724" spans="1:32" ht="15.75" customHeight="1">
      <c r="A724" s="158"/>
      <c r="B724" s="201"/>
      <c r="C724" s="158"/>
      <c r="D724" s="158"/>
      <c r="E724" s="158"/>
      <c r="F724" s="202"/>
      <c r="G724" s="202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</row>
    <row r="725" spans="1:32" ht="15.75" customHeight="1">
      <c r="A725" s="158"/>
      <c r="B725" s="201"/>
      <c r="C725" s="158"/>
      <c r="D725" s="158"/>
      <c r="E725" s="158"/>
      <c r="F725" s="202"/>
      <c r="G725" s="202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</row>
    <row r="726" spans="1:32" ht="15.75" customHeight="1">
      <c r="A726" s="158"/>
      <c r="B726" s="201"/>
      <c r="C726" s="158"/>
      <c r="D726" s="158"/>
      <c r="E726" s="158"/>
      <c r="F726" s="202"/>
      <c r="G726" s="202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</row>
    <row r="727" spans="1:32" ht="15.75" customHeight="1">
      <c r="A727" s="158"/>
      <c r="B727" s="201"/>
      <c r="C727" s="158"/>
      <c r="D727" s="158"/>
      <c r="E727" s="158"/>
      <c r="F727" s="202"/>
      <c r="G727" s="202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</row>
    <row r="728" spans="1:32" ht="15.75" customHeight="1">
      <c r="A728" s="158"/>
      <c r="B728" s="201"/>
      <c r="C728" s="158"/>
      <c r="D728" s="158"/>
      <c r="E728" s="158"/>
      <c r="F728" s="202"/>
      <c r="G728" s="202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</row>
    <row r="729" spans="1:32" ht="15.75" customHeight="1">
      <c r="A729" s="158"/>
      <c r="B729" s="201"/>
      <c r="C729" s="158"/>
      <c r="D729" s="158"/>
      <c r="E729" s="158"/>
      <c r="F729" s="202"/>
      <c r="G729" s="202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</row>
    <row r="730" spans="1:32" ht="15.75" customHeight="1">
      <c r="A730" s="158"/>
      <c r="B730" s="201"/>
      <c r="C730" s="158"/>
      <c r="D730" s="158"/>
      <c r="E730" s="158"/>
      <c r="F730" s="202"/>
      <c r="G730" s="202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</row>
    <row r="731" spans="1:32" ht="15.75" customHeight="1">
      <c r="A731" s="158"/>
      <c r="B731" s="201"/>
      <c r="C731" s="158"/>
      <c r="D731" s="158"/>
      <c r="E731" s="158"/>
      <c r="F731" s="202"/>
      <c r="G731" s="202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</row>
    <row r="732" spans="1:32" ht="15.75" customHeight="1">
      <c r="A732" s="158"/>
      <c r="B732" s="201"/>
      <c r="C732" s="158"/>
      <c r="D732" s="158"/>
      <c r="E732" s="158"/>
      <c r="F732" s="202"/>
      <c r="G732" s="202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</row>
    <row r="733" spans="1:32" ht="15.75" customHeight="1">
      <c r="A733" s="158"/>
      <c r="B733" s="201"/>
      <c r="C733" s="158"/>
      <c r="D733" s="158"/>
      <c r="E733" s="158"/>
      <c r="F733" s="202"/>
      <c r="G733" s="202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</row>
    <row r="734" spans="1:32" ht="15.75" customHeight="1">
      <c r="A734" s="158"/>
      <c r="B734" s="201"/>
      <c r="C734" s="158"/>
      <c r="D734" s="158"/>
      <c r="E734" s="158"/>
      <c r="F734" s="202"/>
      <c r="G734" s="202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</row>
    <row r="735" spans="1:32" ht="15.75" customHeight="1">
      <c r="A735" s="158"/>
      <c r="B735" s="201"/>
      <c r="C735" s="158"/>
      <c r="D735" s="158"/>
      <c r="E735" s="158"/>
      <c r="F735" s="202"/>
      <c r="G735" s="202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</row>
    <row r="736" spans="1:32" ht="15.75" customHeight="1">
      <c r="A736" s="158"/>
      <c r="B736" s="201"/>
      <c r="C736" s="158"/>
      <c r="D736" s="158"/>
      <c r="E736" s="158"/>
      <c r="F736" s="202"/>
      <c r="G736" s="202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</row>
    <row r="737" spans="1:32" ht="15.75" customHeight="1">
      <c r="A737" s="158"/>
      <c r="B737" s="201"/>
      <c r="C737" s="158"/>
      <c r="D737" s="158"/>
      <c r="E737" s="158"/>
      <c r="F737" s="202"/>
      <c r="G737" s="202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</row>
    <row r="738" spans="1:32" ht="15.75" customHeight="1">
      <c r="A738" s="158"/>
      <c r="B738" s="201"/>
      <c r="C738" s="158"/>
      <c r="D738" s="158"/>
      <c r="E738" s="158"/>
      <c r="F738" s="202"/>
      <c r="G738" s="202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</row>
    <row r="739" spans="1:32" ht="15.75" customHeight="1">
      <c r="A739" s="158"/>
      <c r="B739" s="201"/>
      <c r="C739" s="158"/>
      <c r="D739" s="158"/>
      <c r="E739" s="158"/>
      <c r="F739" s="202"/>
      <c r="G739" s="202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</row>
    <row r="740" spans="1:32" ht="15.75" customHeight="1">
      <c r="A740" s="158"/>
      <c r="B740" s="201"/>
      <c r="C740" s="158"/>
      <c r="D740" s="158"/>
      <c r="E740" s="158"/>
      <c r="F740" s="202"/>
      <c r="G740" s="202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</row>
    <row r="741" spans="1:32" ht="15.75" customHeight="1">
      <c r="A741" s="158"/>
      <c r="B741" s="201"/>
      <c r="C741" s="158"/>
      <c r="D741" s="158"/>
      <c r="E741" s="158"/>
      <c r="F741" s="202"/>
      <c r="G741" s="202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</row>
    <row r="742" spans="1:32" ht="15.75" customHeight="1">
      <c r="A742" s="158"/>
      <c r="B742" s="201"/>
      <c r="C742" s="158"/>
      <c r="D742" s="158"/>
      <c r="E742" s="158"/>
      <c r="F742" s="202"/>
      <c r="G742" s="202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</row>
    <row r="743" spans="1:32" ht="15.75" customHeight="1">
      <c r="A743" s="158"/>
      <c r="B743" s="201"/>
      <c r="C743" s="158"/>
      <c r="D743" s="158"/>
      <c r="E743" s="158"/>
      <c r="F743" s="202"/>
      <c r="G743" s="202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</row>
    <row r="744" spans="1:32" ht="15.75" customHeight="1">
      <c r="A744" s="158"/>
      <c r="B744" s="201"/>
      <c r="C744" s="158"/>
      <c r="D744" s="158"/>
      <c r="E744" s="158"/>
      <c r="F744" s="202"/>
      <c r="G744" s="202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</row>
    <row r="745" spans="1:32" ht="15.75" customHeight="1">
      <c r="A745" s="158"/>
      <c r="B745" s="201"/>
      <c r="C745" s="158"/>
      <c r="D745" s="158"/>
      <c r="E745" s="158"/>
      <c r="F745" s="202"/>
      <c r="G745" s="202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</row>
    <row r="746" spans="1:32" ht="15.75" customHeight="1">
      <c r="A746" s="158"/>
      <c r="B746" s="201"/>
      <c r="C746" s="158"/>
      <c r="D746" s="158"/>
      <c r="E746" s="158"/>
      <c r="F746" s="202"/>
      <c r="G746" s="202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</row>
    <row r="747" spans="1:32" ht="15.75" customHeight="1">
      <c r="A747" s="158"/>
      <c r="B747" s="201"/>
      <c r="C747" s="158"/>
      <c r="D747" s="158"/>
      <c r="E747" s="158"/>
      <c r="F747" s="202"/>
      <c r="G747" s="202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</row>
    <row r="748" spans="1:32" ht="15.75" customHeight="1">
      <c r="A748" s="158"/>
      <c r="B748" s="201"/>
      <c r="C748" s="158"/>
      <c r="D748" s="158"/>
      <c r="E748" s="158"/>
      <c r="F748" s="202"/>
      <c r="G748" s="202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</row>
    <row r="749" spans="1:32" ht="15.75" customHeight="1">
      <c r="A749" s="158"/>
      <c r="B749" s="201"/>
      <c r="C749" s="158"/>
      <c r="D749" s="158"/>
      <c r="E749" s="158"/>
      <c r="F749" s="202"/>
      <c r="G749" s="202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</row>
    <row r="750" spans="1:32" ht="15.75" customHeight="1">
      <c r="A750" s="158"/>
      <c r="B750" s="201"/>
      <c r="C750" s="158"/>
      <c r="D750" s="158"/>
      <c r="E750" s="158"/>
      <c r="F750" s="202"/>
      <c r="G750" s="202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</row>
    <row r="751" spans="1:32" ht="15.75" customHeight="1">
      <c r="A751" s="158"/>
      <c r="B751" s="201"/>
      <c r="C751" s="158"/>
      <c r="D751" s="158"/>
      <c r="E751" s="158"/>
      <c r="F751" s="202"/>
      <c r="G751" s="202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</row>
    <row r="752" spans="1:32" ht="15.75" customHeight="1">
      <c r="A752" s="158"/>
      <c r="B752" s="201"/>
      <c r="C752" s="158"/>
      <c r="D752" s="158"/>
      <c r="E752" s="158"/>
      <c r="F752" s="202"/>
      <c r="G752" s="202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</row>
    <row r="753" spans="1:32" ht="15.75" customHeight="1">
      <c r="A753" s="158"/>
      <c r="B753" s="201"/>
      <c r="C753" s="158"/>
      <c r="D753" s="158"/>
      <c r="E753" s="158"/>
      <c r="F753" s="202"/>
      <c r="G753" s="202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</row>
    <row r="754" spans="1:32" ht="15.75" customHeight="1">
      <c r="A754" s="158"/>
      <c r="B754" s="201"/>
      <c r="C754" s="158"/>
      <c r="D754" s="158"/>
      <c r="E754" s="158"/>
      <c r="F754" s="202"/>
      <c r="G754" s="202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</row>
    <row r="755" spans="1:32" ht="15.75" customHeight="1">
      <c r="A755" s="158"/>
      <c r="B755" s="201"/>
      <c r="C755" s="158"/>
      <c r="D755" s="158"/>
      <c r="E755" s="158"/>
      <c r="F755" s="202"/>
      <c r="G755" s="202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</row>
    <row r="756" spans="1:32" ht="15.75" customHeight="1">
      <c r="A756" s="158"/>
      <c r="B756" s="201"/>
      <c r="C756" s="158"/>
      <c r="D756" s="158"/>
      <c r="E756" s="158"/>
      <c r="F756" s="202"/>
      <c r="G756" s="202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</row>
    <row r="757" spans="1:32" ht="15.75" customHeight="1">
      <c r="A757" s="158"/>
      <c r="B757" s="201"/>
      <c r="C757" s="158"/>
      <c r="D757" s="158"/>
      <c r="E757" s="158"/>
      <c r="F757" s="202"/>
      <c r="G757" s="202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</row>
    <row r="758" spans="1:32" ht="15.75" customHeight="1">
      <c r="A758" s="158"/>
      <c r="B758" s="201"/>
      <c r="C758" s="158"/>
      <c r="D758" s="158"/>
      <c r="E758" s="158"/>
      <c r="F758" s="202"/>
      <c r="G758" s="202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</row>
    <row r="759" spans="1:32" ht="15.75" customHeight="1">
      <c r="A759" s="158"/>
      <c r="B759" s="201"/>
      <c r="C759" s="158"/>
      <c r="D759" s="158"/>
      <c r="E759" s="158"/>
      <c r="F759" s="202"/>
      <c r="G759" s="202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</row>
    <row r="760" spans="1:32" ht="15.75" customHeight="1">
      <c r="A760" s="158"/>
      <c r="B760" s="201"/>
      <c r="C760" s="158"/>
      <c r="D760" s="158"/>
      <c r="E760" s="158"/>
      <c r="F760" s="202"/>
      <c r="G760" s="202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</row>
    <row r="761" spans="1:32" ht="15.75" customHeight="1">
      <c r="A761" s="158"/>
      <c r="B761" s="201"/>
      <c r="C761" s="158"/>
      <c r="D761" s="158"/>
      <c r="E761" s="158"/>
      <c r="F761" s="202"/>
      <c r="G761" s="202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</row>
    <row r="762" spans="1:32" ht="15.75" customHeight="1">
      <c r="A762" s="158"/>
      <c r="B762" s="201"/>
      <c r="C762" s="158"/>
      <c r="D762" s="158"/>
      <c r="E762" s="158"/>
      <c r="F762" s="202"/>
      <c r="G762" s="202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</row>
    <row r="763" spans="1:32" ht="15.75" customHeight="1">
      <c r="A763" s="158"/>
      <c r="B763" s="201"/>
      <c r="C763" s="158"/>
      <c r="D763" s="158"/>
      <c r="E763" s="158"/>
      <c r="F763" s="202"/>
      <c r="G763" s="202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</row>
    <row r="764" spans="1:32" ht="15.75" customHeight="1">
      <c r="A764" s="158"/>
      <c r="B764" s="201"/>
      <c r="C764" s="158"/>
      <c r="D764" s="158"/>
      <c r="E764" s="158"/>
      <c r="F764" s="202"/>
      <c r="G764" s="202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</row>
    <row r="765" spans="1:32" ht="15.75" customHeight="1">
      <c r="A765" s="158"/>
      <c r="B765" s="201"/>
      <c r="C765" s="158"/>
      <c r="D765" s="158"/>
      <c r="E765" s="158"/>
      <c r="F765" s="202"/>
      <c r="G765" s="202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</row>
    <row r="766" spans="1:32" ht="15.75" customHeight="1">
      <c r="A766" s="158"/>
      <c r="B766" s="201"/>
      <c r="C766" s="158"/>
      <c r="D766" s="158"/>
      <c r="E766" s="158"/>
      <c r="F766" s="202"/>
      <c r="G766" s="202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</row>
    <row r="767" spans="1:32" ht="15.75" customHeight="1">
      <c r="A767" s="158"/>
      <c r="B767" s="201"/>
      <c r="C767" s="158"/>
      <c r="D767" s="158"/>
      <c r="E767" s="158"/>
      <c r="F767" s="202"/>
      <c r="G767" s="202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</row>
    <row r="768" spans="1:32" ht="15.75" customHeight="1">
      <c r="A768" s="158"/>
      <c r="B768" s="201"/>
      <c r="C768" s="158"/>
      <c r="D768" s="158"/>
      <c r="E768" s="158"/>
      <c r="F768" s="202"/>
      <c r="G768" s="202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</row>
    <row r="769" spans="1:32" ht="15.75" customHeight="1">
      <c r="A769" s="158"/>
      <c r="B769" s="201"/>
      <c r="C769" s="158"/>
      <c r="D769" s="158"/>
      <c r="E769" s="158"/>
      <c r="F769" s="202"/>
      <c r="G769" s="202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</row>
    <row r="770" spans="1:32" ht="15.75" customHeight="1">
      <c r="A770" s="158"/>
      <c r="B770" s="201"/>
      <c r="C770" s="158"/>
      <c r="D770" s="158"/>
      <c r="E770" s="158"/>
      <c r="F770" s="202"/>
      <c r="G770" s="202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</row>
    <row r="771" spans="1:32" ht="15.75" customHeight="1">
      <c r="A771" s="158"/>
      <c r="B771" s="201"/>
      <c r="C771" s="158"/>
      <c r="D771" s="158"/>
      <c r="E771" s="158"/>
      <c r="F771" s="202"/>
      <c r="G771" s="202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</row>
    <row r="772" spans="1:32" ht="15.75" customHeight="1">
      <c r="A772" s="158"/>
      <c r="B772" s="201"/>
      <c r="C772" s="158"/>
      <c r="D772" s="158"/>
      <c r="E772" s="158"/>
      <c r="F772" s="202"/>
      <c r="G772" s="202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</row>
    <row r="773" spans="1:32" ht="15.75" customHeight="1">
      <c r="A773" s="158"/>
      <c r="B773" s="201"/>
      <c r="C773" s="158"/>
      <c r="D773" s="158"/>
      <c r="E773" s="158"/>
      <c r="F773" s="202"/>
      <c r="G773" s="202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</row>
    <row r="774" spans="1:32" ht="15.75" customHeight="1">
      <c r="A774" s="158"/>
      <c r="B774" s="201"/>
      <c r="C774" s="158"/>
      <c r="D774" s="158"/>
      <c r="E774" s="158"/>
      <c r="F774" s="202"/>
      <c r="G774" s="202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</row>
    <row r="775" spans="1:32" ht="15.75" customHeight="1">
      <c r="A775" s="158"/>
      <c r="B775" s="201"/>
      <c r="C775" s="158"/>
      <c r="D775" s="158"/>
      <c r="E775" s="158"/>
      <c r="F775" s="202"/>
      <c r="G775" s="202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</row>
    <row r="776" spans="1:32" ht="15.75" customHeight="1">
      <c r="A776" s="158"/>
      <c r="B776" s="201"/>
      <c r="C776" s="158"/>
      <c r="D776" s="158"/>
      <c r="E776" s="158"/>
      <c r="F776" s="202"/>
      <c r="G776" s="202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</row>
    <row r="777" spans="1:32" ht="15.75" customHeight="1">
      <c r="A777" s="158"/>
      <c r="B777" s="201"/>
      <c r="C777" s="158"/>
      <c r="D777" s="158"/>
      <c r="E777" s="158"/>
      <c r="F777" s="202"/>
      <c r="G777" s="202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</row>
    <row r="778" spans="1:32" ht="15.75" customHeight="1">
      <c r="A778" s="158"/>
      <c r="B778" s="201"/>
      <c r="C778" s="158"/>
      <c r="D778" s="158"/>
      <c r="E778" s="158"/>
      <c r="F778" s="202"/>
      <c r="G778" s="202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</row>
    <row r="779" spans="1:32" ht="15.75" customHeight="1">
      <c r="A779" s="158"/>
      <c r="B779" s="201"/>
      <c r="C779" s="158"/>
      <c r="D779" s="158"/>
      <c r="E779" s="158"/>
      <c r="F779" s="202"/>
      <c r="G779" s="202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</row>
    <row r="780" spans="1:32" ht="15.75" customHeight="1">
      <c r="A780" s="158"/>
      <c r="B780" s="201"/>
      <c r="C780" s="158"/>
      <c r="D780" s="158"/>
      <c r="E780" s="158"/>
      <c r="F780" s="202"/>
      <c r="G780" s="202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</row>
    <row r="781" spans="1:32" ht="15.75" customHeight="1">
      <c r="A781" s="158"/>
      <c r="B781" s="201"/>
      <c r="C781" s="158"/>
      <c r="D781" s="158"/>
      <c r="E781" s="158"/>
      <c r="F781" s="202"/>
      <c r="G781" s="202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</row>
    <row r="782" spans="1:32" ht="15.75" customHeight="1">
      <c r="A782" s="158"/>
      <c r="B782" s="201"/>
      <c r="C782" s="158"/>
      <c r="D782" s="158"/>
      <c r="E782" s="158"/>
      <c r="F782" s="202"/>
      <c r="G782" s="202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</row>
    <row r="783" spans="1:32" ht="15.75" customHeight="1">
      <c r="A783" s="158"/>
      <c r="B783" s="201"/>
      <c r="C783" s="158"/>
      <c r="D783" s="158"/>
      <c r="E783" s="158"/>
      <c r="F783" s="202"/>
      <c r="G783" s="202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</row>
    <row r="784" spans="1:32" ht="15.75" customHeight="1">
      <c r="A784" s="158"/>
      <c r="B784" s="201"/>
      <c r="C784" s="158"/>
      <c r="D784" s="158"/>
      <c r="E784" s="158"/>
      <c r="F784" s="202"/>
      <c r="G784" s="202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</row>
    <row r="785" spans="1:32" ht="15.75" customHeight="1">
      <c r="A785" s="158"/>
      <c r="B785" s="201"/>
      <c r="C785" s="158"/>
      <c r="D785" s="158"/>
      <c r="E785" s="158"/>
      <c r="F785" s="202"/>
      <c r="G785" s="202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</row>
    <row r="786" spans="1:32" ht="15.75" customHeight="1">
      <c r="A786" s="158"/>
      <c r="B786" s="201"/>
      <c r="C786" s="158"/>
      <c r="D786" s="158"/>
      <c r="E786" s="158"/>
      <c r="F786" s="202"/>
      <c r="G786" s="202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</row>
    <row r="787" spans="1:32" ht="15.75" customHeight="1">
      <c r="A787" s="158"/>
      <c r="B787" s="201"/>
      <c r="C787" s="158"/>
      <c r="D787" s="158"/>
      <c r="E787" s="158"/>
      <c r="F787" s="202"/>
      <c r="G787" s="202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</row>
    <row r="788" spans="1:32" ht="15.75" customHeight="1">
      <c r="A788" s="158"/>
      <c r="B788" s="201"/>
      <c r="C788" s="158"/>
      <c r="D788" s="158"/>
      <c r="E788" s="158"/>
      <c r="F788" s="202"/>
      <c r="G788" s="202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</row>
    <row r="789" spans="1:32" ht="15.75" customHeight="1">
      <c r="A789" s="158"/>
      <c r="B789" s="201"/>
      <c r="C789" s="158"/>
      <c r="D789" s="158"/>
      <c r="E789" s="158"/>
      <c r="F789" s="202"/>
      <c r="G789" s="202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</row>
    <row r="790" spans="1:32" ht="15.75" customHeight="1">
      <c r="A790" s="158"/>
      <c r="B790" s="201"/>
      <c r="C790" s="158"/>
      <c r="D790" s="158"/>
      <c r="E790" s="158"/>
      <c r="F790" s="202"/>
      <c r="G790" s="202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</row>
    <row r="791" spans="1:32" ht="15.75" customHeight="1">
      <c r="A791" s="158"/>
      <c r="B791" s="201"/>
      <c r="C791" s="158"/>
      <c r="D791" s="158"/>
      <c r="E791" s="158"/>
      <c r="F791" s="202"/>
      <c r="G791" s="202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</row>
    <row r="792" spans="1:32" ht="15.75" customHeight="1">
      <c r="A792" s="158"/>
      <c r="B792" s="201"/>
      <c r="C792" s="158"/>
      <c r="D792" s="158"/>
      <c r="E792" s="158"/>
      <c r="F792" s="202"/>
      <c r="G792" s="202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</row>
    <row r="793" spans="1:32" ht="15.75" customHeight="1">
      <c r="A793" s="158"/>
      <c r="B793" s="201"/>
      <c r="C793" s="158"/>
      <c r="D793" s="158"/>
      <c r="E793" s="158"/>
      <c r="F793" s="202"/>
      <c r="G793" s="202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</row>
    <row r="794" spans="1:32" ht="15.75" customHeight="1">
      <c r="A794" s="158"/>
      <c r="B794" s="201"/>
      <c r="C794" s="158"/>
      <c r="D794" s="158"/>
      <c r="E794" s="158"/>
      <c r="F794" s="202"/>
      <c r="G794" s="202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</row>
    <row r="795" spans="1:32" ht="15.75" customHeight="1">
      <c r="A795" s="158"/>
      <c r="B795" s="201"/>
      <c r="C795" s="158"/>
      <c r="D795" s="158"/>
      <c r="E795" s="158"/>
      <c r="F795" s="202"/>
      <c r="G795" s="202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</row>
    <row r="796" spans="1:32" ht="15.75" customHeight="1">
      <c r="A796" s="158"/>
      <c r="B796" s="201"/>
      <c r="C796" s="158"/>
      <c r="D796" s="158"/>
      <c r="E796" s="158"/>
      <c r="F796" s="202"/>
      <c r="G796" s="202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</row>
    <row r="797" spans="1:32" ht="15.75" customHeight="1">
      <c r="A797" s="158"/>
      <c r="B797" s="201"/>
      <c r="C797" s="158"/>
      <c r="D797" s="158"/>
      <c r="E797" s="158"/>
      <c r="F797" s="202"/>
      <c r="G797" s="202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</row>
    <row r="798" spans="1:32" ht="15.75" customHeight="1">
      <c r="A798" s="158"/>
      <c r="B798" s="201"/>
      <c r="C798" s="158"/>
      <c r="D798" s="158"/>
      <c r="E798" s="158"/>
      <c r="F798" s="202"/>
      <c r="G798" s="202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</row>
    <row r="799" spans="1:32" ht="15.75" customHeight="1">
      <c r="A799" s="158"/>
      <c r="B799" s="201"/>
      <c r="C799" s="158"/>
      <c r="D799" s="158"/>
      <c r="E799" s="158"/>
      <c r="F799" s="202"/>
      <c r="G799" s="202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</row>
    <row r="800" spans="1:32" ht="15.75" customHeight="1">
      <c r="A800" s="158"/>
      <c r="B800" s="201"/>
      <c r="C800" s="158"/>
      <c r="D800" s="158"/>
      <c r="E800" s="158"/>
      <c r="F800" s="202"/>
      <c r="G800" s="202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</row>
    <row r="801" spans="1:32" ht="15.75" customHeight="1">
      <c r="A801" s="158"/>
      <c r="B801" s="201"/>
      <c r="C801" s="158"/>
      <c r="D801" s="158"/>
      <c r="E801" s="158"/>
      <c r="F801" s="202"/>
      <c r="G801" s="202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</row>
    <row r="802" spans="1:32" ht="15.75" customHeight="1">
      <c r="A802" s="158"/>
      <c r="B802" s="201"/>
      <c r="C802" s="158"/>
      <c r="D802" s="158"/>
      <c r="E802" s="158"/>
      <c r="F802" s="202"/>
      <c r="G802" s="202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</row>
    <row r="803" spans="1:32" ht="15.75" customHeight="1">
      <c r="A803" s="158"/>
      <c r="B803" s="201"/>
      <c r="C803" s="158"/>
      <c r="D803" s="158"/>
      <c r="E803" s="158"/>
      <c r="F803" s="202"/>
      <c r="G803" s="202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</row>
    <row r="804" spans="1:32" ht="15.75" customHeight="1">
      <c r="A804" s="158"/>
      <c r="B804" s="201"/>
      <c r="C804" s="158"/>
      <c r="D804" s="158"/>
      <c r="E804" s="158"/>
      <c r="F804" s="202"/>
      <c r="G804" s="202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</row>
    <row r="805" spans="1:32" ht="15.75" customHeight="1">
      <c r="A805" s="158"/>
      <c r="B805" s="201"/>
      <c r="C805" s="158"/>
      <c r="D805" s="158"/>
      <c r="E805" s="158"/>
      <c r="F805" s="202"/>
      <c r="G805" s="202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</row>
    <row r="806" spans="1:32" ht="15.75" customHeight="1">
      <c r="A806" s="158"/>
      <c r="B806" s="201"/>
      <c r="C806" s="158"/>
      <c r="D806" s="158"/>
      <c r="E806" s="158"/>
      <c r="F806" s="202"/>
      <c r="G806" s="202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</row>
    <row r="807" spans="1:32" ht="15.75" customHeight="1">
      <c r="A807" s="158"/>
      <c r="B807" s="201"/>
      <c r="C807" s="158"/>
      <c r="D807" s="158"/>
      <c r="E807" s="158"/>
      <c r="F807" s="202"/>
      <c r="G807" s="202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</row>
    <row r="808" spans="1:32" ht="15.75" customHeight="1">
      <c r="A808" s="158"/>
      <c r="B808" s="201"/>
      <c r="C808" s="158"/>
      <c r="D808" s="158"/>
      <c r="E808" s="158"/>
      <c r="F808" s="202"/>
      <c r="G808" s="202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</row>
    <row r="809" spans="1:32" ht="15.75" customHeight="1">
      <c r="A809" s="158"/>
      <c r="B809" s="201"/>
      <c r="C809" s="158"/>
      <c r="D809" s="158"/>
      <c r="E809" s="158"/>
      <c r="F809" s="202"/>
      <c r="G809" s="202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</row>
    <row r="810" spans="1:32" ht="15.75" customHeight="1">
      <c r="A810" s="158"/>
      <c r="B810" s="201"/>
      <c r="C810" s="158"/>
      <c r="D810" s="158"/>
      <c r="E810" s="158"/>
      <c r="F810" s="202"/>
      <c r="G810" s="202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</row>
    <row r="811" spans="1:32" ht="15.75" customHeight="1">
      <c r="A811" s="158"/>
      <c r="B811" s="201"/>
      <c r="C811" s="158"/>
      <c r="D811" s="158"/>
      <c r="E811" s="158"/>
      <c r="F811" s="202"/>
      <c r="G811" s="202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</row>
    <row r="812" spans="1:32" ht="15.75" customHeight="1">
      <c r="A812" s="158"/>
      <c r="B812" s="201"/>
      <c r="C812" s="158"/>
      <c r="D812" s="158"/>
      <c r="E812" s="158"/>
      <c r="F812" s="202"/>
      <c r="G812" s="202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</row>
    <row r="813" spans="1:32" ht="15.75" customHeight="1">
      <c r="A813" s="158"/>
      <c r="B813" s="201"/>
      <c r="C813" s="158"/>
      <c r="D813" s="158"/>
      <c r="E813" s="158"/>
      <c r="F813" s="202"/>
      <c r="G813" s="202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</row>
    <row r="814" spans="1:32" ht="15.75" customHeight="1">
      <c r="A814" s="158"/>
      <c r="B814" s="201"/>
      <c r="C814" s="158"/>
      <c r="D814" s="158"/>
      <c r="E814" s="158"/>
      <c r="F814" s="202"/>
      <c r="G814" s="202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</row>
    <row r="815" spans="1:32" ht="15.75" customHeight="1">
      <c r="A815" s="158"/>
      <c r="B815" s="201"/>
      <c r="C815" s="158"/>
      <c r="D815" s="158"/>
      <c r="E815" s="158"/>
      <c r="F815" s="202"/>
      <c r="G815" s="202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</row>
    <row r="816" spans="1:32" ht="15.75" customHeight="1">
      <c r="A816" s="158"/>
      <c r="B816" s="201"/>
      <c r="C816" s="158"/>
      <c r="D816" s="158"/>
      <c r="E816" s="158"/>
      <c r="F816" s="202"/>
      <c r="G816" s="202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</row>
    <row r="817" spans="1:32" ht="15.75" customHeight="1">
      <c r="A817" s="158"/>
      <c r="B817" s="201"/>
      <c r="C817" s="158"/>
      <c r="D817" s="158"/>
      <c r="E817" s="158"/>
      <c r="F817" s="202"/>
      <c r="G817" s="202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</row>
    <row r="818" spans="1:32" ht="15.75" customHeight="1">
      <c r="A818" s="158"/>
      <c r="B818" s="201"/>
      <c r="C818" s="158"/>
      <c r="D818" s="158"/>
      <c r="E818" s="158"/>
      <c r="F818" s="202"/>
      <c r="G818" s="202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</row>
    <row r="819" spans="1:32" ht="15.75" customHeight="1">
      <c r="A819" s="158"/>
      <c r="B819" s="201"/>
      <c r="C819" s="158"/>
      <c r="D819" s="158"/>
      <c r="E819" s="158"/>
      <c r="F819" s="202"/>
      <c r="G819" s="202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</row>
    <row r="820" spans="1:32" ht="15.75" customHeight="1">
      <c r="A820" s="158"/>
      <c r="B820" s="201"/>
      <c r="C820" s="158"/>
      <c r="D820" s="158"/>
      <c r="E820" s="158"/>
      <c r="F820" s="202"/>
      <c r="G820" s="202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</row>
    <row r="821" spans="1:32" ht="15.75" customHeight="1">
      <c r="A821" s="158"/>
      <c r="B821" s="201"/>
      <c r="C821" s="158"/>
      <c r="D821" s="158"/>
      <c r="E821" s="158"/>
      <c r="F821" s="202"/>
      <c r="G821" s="202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</row>
    <row r="822" spans="1:32" ht="15.75" customHeight="1">
      <c r="A822" s="158"/>
      <c r="B822" s="201"/>
      <c r="C822" s="158"/>
      <c r="D822" s="158"/>
      <c r="E822" s="158"/>
      <c r="F822" s="202"/>
      <c r="G822" s="202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</row>
    <row r="823" spans="1:32" ht="15.75" customHeight="1">
      <c r="A823" s="158"/>
      <c r="B823" s="201"/>
      <c r="C823" s="158"/>
      <c r="D823" s="158"/>
      <c r="E823" s="158"/>
      <c r="F823" s="202"/>
      <c r="G823" s="202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</row>
    <row r="824" spans="1:32" ht="15.75" customHeight="1">
      <c r="A824" s="158"/>
      <c r="B824" s="201"/>
      <c r="C824" s="158"/>
      <c r="D824" s="158"/>
      <c r="E824" s="158"/>
      <c r="F824" s="202"/>
      <c r="G824" s="202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</row>
    <row r="825" spans="1:32" ht="15.75" customHeight="1">
      <c r="A825" s="158"/>
      <c r="B825" s="201"/>
      <c r="C825" s="158"/>
      <c r="D825" s="158"/>
      <c r="E825" s="158"/>
      <c r="F825" s="202"/>
      <c r="G825" s="202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</row>
    <row r="826" spans="1:32" ht="15.75" customHeight="1">
      <c r="A826" s="158"/>
      <c r="B826" s="201"/>
      <c r="C826" s="158"/>
      <c r="D826" s="158"/>
      <c r="E826" s="158"/>
      <c r="F826" s="202"/>
      <c r="G826" s="202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</row>
    <row r="827" spans="1:32" ht="15.75" customHeight="1">
      <c r="A827" s="158"/>
      <c r="B827" s="201"/>
      <c r="C827" s="158"/>
      <c r="D827" s="158"/>
      <c r="E827" s="158"/>
      <c r="F827" s="202"/>
      <c r="G827" s="202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</row>
    <row r="828" spans="1:32" ht="15.75" customHeight="1">
      <c r="A828" s="158"/>
      <c r="B828" s="201"/>
      <c r="C828" s="158"/>
      <c r="D828" s="158"/>
      <c r="E828" s="158"/>
      <c r="F828" s="202"/>
      <c r="G828" s="202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</row>
    <row r="829" spans="1:32" ht="15.75" customHeight="1">
      <c r="A829" s="158"/>
      <c r="B829" s="201"/>
      <c r="C829" s="158"/>
      <c r="D829" s="158"/>
      <c r="E829" s="158"/>
      <c r="F829" s="202"/>
      <c r="G829" s="202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</row>
    <row r="830" spans="1:32" ht="15.75" customHeight="1">
      <c r="A830" s="158"/>
      <c r="B830" s="201"/>
      <c r="C830" s="158"/>
      <c r="D830" s="158"/>
      <c r="E830" s="158"/>
      <c r="F830" s="202"/>
      <c r="G830" s="202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</row>
    <row r="831" spans="1:32" ht="15.75" customHeight="1">
      <c r="A831" s="158"/>
      <c r="B831" s="201"/>
      <c r="C831" s="158"/>
      <c r="D831" s="158"/>
      <c r="E831" s="158"/>
      <c r="F831" s="202"/>
      <c r="G831" s="202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</row>
    <row r="832" spans="1:32" ht="15.75" customHeight="1">
      <c r="A832" s="158"/>
      <c r="B832" s="201"/>
      <c r="C832" s="158"/>
      <c r="D832" s="158"/>
      <c r="E832" s="158"/>
      <c r="F832" s="202"/>
      <c r="G832" s="202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</row>
    <row r="833" spans="1:32" ht="15.75" customHeight="1">
      <c r="A833" s="158"/>
      <c r="B833" s="201"/>
      <c r="C833" s="158"/>
      <c r="D833" s="158"/>
      <c r="E833" s="158"/>
      <c r="F833" s="202"/>
      <c r="G833" s="202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</row>
    <row r="834" spans="1:32" ht="15.75" customHeight="1">
      <c r="A834" s="158"/>
      <c r="B834" s="201"/>
      <c r="C834" s="158"/>
      <c r="D834" s="158"/>
      <c r="E834" s="158"/>
      <c r="F834" s="202"/>
      <c r="G834" s="202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</row>
    <row r="835" spans="1:32" ht="15.75" customHeight="1">
      <c r="A835" s="158"/>
      <c r="B835" s="201"/>
      <c r="C835" s="158"/>
      <c r="D835" s="158"/>
      <c r="E835" s="158"/>
      <c r="F835" s="202"/>
      <c r="G835" s="202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</row>
    <row r="836" spans="1:32" ht="15.75" customHeight="1">
      <c r="A836" s="158"/>
      <c r="B836" s="201"/>
      <c r="C836" s="158"/>
      <c r="D836" s="158"/>
      <c r="E836" s="158"/>
      <c r="F836" s="202"/>
      <c r="G836" s="202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</row>
    <row r="837" spans="1:32" ht="15.75" customHeight="1">
      <c r="A837" s="158"/>
      <c r="B837" s="201"/>
      <c r="C837" s="158"/>
      <c r="D837" s="158"/>
      <c r="E837" s="158"/>
      <c r="F837" s="202"/>
      <c r="G837" s="202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</row>
    <row r="838" spans="1:32" ht="15.75" customHeight="1">
      <c r="A838" s="158"/>
      <c r="B838" s="201"/>
      <c r="C838" s="158"/>
      <c r="D838" s="158"/>
      <c r="E838" s="158"/>
      <c r="F838" s="202"/>
      <c r="G838" s="202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</row>
    <row r="839" spans="1:32" ht="15.75" customHeight="1">
      <c r="A839" s="158"/>
      <c r="B839" s="201"/>
      <c r="C839" s="158"/>
      <c r="D839" s="158"/>
      <c r="E839" s="158"/>
      <c r="F839" s="202"/>
      <c r="G839" s="202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</row>
    <row r="840" spans="1:32" ht="15.75" customHeight="1">
      <c r="A840" s="158"/>
      <c r="B840" s="201"/>
      <c r="C840" s="158"/>
      <c r="D840" s="158"/>
      <c r="E840" s="158"/>
      <c r="F840" s="202"/>
      <c r="G840" s="202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</row>
    <row r="841" spans="1:32" ht="15.75" customHeight="1">
      <c r="A841" s="158"/>
      <c r="B841" s="201"/>
      <c r="C841" s="158"/>
      <c r="D841" s="158"/>
      <c r="E841" s="158"/>
      <c r="F841" s="202"/>
      <c r="G841" s="202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</row>
    <row r="842" spans="1:32" ht="15.75" customHeight="1">
      <c r="A842" s="158"/>
      <c r="B842" s="201"/>
      <c r="C842" s="158"/>
      <c r="D842" s="158"/>
      <c r="E842" s="158"/>
      <c r="F842" s="202"/>
      <c r="G842" s="202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</row>
    <row r="843" spans="1:32" ht="15.75" customHeight="1">
      <c r="A843" s="158"/>
      <c r="B843" s="201"/>
      <c r="C843" s="158"/>
      <c r="D843" s="158"/>
      <c r="E843" s="158"/>
      <c r="F843" s="202"/>
      <c r="G843" s="202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</row>
    <row r="844" spans="1:32" ht="15.75" customHeight="1">
      <c r="A844" s="158"/>
      <c r="B844" s="201"/>
      <c r="C844" s="158"/>
      <c r="D844" s="158"/>
      <c r="E844" s="158"/>
      <c r="F844" s="202"/>
      <c r="G844" s="202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</row>
    <row r="845" spans="1:32" ht="15.75" customHeight="1">
      <c r="A845" s="158"/>
      <c r="B845" s="201"/>
      <c r="C845" s="158"/>
      <c r="D845" s="158"/>
      <c r="E845" s="158"/>
      <c r="F845" s="202"/>
      <c r="G845" s="202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</row>
    <row r="846" spans="1:32" ht="15.75" customHeight="1">
      <c r="A846" s="158"/>
      <c r="B846" s="201"/>
      <c r="C846" s="158"/>
      <c r="D846" s="158"/>
      <c r="E846" s="158"/>
      <c r="F846" s="202"/>
      <c r="G846" s="202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</row>
    <row r="847" spans="1:32" ht="15.75" customHeight="1">
      <c r="A847" s="158"/>
      <c r="B847" s="201"/>
      <c r="C847" s="158"/>
      <c r="D847" s="158"/>
      <c r="E847" s="158"/>
      <c r="F847" s="202"/>
      <c r="G847" s="202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</row>
    <row r="848" spans="1:32" ht="15.75" customHeight="1">
      <c r="A848" s="158"/>
      <c r="B848" s="201"/>
      <c r="C848" s="158"/>
      <c r="D848" s="158"/>
      <c r="E848" s="158"/>
      <c r="F848" s="202"/>
      <c r="G848" s="202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</row>
    <row r="849" spans="1:32" ht="15.75" customHeight="1">
      <c r="A849" s="158"/>
      <c r="B849" s="201"/>
      <c r="C849" s="158"/>
      <c r="D849" s="158"/>
      <c r="E849" s="158"/>
      <c r="F849" s="202"/>
      <c r="G849" s="202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</row>
    <row r="850" spans="1:32" ht="15.75" customHeight="1">
      <c r="A850" s="158"/>
      <c r="B850" s="201"/>
      <c r="C850" s="158"/>
      <c r="D850" s="158"/>
      <c r="E850" s="158"/>
      <c r="F850" s="202"/>
      <c r="G850" s="202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</row>
    <row r="851" spans="1:32" ht="15.75" customHeight="1">
      <c r="A851" s="158"/>
      <c r="B851" s="201"/>
      <c r="C851" s="158"/>
      <c r="D851" s="158"/>
      <c r="E851" s="158"/>
      <c r="F851" s="202"/>
      <c r="G851" s="202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</row>
    <row r="852" spans="1:32" ht="15.75" customHeight="1">
      <c r="A852" s="158"/>
      <c r="B852" s="201"/>
      <c r="C852" s="158"/>
      <c r="D852" s="158"/>
      <c r="E852" s="158"/>
      <c r="F852" s="202"/>
      <c r="G852" s="202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</row>
    <row r="853" spans="1:32" ht="15.75" customHeight="1">
      <c r="A853" s="158"/>
      <c r="B853" s="201"/>
      <c r="C853" s="158"/>
      <c r="D853" s="158"/>
      <c r="E853" s="158"/>
      <c r="F853" s="202"/>
      <c r="G853" s="202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</row>
    <row r="854" spans="1:32" ht="15.75" customHeight="1">
      <c r="A854" s="158"/>
      <c r="B854" s="201"/>
      <c r="C854" s="158"/>
      <c r="D854" s="158"/>
      <c r="E854" s="158"/>
      <c r="F854" s="202"/>
      <c r="G854" s="202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</row>
    <row r="855" spans="1:32" ht="15.75" customHeight="1">
      <c r="A855" s="158"/>
      <c r="B855" s="201"/>
      <c r="C855" s="158"/>
      <c r="D855" s="158"/>
      <c r="E855" s="158"/>
      <c r="F855" s="202"/>
      <c r="G855" s="202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</row>
    <row r="856" spans="1:32" ht="15.75" customHeight="1">
      <c r="A856" s="158"/>
      <c r="B856" s="201"/>
      <c r="C856" s="158"/>
      <c r="D856" s="158"/>
      <c r="E856" s="158"/>
      <c r="F856" s="202"/>
      <c r="G856" s="202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</row>
    <row r="857" spans="1:32" ht="15.75" customHeight="1">
      <c r="A857" s="158"/>
      <c r="B857" s="201"/>
      <c r="C857" s="158"/>
      <c r="D857" s="158"/>
      <c r="E857" s="158"/>
      <c r="F857" s="202"/>
      <c r="G857" s="202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</row>
    <row r="858" spans="1:32" ht="15.75" customHeight="1">
      <c r="A858" s="158"/>
      <c r="B858" s="201"/>
      <c r="C858" s="158"/>
      <c r="D858" s="158"/>
      <c r="E858" s="158"/>
      <c r="F858" s="202"/>
      <c r="G858" s="202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</row>
    <row r="859" spans="1:32" ht="15.75" customHeight="1">
      <c r="A859" s="158"/>
      <c r="B859" s="201"/>
      <c r="C859" s="158"/>
      <c r="D859" s="158"/>
      <c r="E859" s="158"/>
      <c r="F859" s="202"/>
      <c r="G859" s="202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</row>
    <row r="860" spans="1:32" ht="15.75" customHeight="1">
      <c r="A860" s="158"/>
      <c r="B860" s="201"/>
      <c r="C860" s="158"/>
      <c r="D860" s="158"/>
      <c r="E860" s="158"/>
      <c r="F860" s="202"/>
      <c r="G860" s="202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</row>
    <row r="861" spans="1:32" ht="15.75" customHeight="1">
      <c r="A861" s="158"/>
      <c r="B861" s="201"/>
      <c r="C861" s="158"/>
      <c r="D861" s="158"/>
      <c r="E861" s="158"/>
      <c r="F861" s="202"/>
      <c r="G861" s="202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</row>
    <row r="862" spans="1:32" ht="15.75" customHeight="1">
      <c r="A862" s="158"/>
      <c r="B862" s="201"/>
      <c r="C862" s="158"/>
      <c r="D862" s="158"/>
      <c r="E862" s="158"/>
      <c r="F862" s="202"/>
      <c r="G862" s="202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</row>
    <row r="863" spans="1:32" ht="15.75" customHeight="1">
      <c r="A863" s="158"/>
      <c r="B863" s="201"/>
      <c r="C863" s="158"/>
      <c r="D863" s="158"/>
      <c r="E863" s="158"/>
      <c r="F863" s="202"/>
      <c r="G863" s="202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</row>
    <row r="864" spans="1:32" ht="15.75" customHeight="1">
      <c r="A864" s="158"/>
      <c r="B864" s="201"/>
      <c r="C864" s="158"/>
      <c r="D864" s="158"/>
      <c r="E864" s="158"/>
      <c r="F864" s="202"/>
      <c r="G864" s="202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</row>
    <row r="865" spans="1:32" ht="15.75" customHeight="1">
      <c r="A865" s="158"/>
      <c r="B865" s="201"/>
      <c r="C865" s="158"/>
      <c r="D865" s="158"/>
      <c r="E865" s="158"/>
      <c r="F865" s="202"/>
      <c r="G865" s="202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</row>
    <row r="866" spans="1:32" ht="15.75" customHeight="1">
      <c r="A866" s="158"/>
      <c r="B866" s="201"/>
      <c r="C866" s="158"/>
      <c r="D866" s="158"/>
      <c r="E866" s="158"/>
      <c r="F866" s="202"/>
      <c r="G866" s="202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</row>
    <row r="867" spans="1:32" ht="15.75" customHeight="1">
      <c r="A867" s="158"/>
      <c r="B867" s="201"/>
      <c r="C867" s="158"/>
      <c r="D867" s="158"/>
      <c r="E867" s="158"/>
      <c r="F867" s="202"/>
      <c r="G867" s="202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</row>
    <row r="868" spans="1:32" ht="15.75" customHeight="1">
      <c r="A868" s="158"/>
      <c r="B868" s="201"/>
      <c r="C868" s="158"/>
      <c r="D868" s="158"/>
      <c r="E868" s="158"/>
      <c r="F868" s="202"/>
      <c r="G868" s="202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</row>
    <row r="869" spans="1:32" ht="15.75" customHeight="1">
      <c r="A869" s="158"/>
      <c r="B869" s="201"/>
      <c r="C869" s="158"/>
      <c r="D869" s="158"/>
      <c r="E869" s="158"/>
      <c r="F869" s="202"/>
      <c r="G869" s="202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</row>
    <row r="870" spans="1:32" ht="15.75" customHeight="1">
      <c r="A870" s="158"/>
      <c r="B870" s="201"/>
      <c r="C870" s="158"/>
      <c r="D870" s="158"/>
      <c r="E870" s="158"/>
      <c r="F870" s="202"/>
      <c r="G870" s="202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</row>
    <row r="871" spans="1:32" ht="15.75" customHeight="1">
      <c r="A871" s="158"/>
      <c r="B871" s="201"/>
      <c r="C871" s="158"/>
      <c r="D871" s="158"/>
      <c r="E871" s="158"/>
      <c r="F871" s="202"/>
      <c r="G871" s="202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</row>
    <row r="872" spans="1:32" ht="15.75" customHeight="1">
      <c r="A872" s="158"/>
      <c r="B872" s="201"/>
      <c r="C872" s="158"/>
      <c r="D872" s="158"/>
      <c r="E872" s="158"/>
      <c r="F872" s="202"/>
      <c r="G872" s="202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</row>
    <row r="873" spans="1:32" ht="15.75" customHeight="1">
      <c r="A873" s="158"/>
      <c r="B873" s="201"/>
      <c r="C873" s="158"/>
      <c r="D873" s="158"/>
      <c r="E873" s="158"/>
      <c r="F873" s="202"/>
      <c r="G873" s="202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</row>
    <row r="874" spans="1:32" ht="15.75" customHeight="1">
      <c r="A874" s="158"/>
      <c r="B874" s="201"/>
      <c r="C874" s="158"/>
      <c r="D874" s="158"/>
      <c r="E874" s="158"/>
      <c r="F874" s="202"/>
      <c r="G874" s="202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</row>
    <row r="875" spans="1:32" ht="15.75" customHeight="1">
      <c r="A875" s="158"/>
      <c r="B875" s="201"/>
      <c r="C875" s="158"/>
      <c r="D875" s="158"/>
      <c r="E875" s="158"/>
      <c r="F875" s="202"/>
      <c r="G875" s="202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</row>
    <row r="876" spans="1:32" ht="15.75" customHeight="1">
      <c r="A876" s="158"/>
      <c r="B876" s="201"/>
      <c r="C876" s="158"/>
      <c r="D876" s="158"/>
      <c r="E876" s="158"/>
      <c r="F876" s="202"/>
      <c r="G876" s="202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</row>
    <row r="877" spans="1:32" ht="15.75" customHeight="1">
      <c r="A877" s="158"/>
      <c r="B877" s="201"/>
      <c r="C877" s="158"/>
      <c r="D877" s="158"/>
      <c r="E877" s="158"/>
      <c r="F877" s="202"/>
      <c r="G877" s="202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</row>
    <row r="878" spans="1:32" ht="15.75" customHeight="1">
      <c r="A878" s="158"/>
      <c r="B878" s="201"/>
      <c r="C878" s="158"/>
      <c r="D878" s="158"/>
      <c r="E878" s="158"/>
      <c r="F878" s="202"/>
      <c r="G878" s="202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</row>
    <row r="879" spans="1:32" ht="15.75" customHeight="1">
      <c r="A879" s="158"/>
      <c r="B879" s="201"/>
      <c r="C879" s="158"/>
      <c r="D879" s="158"/>
      <c r="E879" s="158"/>
      <c r="F879" s="202"/>
      <c r="G879" s="202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</row>
    <row r="880" spans="1:32" ht="15.75" customHeight="1">
      <c r="A880" s="158"/>
      <c r="B880" s="201"/>
      <c r="C880" s="158"/>
      <c r="D880" s="158"/>
      <c r="E880" s="158"/>
      <c r="F880" s="202"/>
      <c r="G880" s="202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</row>
    <row r="881" spans="1:32" ht="15.75" customHeight="1">
      <c r="A881" s="158"/>
      <c r="B881" s="201"/>
      <c r="C881" s="158"/>
      <c r="D881" s="158"/>
      <c r="E881" s="158"/>
      <c r="F881" s="202"/>
      <c r="G881" s="202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</row>
    <row r="882" spans="1:32" ht="15.75" customHeight="1">
      <c r="A882" s="158"/>
      <c r="B882" s="201"/>
      <c r="C882" s="158"/>
      <c r="D882" s="158"/>
      <c r="E882" s="158"/>
      <c r="F882" s="202"/>
      <c r="G882" s="202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</row>
    <row r="883" spans="1:32" ht="15.75" customHeight="1">
      <c r="A883" s="158"/>
      <c r="B883" s="201"/>
      <c r="C883" s="158"/>
      <c r="D883" s="158"/>
      <c r="E883" s="158"/>
      <c r="F883" s="202"/>
      <c r="G883" s="202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</row>
    <row r="884" spans="1:32" ht="15.75" customHeight="1">
      <c r="A884" s="158"/>
      <c r="B884" s="201"/>
      <c r="C884" s="158"/>
      <c r="D884" s="158"/>
      <c r="E884" s="158"/>
      <c r="F884" s="202"/>
      <c r="G884" s="202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</row>
    <row r="885" spans="1:32" ht="15.75" customHeight="1">
      <c r="A885" s="158"/>
      <c r="B885" s="201"/>
      <c r="C885" s="158"/>
      <c r="D885" s="158"/>
      <c r="E885" s="158"/>
      <c r="F885" s="202"/>
      <c r="G885" s="202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</row>
    <row r="886" spans="1:32" ht="15.75" customHeight="1">
      <c r="A886" s="158"/>
      <c r="B886" s="201"/>
      <c r="C886" s="158"/>
      <c r="D886" s="158"/>
      <c r="E886" s="158"/>
      <c r="F886" s="202"/>
      <c r="G886" s="202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</row>
    <row r="887" spans="1:32" ht="15.75" customHeight="1">
      <c r="A887" s="158"/>
      <c r="B887" s="201"/>
      <c r="C887" s="158"/>
      <c r="D887" s="158"/>
      <c r="E887" s="158"/>
      <c r="F887" s="202"/>
      <c r="G887" s="202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</row>
    <row r="888" spans="1:32" ht="15.75" customHeight="1">
      <c r="A888" s="158"/>
      <c r="B888" s="201"/>
      <c r="C888" s="158"/>
      <c r="D888" s="158"/>
      <c r="E888" s="158"/>
      <c r="F888" s="202"/>
      <c r="G888" s="202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</row>
    <row r="889" spans="1:32" ht="15.75" customHeight="1">
      <c r="A889" s="158"/>
      <c r="B889" s="201"/>
      <c r="C889" s="158"/>
      <c r="D889" s="158"/>
      <c r="E889" s="158"/>
      <c r="F889" s="202"/>
      <c r="G889" s="202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</row>
    <row r="890" spans="1:32" ht="15.75" customHeight="1">
      <c r="A890" s="158"/>
      <c r="B890" s="201"/>
      <c r="C890" s="158"/>
      <c r="D890" s="158"/>
      <c r="E890" s="158"/>
      <c r="F890" s="202"/>
      <c r="G890" s="202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</row>
    <row r="891" spans="1:32" ht="15.75" customHeight="1">
      <c r="A891" s="158"/>
      <c r="B891" s="201"/>
      <c r="C891" s="158"/>
      <c r="D891" s="158"/>
      <c r="E891" s="158"/>
      <c r="F891" s="202"/>
      <c r="G891" s="202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</row>
    <row r="892" spans="1:32" ht="15.75" customHeight="1">
      <c r="A892" s="158"/>
      <c r="B892" s="201"/>
      <c r="C892" s="158"/>
      <c r="D892" s="158"/>
      <c r="E892" s="158"/>
      <c r="F892" s="202"/>
      <c r="G892" s="202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</row>
    <row r="893" spans="1:32" ht="15.75" customHeight="1">
      <c r="A893" s="158"/>
      <c r="B893" s="201"/>
      <c r="C893" s="158"/>
      <c r="D893" s="158"/>
      <c r="E893" s="158"/>
      <c r="F893" s="202"/>
      <c r="G893" s="202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</row>
    <row r="894" spans="1:32" ht="15.75" customHeight="1">
      <c r="A894" s="158"/>
      <c r="B894" s="201"/>
      <c r="C894" s="158"/>
      <c r="D894" s="158"/>
      <c r="E894" s="158"/>
      <c r="F894" s="202"/>
      <c r="G894" s="202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</row>
    <row r="895" spans="1:32" ht="15.75" customHeight="1">
      <c r="A895" s="158"/>
      <c r="B895" s="201"/>
      <c r="C895" s="158"/>
      <c r="D895" s="158"/>
      <c r="E895" s="158"/>
      <c r="F895" s="202"/>
      <c r="G895" s="202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</row>
    <row r="896" spans="1:32" ht="15.75" customHeight="1">
      <c r="A896" s="158"/>
      <c r="B896" s="201"/>
      <c r="C896" s="158"/>
      <c r="D896" s="158"/>
      <c r="E896" s="158"/>
      <c r="F896" s="202"/>
      <c r="G896" s="202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</row>
    <row r="897" spans="1:32" ht="15.75" customHeight="1">
      <c r="A897" s="158"/>
      <c r="B897" s="201"/>
      <c r="C897" s="158"/>
      <c r="D897" s="158"/>
      <c r="E897" s="158"/>
      <c r="F897" s="202"/>
      <c r="G897" s="202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</row>
    <row r="898" spans="1:32" ht="15.75" customHeight="1">
      <c r="A898" s="158"/>
      <c r="B898" s="201"/>
      <c r="C898" s="158"/>
      <c r="D898" s="158"/>
      <c r="E898" s="158"/>
      <c r="F898" s="202"/>
      <c r="G898" s="202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</row>
    <row r="899" spans="1:32" ht="15.75" customHeight="1">
      <c r="A899" s="158"/>
      <c r="B899" s="201"/>
      <c r="C899" s="158"/>
      <c r="D899" s="158"/>
      <c r="E899" s="158"/>
      <c r="F899" s="202"/>
      <c r="G899" s="202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</row>
    <row r="900" spans="1:32" ht="15.75" customHeight="1">
      <c r="A900" s="158"/>
      <c r="B900" s="201"/>
      <c r="C900" s="158"/>
      <c r="D900" s="158"/>
      <c r="E900" s="158"/>
      <c r="F900" s="202"/>
      <c r="G900" s="202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</row>
    <row r="901" spans="1:32" ht="15.75" customHeight="1">
      <c r="A901" s="158"/>
      <c r="B901" s="201"/>
      <c r="C901" s="158"/>
      <c r="D901" s="158"/>
      <c r="E901" s="158"/>
      <c r="F901" s="202"/>
      <c r="G901" s="202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</row>
    <row r="902" spans="1:32" ht="15.75" customHeight="1">
      <c r="A902" s="158"/>
      <c r="B902" s="201"/>
      <c r="C902" s="158"/>
      <c r="D902" s="158"/>
      <c r="E902" s="158"/>
      <c r="F902" s="202"/>
      <c r="G902" s="202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</row>
    <row r="903" spans="1:32" ht="15.75" customHeight="1">
      <c r="A903" s="158"/>
      <c r="B903" s="201"/>
      <c r="C903" s="158"/>
      <c r="D903" s="158"/>
      <c r="E903" s="158"/>
      <c r="F903" s="202"/>
      <c r="G903" s="202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</row>
    <row r="904" spans="1:32" ht="15.75" customHeight="1">
      <c r="A904" s="158"/>
      <c r="B904" s="201"/>
      <c r="C904" s="158"/>
      <c r="D904" s="158"/>
      <c r="E904" s="158"/>
      <c r="F904" s="202"/>
      <c r="G904" s="202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</row>
    <row r="905" spans="1:32" ht="15.75" customHeight="1">
      <c r="A905" s="158"/>
      <c r="B905" s="201"/>
      <c r="C905" s="158"/>
      <c r="D905" s="158"/>
      <c r="E905" s="158"/>
      <c r="F905" s="202"/>
      <c r="G905" s="202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</row>
    <row r="906" spans="1:32" ht="15.75" customHeight="1">
      <c r="A906" s="158"/>
      <c r="B906" s="201"/>
      <c r="C906" s="158"/>
      <c r="D906" s="158"/>
      <c r="E906" s="158"/>
      <c r="F906" s="202"/>
      <c r="G906" s="202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</row>
    <row r="907" spans="1:32" ht="15.75" customHeight="1">
      <c r="A907" s="158"/>
      <c r="B907" s="201"/>
      <c r="C907" s="158"/>
      <c r="D907" s="158"/>
      <c r="E907" s="158"/>
      <c r="F907" s="202"/>
      <c r="G907" s="202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</row>
    <row r="908" spans="1:32" ht="15.75" customHeight="1">
      <c r="A908" s="158"/>
      <c r="B908" s="201"/>
      <c r="C908" s="158"/>
      <c r="D908" s="158"/>
      <c r="E908" s="158"/>
      <c r="F908" s="202"/>
      <c r="G908" s="202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</row>
    <row r="909" spans="1:32" ht="15.75" customHeight="1">
      <c r="A909" s="158"/>
      <c r="B909" s="201"/>
      <c r="C909" s="158"/>
      <c r="D909" s="158"/>
      <c r="E909" s="158"/>
      <c r="F909" s="202"/>
      <c r="G909" s="202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</row>
    <row r="910" spans="1:32" ht="15.75" customHeight="1">
      <c r="A910" s="158"/>
      <c r="B910" s="201"/>
      <c r="C910" s="158"/>
      <c r="D910" s="158"/>
      <c r="E910" s="158"/>
      <c r="F910" s="202"/>
      <c r="G910" s="202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</row>
    <row r="911" spans="1:32" ht="15.75" customHeight="1">
      <c r="A911" s="158"/>
      <c r="B911" s="201"/>
      <c r="C911" s="158"/>
      <c r="D911" s="158"/>
      <c r="E911" s="158"/>
      <c r="F911" s="202"/>
      <c r="G911" s="202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</row>
    <row r="912" spans="1:32" ht="15.75" customHeight="1">
      <c r="A912" s="158"/>
      <c r="B912" s="201"/>
      <c r="C912" s="158"/>
      <c r="D912" s="158"/>
      <c r="E912" s="158"/>
      <c r="F912" s="202"/>
      <c r="G912" s="202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</row>
    <row r="913" spans="1:32" ht="15.75" customHeight="1">
      <c r="A913" s="158"/>
      <c r="B913" s="201"/>
      <c r="C913" s="158"/>
      <c r="D913" s="158"/>
      <c r="E913" s="158"/>
      <c r="F913" s="202"/>
      <c r="G913" s="202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</row>
    <row r="914" spans="1:32" ht="15.75" customHeight="1">
      <c r="A914" s="158"/>
      <c r="B914" s="201"/>
      <c r="C914" s="158"/>
      <c r="D914" s="158"/>
      <c r="E914" s="158"/>
      <c r="F914" s="202"/>
      <c r="G914" s="202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</row>
    <row r="915" spans="1:32" ht="15.75" customHeight="1">
      <c r="A915" s="158"/>
      <c r="B915" s="201"/>
      <c r="C915" s="158"/>
      <c r="D915" s="158"/>
      <c r="E915" s="158"/>
      <c r="F915" s="202"/>
      <c r="G915" s="202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</row>
    <row r="916" spans="1:32" ht="15.75" customHeight="1">
      <c r="A916" s="158"/>
      <c r="B916" s="201"/>
      <c r="C916" s="158"/>
      <c r="D916" s="158"/>
      <c r="E916" s="158"/>
      <c r="F916" s="202"/>
      <c r="G916" s="202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</row>
    <row r="917" spans="1:32" ht="15.75" customHeight="1">
      <c r="A917" s="158"/>
      <c r="B917" s="201"/>
      <c r="C917" s="158"/>
      <c r="D917" s="158"/>
      <c r="E917" s="158"/>
      <c r="F917" s="202"/>
      <c r="G917" s="202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</row>
    <row r="918" spans="1:32" ht="15.75" customHeight="1">
      <c r="A918" s="158"/>
      <c r="B918" s="201"/>
      <c r="C918" s="158"/>
      <c r="D918" s="158"/>
      <c r="E918" s="158"/>
      <c r="F918" s="202"/>
      <c r="G918" s="202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</row>
    <row r="919" spans="1:32" ht="15.75" customHeight="1">
      <c r="A919" s="158"/>
      <c r="B919" s="201"/>
      <c r="C919" s="158"/>
      <c r="D919" s="158"/>
      <c r="E919" s="158"/>
      <c r="F919" s="202"/>
      <c r="G919" s="202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</row>
    <row r="920" spans="1:32" ht="15.75" customHeight="1">
      <c r="A920" s="158"/>
      <c r="B920" s="201"/>
      <c r="C920" s="158"/>
      <c r="D920" s="158"/>
      <c r="E920" s="158"/>
      <c r="F920" s="202"/>
      <c r="G920" s="202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</row>
    <row r="921" spans="1:32" ht="15.75" customHeight="1">
      <c r="A921" s="158"/>
      <c r="B921" s="201"/>
      <c r="C921" s="158"/>
      <c r="D921" s="158"/>
      <c r="E921" s="158"/>
      <c r="F921" s="202"/>
      <c r="G921" s="202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</row>
    <row r="922" spans="1:32" ht="15.75" customHeight="1">
      <c r="A922" s="158"/>
      <c r="B922" s="201"/>
      <c r="C922" s="158"/>
      <c r="D922" s="158"/>
      <c r="E922" s="158"/>
      <c r="F922" s="202"/>
      <c r="G922" s="202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</row>
    <row r="923" spans="1:32" ht="15.75" customHeight="1">
      <c r="A923" s="158"/>
      <c r="B923" s="201"/>
      <c r="C923" s="158"/>
      <c r="D923" s="158"/>
      <c r="E923" s="158"/>
      <c r="F923" s="202"/>
      <c r="G923" s="202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</row>
    <row r="924" spans="1:32" ht="15.75" customHeight="1">
      <c r="A924" s="158"/>
      <c r="B924" s="201"/>
      <c r="C924" s="158"/>
      <c r="D924" s="158"/>
      <c r="E924" s="158"/>
      <c r="F924" s="202"/>
      <c r="G924" s="202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</row>
    <row r="925" spans="1:32" ht="15.75" customHeight="1">
      <c r="A925" s="158"/>
      <c r="B925" s="201"/>
      <c r="C925" s="158"/>
      <c r="D925" s="158"/>
      <c r="E925" s="158"/>
      <c r="F925" s="202"/>
      <c r="G925" s="202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</row>
    <row r="926" spans="1:32" ht="15.75" customHeight="1">
      <c r="A926" s="158"/>
      <c r="B926" s="201"/>
      <c r="C926" s="158"/>
      <c r="D926" s="158"/>
      <c r="E926" s="158"/>
      <c r="F926" s="202"/>
      <c r="G926" s="202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</row>
    <row r="927" spans="1:32" ht="15.75" customHeight="1">
      <c r="A927" s="158"/>
      <c r="B927" s="201"/>
      <c r="C927" s="158"/>
      <c r="D927" s="158"/>
      <c r="E927" s="158"/>
      <c r="F927" s="202"/>
      <c r="G927" s="202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</row>
    <row r="928" spans="1:32" ht="15.75" customHeight="1">
      <c r="A928" s="158"/>
      <c r="B928" s="201"/>
      <c r="C928" s="158"/>
      <c r="D928" s="158"/>
      <c r="E928" s="158"/>
      <c r="F928" s="202"/>
      <c r="G928" s="202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</row>
    <row r="929" spans="1:32" ht="15.75" customHeight="1">
      <c r="A929" s="158"/>
      <c r="B929" s="201"/>
      <c r="C929" s="158"/>
      <c r="D929" s="158"/>
      <c r="E929" s="158"/>
      <c r="F929" s="202"/>
      <c r="G929" s="202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</row>
    <row r="930" spans="1:32" ht="15.75" customHeight="1">
      <c r="A930" s="158"/>
      <c r="B930" s="201"/>
      <c r="C930" s="158"/>
      <c r="D930" s="158"/>
      <c r="E930" s="158"/>
      <c r="F930" s="202"/>
      <c r="G930" s="202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</row>
    <row r="931" spans="1:32" ht="15.75" customHeight="1">
      <c r="A931" s="158"/>
      <c r="B931" s="201"/>
      <c r="C931" s="158"/>
      <c r="D931" s="158"/>
      <c r="E931" s="158"/>
      <c r="F931" s="202"/>
      <c r="G931" s="202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</row>
    <row r="932" spans="1:32" ht="15.75" customHeight="1">
      <c r="A932" s="158"/>
      <c r="B932" s="201"/>
      <c r="C932" s="158"/>
      <c r="D932" s="158"/>
      <c r="E932" s="158"/>
      <c r="F932" s="202"/>
      <c r="G932" s="202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</row>
    <row r="933" spans="1:32" ht="15.75" customHeight="1">
      <c r="A933" s="158"/>
      <c r="B933" s="201"/>
      <c r="C933" s="158"/>
      <c r="D933" s="158"/>
      <c r="E933" s="158"/>
      <c r="F933" s="202"/>
      <c r="G933" s="202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</row>
    <row r="934" spans="1:32" ht="15.75" customHeight="1">
      <c r="A934" s="158"/>
      <c r="B934" s="201"/>
      <c r="C934" s="158"/>
      <c r="D934" s="158"/>
      <c r="E934" s="158"/>
      <c r="F934" s="202"/>
      <c r="G934" s="202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</row>
    <row r="935" spans="1:32" ht="15.75" customHeight="1">
      <c r="A935" s="158"/>
      <c r="B935" s="201"/>
      <c r="C935" s="158"/>
      <c r="D935" s="158"/>
      <c r="E935" s="158"/>
      <c r="F935" s="202"/>
      <c r="G935" s="202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</row>
    <row r="936" spans="1:32" ht="15.75" customHeight="1">
      <c r="A936" s="158"/>
      <c r="B936" s="201"/>
      <c r="C936" s="158"/>
      <c r="D936" s="158"/>
      <c r="E936" s="158"/>
      <c r="F936" s="202"/>
      <c r="G936" s="202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</row>
    <row r="937" spans="1:32" ht="15.75" customHeight="1">
      <c r="A937" s="158"/>
      <c r="B937" s="201"/>
      <c r="C937" s="158"/>
      <c r="D937" s="158"/>
      <c r="E937" s="158"/>
      <c r="F937" s="202"/>
      <c r="G937" s="202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</row>
    <row r="938" spans="1:32" ht="15.75" customHeight="1">
      <c r="A938" s="158"/>
      <c r="B938" s="201"/>
      <c r="C938" s="158"/>
      <c r="D938" s="158"/>
      <c r="E938" s="158"/>
      <c r="F938" s="202"/>
      <c r="G938" s="202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</row>
    <row r="939" spans="1:32" ht="15.75" customHeight="1">
      <c r="A939" s="158"/>
      <c r="B939" s="201"/>
      <c r="C939" s="158"/>
      <c r="D939" s="158"/>
      <c r="E939" s="158"/>
      <c r="F939" s="202"/>
      <c r="G939" s="202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</row>
    <row r="940" spans="1:32" ht="15.75" customHeight="1">
      <c r="A940" s="158"/>
      <c r="B940" s="201"/>
      <c r="C940" s="158"/>
      <c r="D940" s="158"/>
      <c r="E940" s="158"/>
      <c r="F940" s="202"/>
      <c r="G940" s="202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</row>
    <row r="941" spans="1:32" ht="15.75" customHeight="1">
      <c r="A941" s="158"/>
      <c r="B941" s="201"/>
      <c r="C941" s="158"/>
      <c r="D941" s="158"/>
      <c r="E941" s="158"/>
      <c r="F941" s="202"/>
      <c r="G941" s="202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</row>
    <row r="942" spans="1:32" ht="15.75" customHeight="1">
      <c r="A942" s="158"/>
      <c r="B942" s="201"/>
      <c r="C942" s="158"/>
      <c r="D942" s="158"/>
      <c r="E942" s="158"/>
      <c r="F942" s="202"/>
      <c r="G942" s="202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</row>
    <row r="943" spans="1:32" ht="15.75" customHeight="1">
      <c r="A943" s="158"/>
      <c r="B943" s="201"/>
      <c r="C943" s="158"/>
      <c r="D943" s="158"/>
      <c r="E943" s="158"/>
      <c r="F943" s="202"/>
      <c r="G943" s="202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</row>
    <row r="944" spans="1:32" ht="15.75" customHeight="1">
      <c r="A944" s="158"/>
      <c r="B944" s="201"/>
      <c r="C944" s="158"/>
      <c r="D944" s="158"/>
      <c r="E944" s="158"/>
      <c r="F944" s="202"/>
      <c r="G944" s="202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</row>
    <row r="945" spans="1:32" ht="15.75" customHeight="1">
      <c r="A945" s="158"/>
      <c r="B945" s="201"/>
      <c r="C945" s="158"/>
      <c r="D945" s="158"/>
      <c r="E945" s="158"/>
      <c r="F945" s="202"/>
      <c r="G945" s="202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</row>
    <row r="946" spans="1:32" ht="15.75" customHeight="1">
      <c r="A946" s="158"/>
      <c r="B946" s="201"/>
      <c r="C946" s="158"/>
      <c r="D946" s="158"/>
      <c r="E946" s="158"/>
      <c r="F946" s="202"/>
      <c r="G946" s="202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</row>
    <row r="947" spans="1:32" ht="15.75" customHeight="1">
      <c r="A947" s="158"/>
      <c r="B947" s="201"/>
      <c r="C947" s="158"/>
      <c r="D947" s="158"/>
      <c r="E947" s="158"/>
      <c r="F947" s="202"/>
      <c r="G947" s="202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</row>
    <row r="948" spans="1:32" ht="15.75" customHeight="1">
      <c r="A948" s="158"/>
      <c r="B948" s="201"/>
      <c r="C948" s="158"/>
      <c r="D948" s="158"/>
      <c r="E948" s="158"/>
      <c r="F948" s="202"/>
      <c r="G948" s="202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</row>
    <row r="949" spans="1:32" ht="15.75" customHeight="1">
      <c r="A949" s="158"/>
      <c r="B949" s="201"/>
      <c r="C949" s="158"/>
      <c r="D949" s="158"/>
      <c r="E949" s="158"/>
      <c r="F949" s="202"/>
      <c r="G949" s="202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</row>
    <row r="950" spans="1:32" ht="15.75" customHeight="1">
      <c r="A950" s="158"/>
      <c r="B950" s="201"/>
      <c r="C950" s="158"/>
      <c r="D950" s="158"/>
      <c r="E950" s="158"/>
      <c r="F950" s="202"/>
      <c r="G950" s="202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</row>
    <row r="951" spans="1:32" ht="15.75" customHeight="1">
      <c r="A951" s="158"/>
      <c r="B951" s="201"/>
      <c r="C951" s="158"/>
      <c r="D951" s="158"/>
      <c r="E951" s="158"/>
      <c r="F951" s="202"/>
      <c r="G951" s="202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</row>
    <row r="952" spans="1:32" ht="15.75" customHeight="1">
      <c r="A952" s="158"/>
      <c r="B952" s="201"/>
      <c r="C952" s="158"/>
      <c r="D952" s="158"/>
      <c r="E952" s="158"/>
      <c r="F952" s="202"/>
      <c r="G952" s="202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</row>
    <row r="953" spans="1:32" ht="15.75" customHeight="1">
      <c r="A953" s="158"/>
      <c r="B953" s="201"/>
      <c r="C953" s="158"/>
      <c r="D953" s="158"/>
      <c r="E953" s="158"/>
      <c r="F953" s="202"/>
      <c r="G953" s="202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</row>
    <row r="954" spans="1:32" ht="15.75" customHeight="1">
      <c r="A954" s="158"/>
      <c r="B954" s="201"/>
      <c r="C954" s="158"/>
      <c r="D954" s="158"/>
      <c r="E954" s="158"/>
      <c r="F954" s="202"/>
      <c r="G954" s="202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</row>
    <row r="955" spans="1:32" ht="15.75" customHeight="1">
      <c r="A955" s="158"/>
      <c r="B955" s="201"/>
      <c r="C955" s="158"/>
      <c r="D955" s="158"/>
      <c r="E955" s="158"/>
      <c r="F955" s="202"/>
      <c r="G955" s="202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</row>
    <row r="956" spans="1:32" ht="15.75" customHeight="1">
      <c r="A956" s="158"/>
      <c r="B956" s="201"/>
      <c r="C956" s="158"/>
      <c r="D956" s="158"/>
      <c r="E956" s="158"/>
      <c r="F956" s="202"/>
      <c r="G956" s="202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</row>
    <row r="957" spans="1:32" ht="15.75" customHeight="1">
      <c r="A957" s="158"/>
      <c r="B957" s="201"/>
      <c r="C957" s="158"/>
      <c r="D957" s="158"/>
      <c r="E957" s="158"/>
      <c r="F957" s="202"/>
      <c r="G957" s="202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</row>
  </sheetData>
  <mergeCells count="8">
    <mergeCell ref="B34:B37"/>
    <mergeCell ref="B38:B39"/>
    <mergeCell ref="B42:B43"/>
    <mergeCell ref="C9:C10"/>
    <mergeCell ref="N9:N10"/>
    <mergeCell ref="B13:B17"/>
    <mergeCell ref="B19:B20"/>
    <mergeCell ref="B22:B32"/>
  </mergeCells>
  <pageMargins left="0.70866141732283472" right="0.31496062992125984" top="0.74803149606299213" bottom="0.74803149606299213" header="0" footer="0"/>
  <pageSetup paperSize="14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BC51-8FE9-41A1-954D-F181C0C8E1C1}">
  <dimension ref="A1:E85"/>
  <sheetViews>
    <sheetView tabSelected="1" workbookViewId="0">
      <selection activeCell="G5" sqref="G5"/>
    </sheetView>
  </sheetViews>
  <sheetFormatPr defaultRowHeight="14.4"/>
  <cols>
    <col min="1" max="1" width="38.44140625" bestFit="1" customWidth="1"/>
    <col min="2" max="2" width="22.109375" bestFit="1" customWidth="1"/>
    <col min="3" max="3" width="38.44140625" bestFit="1" customWidth="1"/>
    <col min="4" max="4" width="38.109375" bestFit="1" customWidth="1"/>
    <col min="5" max="5" width="18.6640625" bestFit="1" customWidth="1"/>
    <col min="6" max="6" width="18.77734375" customWidth="1"/>
    <col min="7" max="7" width="20.6640625" customWidth="1"/>
  </cols>
  <sheetData>
    <row r="1" spans="1:5" s="643" customFormat="1">
      <c r="A1" s="642" t="s">
        <v>41</v>
      </c>
      <c r="B1" s="642" t="s">
        <v>965</v>
      </c>
      <c r="C1" s="642" t="s">
        <v>44</v>
      </c>
      <c r="D1" s="642" t="s">
        <v>0</v>
      </c>
      <c r="E1" s="642" t="s">
        <v>966</v>
      </c>
    </row>
    <row r="2" spans="1:5" ht="15.6">
      <c r="A2" s="637" t="s">
        <v>151</v>
      </c>
      <c r="B2" s="637" t="s">
        <v>763</v>
      </c>
      <c r="C2" s="633" t="s">
        <v>1032</v>
      </c>
      <c r="D2" s="636" t="s">
        <v>25</v>
      </c>
      <c r="E2" s="644" t="s">
        <v>1052</v>
      </c>
    </row>
    <row r="3" spans="1:5" ht="15.6">
      <c r="A3" s="637" t="s">
        <v>178</v>
      </c>
      <c r="B3" s="637" t="s">
        <v>747</v>
      </c>
      <c r="C3" s="633" t="s">
        <v>1045</v>
      </c>
      <c r="D3" s="633"/>
      <c r="E3" s="644" t="s">
        <v>885</v>
      </c>
    </row>
    <row r="4" spans="1:5" ht="15.6">
      <c r="A4" s="637" t="s">
        <v>764</v>
      </c>
      <c r="B4" s="637" t="s">
        <v>747</v>
      </c>
      <c r="C4" s="633" t="s">
        <v>1033</v>
      </c>
      <c r="D4" s="635" t="s">
        <v>6</v>
      </c>
      <c r="E4" s="644" t="s">
        <v>1052</v>
      </c>
    </row>
    <row r="5" spans="1:5" ht="15.6">
      <c r="A5" s="637" t="s">
        <v>178</v>
      </c>
      <c r="B5" s="637" t="s">
        <v>747</v>
      </c>
      <c r="C5" s="633" t="s">
        <v>1019</v>
      </c>
      <c r="D5" s="636" t="s">
        <v>22</v>
      </c>
      <c r="E5" s="644" t="s">
        <v>742</v>
      </c>
    </row>
    <row r="6" spans="1:5" ht="15.6">
      <c r="A6" s="637" t="s">
        <v>776</v>
      </c>
      <c r="B6" s="637" t="s">
        <v>672</v>
      </c>
      <c r="C6" s="633" t="s">
        <v>1041</v>
      </c>
      <c r="D6" s="635" t="s">
        <v>20</v>
      </c>
      <c r="E6" s="644" t="s">
        <v>773</v>
      </c>
    </row>
    <row r="7" spans="1:5" ht="15.6">
      <c r="A7" s="637" t="s">
        <v>151</v>
      </c>
      <c r="B7" s="637" t="s">
        <v>746</v>
      </c>
      <c r="C7" s="633" t="s">
        <v>1018</v>
      </c>
      <c r="D7" s="635" t="s">
        <v>7</v>
      </c>
      <c r="E7" s="644" t="s">
        <v>742</v>
      </c>
    </row>
    <row r="8" spans="1:5" ht="15.6">
      <c r="A8" s="637" t="s">
        <v>97</v>
      </c>
      <c r="B8" s="637" t="s">
        <v>661</v>
      </c>
      <c r="C8" s="633" t="s">
        <v>968</v>
      </c>
      <c r="D8" s="636" t="s">
        <v>103</v>
      </c>
      <c r="E8" s="644" t="s">
        <v>657</v>
      </c>
    </row>
    <row r="9" spans="1:5" ht="15.6">
      <c r="A9" s="637" t="s">
        <v>74</v>
      </c>
      <c r="B9" s="637" t="s">
        <v>658</v>
      </c>
      <c r="C9" s="633" t="s">
        <v>967</v>
      </c>
      <c r="D9" s="635" t="s">
        <v>15</v>
      </c>
      <c r="E9" s="644" t="s">
        <v>657</v>
      </c>
    </row>
    <row r="10" spans="1:5" ht="15.6">
      <c r="A10" s="637" t="s">
        <v>178</v>
      </c>
      <c r="B10" s="637" t="s">
        <v>679</v>
      </c>
      <c r="C10" s="633" t="s">
        <v>975</v>
      </c>
      <c r="D10" s="635" t="s">
        <v>12</v>
      </c>
      <c r="E10" s="644" t="s">
        <v>657</v>
      </c>
    </row>
    <row r="11" spans="1:5" ht="15.6">
      <c r="A11" s="637" t="s">
        <v>80</v>
      </c>
      <c r="B11" s="637" t="s">
        <v>743</v>
      </c>
      <c r="C11" s="633" t="s">
        <v>1017</v>
      </c>
      <c r="D11" s="635" t="s">
        <v>13</v>
      </c>
      <c r="E11" s="644" t="s">
        <v>742</v>
      </c>
    </row>
    <row r="12" spans="1:5" ht="15.6">
      <c r="A12" s="637" t="s">
        <v>119</v>
      </c>
      <c r="B12" s="637" t="s">
        <v>662</v>
      </c>
      <c r="C12" s="633" t="s">
        <v>969</v>
      </c>
      <c r="D12" s="636" t="s">
        <v>125</v>
      </c>
      <c r="E12" s="644" t="s">
        <v>657</v>
      </c>
    </row>
    <row r="13" spans="1:5" ht="15.6">
      <c r="A13" s="637" t="s">
        <v>132</v>
      </c>
      <c r="B13" s="637" t="s">
        <v>664</v>
      </c>
      <c r="C13" s="633" t="s">
        <v>971</v>
      </c>
      <c r="D13" s="635" t="s">
        <v>137</v>
      </c>
      <c r="E13" s="644" t="s">
        <v>657</v>
      </c>
    </row>
    <row r="14" spans="1:5" ht="15.6">
      <c r="A14" s="637" t="s">
        <v>80</v>
      </c>
      <c r="B14" s="637" t="s">
        <v>733</v>
      </c>
      <c r="C14" s="633" t="s">
        <v>1010</v>
      </c>
      <c r="D14" s="635" t="s">
        <v>16</v>
      </c>
      <c r="E14" s="644" t="s">
        <v>1051</v>
      </c>
    </row>
    <row r="15" spans="1:5" ht="15.6">
      <c r="A15" s="637" t="s">
        <v>178</v>
      </c>
      <c r="B15" s="637" t="s">
        <v>683</v>
      </c>
      <c r="C15" s="633" t="s">
        <v>1020</v>
      </c>
      <c r="D15" s="636" t="s">
        <v>23</v>
      </c>
      <c r="E15" s="644" t="s">
        <v>742</v>
      </c>
    </row>
    <row r="16" spans="1:5" ht="15.6">
      <c r="A16" s="639" t="s">
        <v>220</v>
      </c>
      <c r="B16" s="639" t="s">
        <v>713</v>
      </c>
      <c r="C16" s="633" t="s">
        <v>990</v>
      </c>
      <c r="D16" s="635" t="s">
        <v>233</v>
      </c>
      <c r="E16" s="644" t="s">
        <v>657</v>
      </c>
    </row>
    <row r="17" spans="1:5" ht="15.6">
      <c r="A17" s="637" t="s">
        <v>686</v>
      </c>
      <c r="B17" s="637" t="s">
        <v>683</v>
      </c>
      <c r="C17" s="633" t="s">
        <v>977</v>
      </c>
      <c r="D17" s="635" t="s">
        <v>1</v>
      </c>
      <c r="E17" s="644" t="s">
        <v>657</v>
      </c>
    </row>
    <row r="18" spans="1:5" ht="15.6">
      <c r="A18" s="639" t="s">
        <v>682</v>
      </c>
      <c r="B18" s="637" t="s">
        <v>683</v>
      </c>
      <c r="C18" s="633" t="s">
        <v>976</v>
      </c>
      <c r="D18" s="636" t="s">
        <v>2</v>
      </c>
      <c r="E18" s="644" t="s">
        <v>657</v>
      </c>
    </row>
    <row r="19" spans="1:5" ht="15.6">
      <c r="A19" s="637" t="s">
        <v>151</v>
      </c>
      <c r="B19" s="637" t="s">
        <v>758</v>
      </c>
      <c r="C19" s="633" t="s">
        <v>1030</v>
      </c>
      <c r="D19" s="636" t="s">
        <v>24</v>
      </c>
      <c r="E19" s="644" t="s">
        <v>1052</v>
      </c>
    </row>
    <row r="20" spans="1:5" ht="15.6">
      <c r="A20" s="639" t="s">
        <v>741</v>
      </c>
      <c r="B20" s="637" t="s">
        <v>258</v>
      </c>
      <c r="C20" s="633" t="s">
        <v>1014</v>
      </c>
      <c r="D20" s="635" t="s">
        <v>411</v>
      </c>
      <c r="E20" s="644" t="s">
        <v>1051</v>
      </c>
    </row>
    <row r="21" spans="1:5" ht="15.6">
      <c r="A21" s="637" t="s">
        <v>754</v>
      </c>
      <c r="B21" s="637" t="s">
        <v>258</v>
      </c>
      <c r="C21" s="633" t="s">
        <v>1043</v>
      </c>
      <c r="D21" s="635" t="s">
        <v>450</v>
      </c>
      <c r="E21" s="644" t="s">
        <v>773</v>
      </c>
    </row>
    <row r="22" spans="1:5" ht="15.6">
      <c r="A22" s="637" t="s">
        <v>621</v>
      </c>
      <c r="B22" s="637" t="s">
        <v>258</v>
      </c>
      <c r="C22" s="633" t="s">
        <v>1034</v>
      </c>
      <c r="D22" s="635" t="s">
        <v>32</v>
      </c>
      <c r="E22" s="644" t="s">
        <v>1052</v>
      </c>
    </row>
    <row r="23" spans="1:5" ht="15.6">
      <c r="A23" s="637" t="s">
        <v>139</v>
      </c>
      <c r="B23" s="637" t="s">
        <v>258</v>
      </c>
      <c r="C23" s="633" t="s">
        <v>1037</v>
      </c>
      <c r="D23" s="635" t="s">
        <v>355</v>
      </c>
      <c r="E23" s="644" t="s">
        <v>1053</v>
      </c>
    </row>
    <row r="24" spans="1:5" ht="15.6">
      <c r="A24" s="637" t="s">
        <v>751</v>
      </c>
      <c r="B24" s="637" t="s">
        <v>258</v>
      </c>
      <c r="C24" s="633" t="s">
        <v>1022</v>
      </c>
      <c r="D24" s="635" t="s">
        <v>263</v>
      </c>
      <c r="E24" s="644" t="s">
        <v>657</v>
      </c>
    </row>
    <row r="25" spans="1:5" ht="15.6">
      <c r="A25" s="637" t="s">
        <v>724</v>
      </c>
      <c r="B25" s="637" t="s">
        <v>258</v>
      </c>
      <c r="C25" s="633" t="s">
        <v>999</v>
      </c>
      <c r="D25" s="636" t="s">
        <v>330</v>
      </c>
      <c r="E25" s="644" t="s">
        <v>657</v>
      </c>
    </row>
    <row r="26" spans="1:5" ht="15.6">
      <c r="A26" s="637" t="s">
        <v>621</v>
      </c>
      <c r="B26" s="637" t="s">
        <v>258</v>
      </c>
      <c r="C26" s="633" t="s">
        <v>1047</v>
      </c>
      <c r="D26" s="635" t="s">
        <v>289</v>
      </c>
      <c r="E26" s="644" t="s">
        <v>885</v>
      </c>
    </row>
    <row r="27" spans="1:5" ht="15.6">
      <c r="A27" s="637" t="s">
        <v>139</v>
      </c>
      <c r="B27" s="637" t="s">
        <v>258</v>
      </c>
      <c r="C27" s="633" t="s">
        <v>1026</v>
      </c>
      <c r="D27" s="635" t="s">
        <v>360</v>
      </c>
      <c r="E27" s="644" t="s">
        <v>742</v>
      </c>
    </row>
    <row r="28" spans="1:5" ht="15.6">
      <c r="A28" s="637" t="s">
        <v>729</v>
      </c>
      <c r="B28" s="637" t="s">
        <v>258</v>
      </c>
      <c r="C28" s="633" t="s">
        <v>1039</v>
      </c>
      <c r="D28" s="635" t="s">
        <v>527</v>
      </c>
      <c r="E28" s="644" t="s">
        <v>1053</v>
      </c>
    </row>
    <row r="29" spans="1:5" ht="15.6">
      <c r="A29" s="637" t="s">
        <v>751</v>
      </c>
      <c r="B29" s="637" t="s">
        <v>258</v>
      </c>
      <c r="C29" s="633" t="s">
        <v>1021</v>
      </c>
      <c r="D29" s="635" t="s">
        <v>257</v>
      </c>
      <c r="E29" s="644" t="s">
        <v>657</v>
      </c>
    </row>
    <row r="30" spans="1:5" ht="15.6">
      <c r="A30" s="637" t="s">
        <v>754</v>
      </c>
      <c r="B30" s="637" t="s">
        <v>258</v>
      </c>
      <c r="C30" s="633" t="s">
        <v>1049</v>
      </c>
      <c r="D30" s="635" t="s">
        <v>428</v>
      </c>
      <c r="E30" s="644" t="s">
        <v>885</v>
      </c>
    </row>
    <row r="31" spans="1:5" ht="15.6">
      <c r="A31" s="637" t="s">
        <v>110</v>
      </c>
      <c r="B31" s="639" t="s">
        <v>711</v>
      </c>
      <c r="C31" s="633" t="s">
        <v>988</v>
      </c>
      <c r="D31" s="634" t="s">
        <v>31</v>
      </c>
      <c r="E31" s="644" t="s">
        <v>657</v>
      </c>
    </row>
    <row r="32" spans="1:5" ht="15.6">
      <c r="A32" s="639" t="s">
        <v>605</v>
      </c>
      <c r="B32" s="637" t="s">
        <v>753</v>
      </c>
      <c r="C32" s="633" t="s">
        <v>1024</v>
      </c>
      <c r="D32" s="635" t="s">
        <v>351</v>
      </c>
      <c r="E32" s="644" t="s">
        <v>742</v>
      </c>
    </row>
    <row r="33" spans="1:5" ht="15.6">
      <c r="A33" s="637" t="s">
        <v>189</v>
      </c>
      <c r="B33" s="637" t="s">
        <v>715</v>
      </c>
      <c r="C33" s="633" t="s">
        <v>1012</v>
      </c>
      <c r="D33" s="635" t="s">
        <v>3</v>
      </c>
      <c r="E33" s="644" t="s">
        <v>1051</v>
      </c>
    </row>
    <row r="34" spans="1:5" ht="15.6">
      <c r="A34" s="637" t="s">
        <v>274</v>
      </c>
      <c r="B34" s="637" t="s">
        <v>715</v>
      </c>
      <c r="C34" s="633" t="s">
        <v>992</v>
      </c>
      <c r="D34" s="635" t="s">
        <v>34</v>
      </c>
      <c r="E34" s="644" t="s">
        <v>657</v>
      </c>
    </row>
    <row r="35" spans="1:5" ht="15.6">
      <c r="A35" s="639" t="s">
        <v>461</v>
      </c>
      <c r="B35" s="639" t="s">
        <v>715</v>
      </c>
      <c r="C35" s="633" t="s">
        <v>1002</v>
      </c>
      <c r="D35" s="635" t="s">
        <v>465</v>
      </c>
      <c r="E35" s="644" t="s">
        <v>657</v>
      </c>
    </row>
    <row r="36" spans="1:5" ht="15.6">
      <c r="A36" s="637" t="s">
        <v>245</v>
      </c>
      <c r="B36" s="637" t="s">
        <v>715</v>
      </c>
      <c r="C36" s="633" t="s">
        <v>991</v>
      </c>
      <c r="D36" s="634" t="s">
        <v>325</v>
      </c>
      <c r="E36" s="644" t="s">
        <v>657</v>
      </c>
    </row>
    <row r="37" spans="1:5" ht="15.6">
      <c r="A37" s="637" t="s">
        <v>724</v>
      </c>
      <c r="B37" s="637" t="s">
        <v>715</v>
      </c>
      <c r="C37" s="633" t="s">
        <v>1013</v>
      </c>
      <c r="D37" s="636" t="s">
        <v>319</v>
      </c>
      <c r="E37" s="644" t="s">
        <v>1051</v>
      </c>
    </row>
    <row r="38" spans="1:5" ht="15.6">
      <c r="A38" s="637" t="s">
        <v>274</v>
      </c>
      <c r="B38" s="637" t="s">
        <v>715</v>
      </c>
      <c r="C38" s="633" t="s">
        <v>996</v>
      </c>
      <c r="D38" s="635" t="s">
        <v>35</v>
      </c>
      <c r="E38" s="644" t="s">
        <v>657</v>
      </c>
    </row>
    <row r="39" spans="1:5" ht="15.6">
      <c r="A39" s="639" t="s">
        <v>605</v>
      </c>
      <c r="B39" s="637" t="s">
        <v>715</v>
      </c>
      <c r="C39" s="633" t="s">
        <v>1000</v>
      </c>
      <c r="D39" s="635" t="s">
        <v>526</v>
      </c>
      <c r="E39" s="644" t="s">
        <v>657</v>
      </c>
    </row>
    <row r="40" spans="1:5" ht="15.6">
      <c r="A40" s="637" t="s">
        <v>724</v>
      </c>
      <c r="B40" s="637" t="s">
        <v>715</v>
      </c>
      <c r="C40" s="633" t="s">
        <v>997</v>
      </c>
      <c r="D40" s="635" t="s">
        <v>334</v>
      </c>
      <c r="E40" s="644" t="s">
        <v>657</v>
      </c>
    </row>
    <row r="41" spans="1:5" ht="15.6">
      <c r="A41" s="637" t="s">
        <v>178</v>
      </c>
      <c r="B41" s="637" t="s">
        <v>715</v>
      </c>
      <c r="C41" s="633" t="s">
        <v>1011</v>
      </c>
      <c r="D41" s="635" t="s">
        <v>11</v>
      </c>
      <c r="E41" s="644" t="s">
        <v>1051</v>
      </c>
    </row>
    <row r="42" spans="1:5" ht="15.6">
      <c r="A42" s="639" t="s">
        <v>731</v>
      </c>
      <c r="B42" s="639" t="s">
        <v>715</v>
      </c>
      <c r="C42" s="633" t="s">
        <v>1005</v>
      </c>
      <c r="D42" s="635" t="s">
        <v>479</v>
      </c>
      <c r="E42" s="644" t="s">
        <v>657</v>
      </c>
    </row>
    <row r="43" spans="1:5" ht="15.6">
      <c r="A43" s="641" t="s">
        <v>461</v>
      </c>
      <c r="B43" s="637" t="s">
        <v>284</v>
      </c>
      <c r="C43" s="633" t="s">
        <v>1009</v>
      </c>
      <c r="D43" s="635" t="s">
        <v>530</v>
      </c>
      <c r="E43" s="644" t="s">
        <v>657</v>
      </c>
    </row>
    <row r="44" spans="1:5" ht="15.6">
      <c r="A44" s="637" t="s">
        <v>274</v>
      </c>
      <c r="B44" s="637" t="s">
        <v>284</v>
      </c>
      <c r="C44" s="633" t="s">
        <v>994</v>
      </c>
      <c r="D44" s="635" t="s">
        <v>37</v>
      </c>
      <c r="E44" s="644" t="s">
        <v>657</v>
      </c>
    </row>
    <row r="45" spans="1:5" ht="15.6">
      <c r="A45" s="637" t="s">
        <v>220</v>
      </c>
      <c r="B45" s="637" t="s">
        <v>284</v>
      </c>
      <c r="C45" s="633" t="s">
        <v>1007</v>
      </c>
      <c r="D45" s="635" t="s">
        <v>441</v>
      </c>
      <c r="E45" s="644" t="s">
        <v>657</v>
      </c>
    </row>
    <row r="46" spans="1:5" ht="15.6">
      <c r="A46" s="637" t="s">
        <v>274</v>
      </c>
      <c r="B46" s="637" t="s">
        <v>345</v>
      </c>
      <c r="C46" s="633" t="s">
        <v>993</v>
      </c>
      <c r="D46" s="635" t="s">
        <v>344</v>
      </c>
      <c r="E46" s="644" t="s">
        <v>657</v>
      </c>
    </row>
    <row r="47" spans="1:5" ht="15.6">
      <c r="A47" s="637" t="s">
        <v>127</v>
      </c>
      <c r="B47" s="637" t="s">
        <v>663</v>
      </c>
      <c r="C47" s="633" t="s">
        <v>970</v>
      </c>
      <c r="D47" s="635" t="s">
        <v>29</v>
      </c>
      <c r="E47" s="644" t="s">
        <v>657</v>
      </c>
    </row>
    <row r="48" spans="1:5" ht="15.6">
      <c r="A48" s="639" t="s">
        <v>754</v>
      </c>
      <c r="B48" s="639" t="s">
        <v>379</v>
      </c>
      <c r="C48" s="633" t="s">
        <v>1028</v>
      </c>
      <c r="D48" s="635" t="s">
        <v>521</v>
      </c>
      <c r="E48" s="644" t="s">
        <v>742</v>
      </c>
    </row>
    <row r="49" spans="1:5" ht="15.6">
      <c r="A49" s="637" t="s">
        <v>724</v>
      </c>
      <c r="B49" s="639" t="s">
        <v>379</v>
      </c>
      <c r="C49" s="633" t="s">
        <v>1001</v>
      </c>
      <c r="D49" s="634" t="s">
        <v>378</v>
      </c>
      <c r="E49" s="644" t="s">
        <v>657</v>
      </c>
    </row>
    <row r="50" spans="1:5" ht="15.6">
      <c r="A50" s="639" t="s">
        <v>754</v>
      </c>
      <c r="B50" s="637" t="s">
        <v>299</v>
      </c>
      <c r="C50" s="633" t="s">
        <v>1027</v>
      </c>
      <c r="D50" s="634" t="s">
        <v>459</v>
      </c>
      <c r="E50" s="644" t="s">
        <v>742</v>
      </c>
    </row>
    <row r="51" spans="1:5" ht="15.6">
      <c r="A51" s="637" t="s">
        <v>724</v>
      </c>
      <c r="B51" s="637" t="s">
        <v>299</v>
      </c>
      <c r="C51" s="633" t="s">
        <v>1023</v>
      </c>
      <c r="D51" s="636" t="s">
        <v>312</v>
      </c>
      <c r="E51" s="644" t="s">
        <v>742</v>
      </c>
    </row>
    <row r="52" spans="1:5" ht="15.6">
      <c r="A52" s="637" t="s">
        <v>729</v>
      </c>
      <c r="B52" s="639" t="s">
        <v>299</v>
      </c>
      <c r="C52" s="633" t="s">
        <v>1016</v>
      </c>
      <c r="D52" s="635" t="s">
        <v>523</v>
      </c>
      <c r="E52" s="644" t="s">
        <v>1051</v>
      </c>
    </row>
    <row r="53" spans="1:5" ht="15.6">
      <c r="A53" s="637" t="s">
        <v>754</v>
      </c>
      <c r="B53" s="637" t="s">
        <v>299</v>
      </c>
      <c r="C53" s="633" t="s">
        <v>1042</v>
      </c>
      <c r="D53" s="636" t="s">
        <v>373</v>
      </c>
      <c r="E53" s="644" t="s">
        <v>773</v>
      </c>
    </row>
    <row r="54" spans="1:5" ht="15.6">
      <c r="A54" s="641" t="s">
        <v>741</v>
      </c>
      <c r="B54" s="637" t="s">
        <v>299</v>
      </c>
      <c r="C54" s="633" t="s">
        <v>1038</v>
      </c>
      <c r="D54" s="635" t="s">
        <v>26</v>
      </c>
      <c r="E54" s="644" t="s">
        <v>1053</v>
      </c>
    </row>
    <row r="55" spans="1:5" ht="15.6">
      <c r="A55" s="637" t="s">
        <v>724</v>
      </c>
      <c r="B55" s="637" t="s">
        <v>299</v>
      </c>
      <c r="C55" s="633" t="s">
        <v>995</v>
      </c>
      <c r="D55" s="635" t="s">
        <v>28</v>
      </c>
      <c r="E55" s="644" t="s">
        <v>657</v>
      </c>
    </row>
    <row r="56" spans="1:5" ht="15.6">
      <c r="A56" s="637" t="s">
        <v>80</v>
      </c>
      <c r="B56" s="637" t="s">
        <v>756</v>
      </c>
      <c r="C56" s="633" t="s">
        <v>1029</v>
      </c>
      <c r="D56" s="635" t="s">
        <v>17</v>
      </c>
      <c r="E56" s="644" t="s">
        <v>1052</v>
      </c>
    </row>
    <row r="57" spans="1:5" ht="15.6">
      <c r="A57" s="639" t="s">
        <v>139</v>
      </c>
      <c r="B57" s="637" t="s">
        <v>774</v>
      </c>
      <c r="C57" s="633" t="s">
        <v>1040</v>
      </c>
      <c r="D57" s="635" t="s">
        <v>27</v>
      </c>
      <c r="E57" s="644" t="s">
        <v>773</v>
      </c>
    </row>
    <row r="58" spans="1:5" ht="15.6">
      <c r="A58" s="639" t="s">
        <v>105</v>
      </c>
      <c r="B58" s="639" t="s">
        <v>712</v>
      </c>
      <c r="C58" s="633" t="s">
        <v>989</v>
      </c>
      <c r="D58" s="634" t="s">
        <v>33</v>
      </c>
      <c r="E58" s="644" t="s">
        <v>657</v>
      </c>
    </row>
    <row r="59" spans="1:5" ht="15.6">
      <c r="A59" s="639" t="s">
        <v>728</v>
      </c>
      <c r="B59" s="639" t="s">
        <v>435</v>
      </c>
      <c r="C59" s="633" t="s">
        <v>1025</v>
      </c>
      <c r="D59" s="635" t="s">
        <v>434</v>
      </c>
      <c r="E59" s="644" t="s">
        <v>742</v>
      </c>
    </row>
    <row r="60" spans="1:5" ht="15.6">
      <c r="A60" s="640" t="s">
        <v>697</v>
      </c>
      <c r="B60" s="637" t="s">
        <v>307</v>
      </c>
      <c r="C60" s="633" t="s">
        <v>982</v>
      </c>
      <c r="D60" s="634" t="s">
        <v>407</v>
      </c>
      <c r="E60" s="644" t="s">
        <v>657</v>
      </c>
    </row>
    <row r="61" spans="1:5" ht="15.6">
      <c r="A61" s="637" t="s">
        <v>706</v>
      </c>
      <c r="B61" s="637" t="s">
        <v>307</v>
      </c>
      <c r="C61" s="633" t="s">
        <v>986</v>
      </c>
      <c r="D61" s="635" t="s">
        <v>389</v>
      </c>
      <c r="E61" s="644" t="s">
        <v>657</v>
      </c>
    </row>
    <row r="62" spans="1:5" ht="15.6">
      <c r="A62" s="637" t="s">
        <v>696</v>
      </c>
      <c r="B62" s="637" t="s">
        <v>307</v>
      </c>
      <c r="C62" s="633" t="s">
        <v>981</v>
      </c>
      <c r="D62" s="635" t="s">
        <v>400</v>
      </c>
      <c r="E62" s="644" t="s">
        <v>657</v>
      </c>
    </row>
    <row r="63" spans="1:5" ht="15.6">
      <c r="A63" s="637" t="s">
        <v>689</v>
      </c>
      <c r="B63" s="637" t="s">
        <v>307</v>
      </c>
      <c r="C63" s="633" t="s">
        <v>979</v>
      </c>
      <c r="D63" s="634" t="s">
        <v>383</v>
      </c>
      <c r="E63" s="644" t="s">
        <v>657</v>
      </c>
    </row>
    <row r="64" spans="1:5" ht="15.6">
      <c r="A64" s="637" t="s">
        <v>689</v>
      </c>
      <c r="B64" s="637" t="s">
        <v>307</v>
      </c>
      <c r="C64" s="633" t="s">
        <v>978</v>
      </c>
      <c r="D64" s="635" t="s">
        <v>306</v>
      </c>
      <c r="E64" s="644" t="s">
        <v>657</v>
      </c>
    </row>
    <row r="65" spans="1:5" ht="15.6">
      <c r="A65" s="637" t="s">
        <v>693</v>
      </c>
      <c r="B65" s="637" t="s">
        <v>307</v>
      </c>
      <c r="C65" s="633" t="s">
        <v>980</v>
      </c>
      <c r="D65" s="635" t="s">
        <v>339</v>
      </c>
      <c r="E65" s="644" t="s">
        <v>657</v>
      </c>
    </row>
    <row r="66" spans="1:5" ht="15.6">
      <c r="A66" s="637" t="s">
        <v>706</v>
      </c>
      <c r="B66" s="637" t="s">
        <v>307</v>
      </c>
      <c r="C66" s="633" t="s">
        <v>1008</v>
      </c>
      <c r="D66" s="635" t="s">
        <v>484</v>
      </c>
      <c r="E66" s="644" t="s">
        <v>657</v>
      </c>
    </row>
    <row r="67" spans="1:5" ht="15.6">
      <c r="A67" s="637" t="s">
        <v>705</v>
      </c>
      <c r="B67" s="637" t="s">
        <v>307</v>
      </c>
      <c r="C67" s="633" t="s">
        <v>985</v>
      </c>
      <c r="D67" s="635" t="s">
        <v>418</v>
      </c>
      <c r="E67" s="644" t="s">
        <v>657</v>
      </c>
    </row>
    <row r="68" spans="1:5" ht="15.6">
      <c r="A68" s="640" t="s">
        <v>702</v>
      </c>
      <c r="B68" s="637" t="s">
        <v>307</v>
      </c>
      <c r="C68" s="633" t="s">
        <v>983</v>
      </c>
      <c r="D68" s="635" t="s">
        <v>423</v>
      </c>
      <c r="E68" s="644" t="s">
        <v>657</v>
      </c>
    </row>
    <row r="69" spans="1:5" ht="15.6">
      <c r="A69" s="639" t="s">
        <v>730</v>
      </c>
      <c r="B69" s="639" t="s">
        <v>272</v>
      </c>
      <c r="C69" s="633" t="s">
        <v>1004</v>
      </c>
      <c r="D69" s="635" t="s">
        <v>271</v>
      </c>
      <c r="E69" s="644" t="s">
        <v>657</v>
      </c>
    </row>
    <row r="70" spans="1:5" ht="15.6">
      <c r="A70" s="639" t="s">
        <v>105</v>
      </c>
      <c r="B70" s="638" t="s">
        <v>781</v>
      </c>
      <c r="C70" s="633" t="s">
        <v>1046</v>
      </c>
      <c r="D70" s="635" t="s">
        <v>14</v>
      </c>
      <c r="E70" s="644" t="s">
        <v>885</v>
      </c>
    </row>
    <row r="71" spans="1:5" ht="15.6">
      <c r="A71" s="639" t="s">
        <v>778</v>
      </c>
      <c r="B71" s="639" t="s">
        <v>455</v>
      </c>
      <c r="C71" s="633" t="s">
        <v>1044</v>
      </c>
      <c r="D71" s="635" t="s">
        <v>525</v>
      </c>
      <c r="E71" s="644" t="s">
        <v>773</v>
      </c>
    </row>
    <row r="72" spans="1:5" ht="15.6">
      <c r="A72" s="639" t="s">
        <v>605</v>
      </c>
      <c r="B72" s="639" t="s">
        <v>455</v>
      </c>
      <c r="C72" s="633" t="s">
        <v>998</v>
      </c>
      <c r="D72" s="635" t="s">
        <v>474</v>
      </c>
      <c r="E72" s="644" t="s">
        <v>657</v>
      </c>
    </row>
    <row r="73" spans="1:5" ht="15.6">
      <c r="A73" s="639" t="s">
        <v>605</v>
      </c>
      <c r="B73" s="639" t="s">
        <v>455</v>
      </c>
      <c r="C73" s="633" t="s">
        <v>1035</v>
      </c>
      <c r="D73" s="635" t="s">
        <v>454</v>
      </c>
      <c r="E73" s="644" t="s">
        <v>1052</v>
      </c>
    </row>
    <row r="74" spans="1:5" ht="15.6">
      <c r="A74" s="640" t="s">
        <v>704</v>
      </c>
      <c r="B74" s="639" t="s">
        <v>455</v>
      </c>
      <c r="C74" s="633" t="s">
        <v>984</v>
      </c>
      <c r="D74" s="634" t="s">
        <v>445</v>
      </c>
      <c r="E74" s="644" t="s">
        <v>657</v>
      </c>
    </row>
    <row r="75" spans="1:5" ht="15.6">
      <c r="A75" s="639" t="s">
        <v>778</v>
      </c>
      <c r="B75" s="639" t="s">
        <v>455</v>
      </c>
      <c r="C75" s="633" t="s">
        <v>1050</v>
      </c>
      <c r="D75" s="635" t="s">
        <v>524</v>
      </c>
      <c r="E75" s="644" t="s">
        <v>885</v>
      </c>
    </row>
    <row r="76" spans="1:5" ht="15.6">
      <c r="A76" s="639" t="s">
        <v>741</v>
      </c>
      <c r="B76" s="639" t="s">
        <v>455</v>
      </c>
      <c r="C76" s="633" t="s">
        <v>1015</v>
      </c>
      <c r="D76" s="635" t="s">
        <v>469</v>
      </c>
      <c r="E76" s="644" t="s">
        <v>1051</v>
      </c>
    </row>
    <row r="77" spans="1:5" ht="15.6">
      <c r="A77" s="637" t="s">
        <v>189</v>
      </c>
      <c r="B77" s="637" t="s">
        <v>675</v>
      </c>
      <c r="C77" s="633" t="s">
        <v>974</v>
      </c>
      <c r="D77" s="635" t="s">
        <v>5</v>
      </c>
      <c r="E77" s="644" t="s">
        <v>657</v>
      </c>
    </row>
    <row r="78" spans="1:5" ht="15.6">
      <c r="A78" s="637" t="s">
        <v>151</v>
      </c>
      <c r="B78" s="637" t="s">
        <v>768</v>
      </c>
      <c r="C78" s="633" t="s">
        <v>1036</v>
      </c>
      <c r="D78" s="635" t="s">
        <v>4</v>
      </c>
      <c r="E78" s="644" t="s">
        <v>1053</v>
      </c>
    </row>
    <row r="79" spans="1:5" ht="15.6">
      <c r="A79" s="637" t="s">
        <v>151</v>
      </c>
      <c r="B79" s="637" t="s">
        <v>761</v>
      </c>
      <c r="C79" s="633" t="s">
        <v>1031</v>
      </c>
      <c r="D79" s="635" t="s">
        <v>10</v>
      </c>
      <c r="E79" s="644" t="s">
        <v>1052</v>
      </c>
    </row>
    <row r="80" spans="1:5" ht="15.6">
      <c r="A80" s="637" t="s">
        <v>151</v>
      </c>
      <c r="B80" s="638" t="s">
        <v>667</v>
      </c>
      <c r="C80" s="633" t="s">
        <v>972</v>
      </c>
      <c r="D80" s="635" t="s">
        <v>8</v>
      </c>
      <c r="E80" s="644" t="s">
        <v>657</v>
      </c>
    </row>
    <row r="81" spans="1:5" ht="15.6">
      <c r="A81" s="637" t="s">
        <v>151</v>
      </c>
      <c r="B81" s="637" t="s">
        <v>671</v>
      </c>
      <c r="C81" s="633" t="s">
        <v>973</v>
      </c>
      <c r="D81" s="634" t="s">
        <v>9</v>
      </c>
      <c r="E81" s="644" t="s">
        <v>657</v>
      </c>
    </row>
    <row r="82" spans="1:5" ht="15.6">
      <c r="A82" s="637" t="s">
        <v>68</v>
      </c>
      <c r="B82" s="637" t="s">
        <v>708</v>
      </c>
      <c r="C82" s="633" t="s">
        <v>987</v>
      </c>
      <c r="D82" s="635" t="s">
        <v>18</v>
      </c>
      <c r="E82" s="644" t="s">
        <v>657</v>
      </c>
    </row>
    <row r="83" spans="1:5" ht="15.6">
      <c r="A83" s="637" t="s">
        <v>729</v>
      </c>
      <c r="B83" s="639" t="s">
        <v>490</v>
      </c>
      <c r="C83" s="633" t="s">
        <v>1003</v>
      </c>
      <c r="D83" s="635" t="s">
        <v>522</v>
      </c>
      <c r="E83" s="644" t="s">
        <v>657</v>
      </c>
    </row>
    <row r="84" spans="1:5" ht="15.6">
      <c r="A84" s="637" t="s">
        <v>754</v>
      </c>
      <c r="B84" s="637" t="s">
        <v>490</v>
      </c>
      <c r="C84" s="633" t="s">
        <v>1048</v>
      </c>
      <c r="D84" s="635" t="s">
        <v>394</v>
      </c>
      <c r="E84" s="644" t="s">
        <v>885</v>
      </c>
    </row>
    <row r="85" spans="1:5" ht="15.6">
      <c r="A85" s="637" t="s">
        <v>729</v>
      </c>
      <c r="B85" s="639" t="s">
        <v>490</v>
      </c>
      <c r="C85" s="633" t="s">
        <v>1006</v>
      </c>
      <c r="D85" s="635" t="s">
        <v>528</v>
      </c>
      <c r="E85" s="644" t="s">
        <v>657</v>
      </c>
    </row>
  </sheetData>
  <autoFilter ref="A1:G85" xr:uid="{BA9EBC51-8FE9-41A1-954D-F181C0C8E1C1}">
    <sortState xmlns:xlrd2="http://schemas.microsoft.com/office/spreadsheetml/2017/richdata2" ref="A2:G85">
      <sortCondition ref="B1:B85"/>
    </sortState>
  </autoFilter>
  <hyperlinks>
    <hyperlink ref="D81" r:id="rId1" xr:uid="{10860917-EDB9-4B32-B668-58A02B21F93F}"/>
    <hyperlink ref="D31" r:id="rId2" xr:uid="{65E570F0-1F47-4492-B2A9-60FC47C6684B}"/>
    <hyperlink ref="D58" r:id="rId3" xr:uid="{AD98718F-A35E-42F8-89FE-46FC790148B9}"/>
    <hyperlink ref="D63" r:id="rId4" xr:uid="{5ED4E902-400B-40D9-86D3-8C460C1CDF35}"/>
    <hyperlink ref="D60" r:id="rId5" xr:uid="{A98E9BCA-1EBB-4791-8BC5-0FD031D3C959}"/>
    <hyperlink ref="D74" r:id="rId6" xr:uid="{82701176-3597-4D18-AEFD-F8C7133AF4B7}"/>
    <hyperlink ref="D36" r:id="rId7" xr:uid="{16096587-C21F-4304-B496-5912BF4D54A4}"/>
    <hyperlink ref="D49" r:id="rId8" xr:uid="{DEF43EA4-F61C-4302-923D-5FFD04457409}"/>
    <hyperlink ref="D50" r:id="rId9" xr:uid="{ADC0985D-ECCD-4BB4-AD45-AE2EDAA99C92}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839"/>
  <sheetViews>
    <sheetView workbookViewId="0"/>
  </sheetViews>
  <sheetFormatPr defaultColWidth="14.44140625" defaultRowHeight="15" customHeight="1"/>
  <cols>
    <col min="1" max="1" width="4.6640625" customWidth="1"/>
    <col min="2" max="2" width="25" customWidth="1"/>
    <col min="3" max="3" width="39.6640625" hidden="1" customWidth="1"/>
    <col min="4" max="4" width="17.88671875" customWidth="1"/>
    <col min="5" max="5" width="30.88671875" customWidth="1"/>
    <col min="6" max="6" width="17.44140625" customWidth="1"/>
    <col min="7" max="7" width="16" customWidth="1"/>
    <col min="8" max="8" width="15.44140625" customWidth="1"/>
    <col min="9" max="9" width="13.5546875" customWidth="1"/>
    <col min="10" max="10" width="20.33203125" customWidth="1"/>
    <col min="11" max="11" width="13.6640625" hidden="1" customWidth="1"/>
    <col min="12" max="13" width="13.6640625" customWidth="1"/>
    <col min="14" max="14" width="17" customWidth="1"/>
    <col min="15" max="15" width="20.88671875" customWidth="1"/>
    <col min="16" max="16" width="36.5546875" customWidth="1"/>
    <col min="17" max="17" width="35.6640625" customWidth="1"/>
    <col min="18" max="18" width="8.6640625" customWidth="1"/>
  </cols>
  <sheetData>
    <row r="1" spans="1:18" ht="14.4">
      <c r="A1" s="670"/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2"/>
    </row>
    <row r="2" spans="1:18" ht="14.4">
      <c r="A2" s="673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74"/>
    </row>
    <row r="3" spans="1:18" ht="14.4">
      <c r="A3" s="675"/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7"/>
    </row>
    <row r="4" spans="1:18" ht="23.4">
      <c r="A4" s="678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</row>
    <row r="5" spans="1:18" ht="23.4">
      <c r="A5" s="678"/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</row>
    <row r="6" spans="1:18" ht="23.4">
      <c r="A6" s="678"/>
      <c r="B6" s="649"/>
      <c r="C6" s="649"/>
      <c r="D6" s="649"/>
      <c r="E6" s="649"/>
      <c r="F6" s="649"/>
      <c r="G6" s="649"/>
      <c r="H6" s="649"/>
      <c r="I6" s="649"/>
      <c r="J6" s="649"/>
      <c r="K6" s="649"/>
      <c r="L6" s="649"/>
      <c r="M6" s="649"/>
      <c r="N6" s="649"/>
      <c r="O6" s="649"/>
      <c r="P6" s="649"/>
      <c r="Q6" s="649"/>
      <c r="R6" s="649"/>
    </row>
    <row r="7" spans="1:18" ht="28.8">
      <c r="A7" s="203"/>
      <c r="B7" s="679" t="s">
        <v>539</v>
      </c>
      <c r="C7" s="649"/>
      <c r="D7" s="649"/>
      <c r="E7" s="649"/>
      <c r="F7" s="649"/>
      <c r="G7" s="649"/>
      <c r="H7" s="649"/>
      <c r="I7" s="649"/>
      <c r="J7" s="649"/>
      <c r="K7" s="649"/>
      <c r="L7" s="649"/>
      <c r="M7" s="649"/>
      <c r="N7" s="649"/>
      <c r="O7" s="649"/>
      <c r="P7" s="649"/>
      <c r="Q7" s="649"/>
      <c r="R7" s="203"/>
    </row>
    <row r="8" spans="1:18" ht="14.4">
      <c r="A8" s="680"/>
      <c r="B8" s="649"/>
      <c r="C8" s="649"/>
      <c r="D8" s="649"/>
      <c r="E8" s="649"/>
      <c r="F8" s="649"/>
      <c r="G8" s="649"/>
      <c r="H8" s="649"/>
      <c r="I8" s="649"/>
      <c r="J8" s="649"/>
      <c r="K8" s="649"/>
      <c r="L8" s="649"/>
      <c r="M8" s="649"/>
      <c r="N8" s="649"/>
      <c r="O8" s="649"/>
      <c r="P8" s="649"/>
      <c r="Q8" s="649"/>
      <c r="R8" s="649"/>
    </row>
    <row r="9" spans="1:18" ht="18.600000000000001">
      <c r="A9" s="666"/>
      <c r="B9" s="666" t="s">
        <v>41</v>
      </c>
      <c r="C9" s="666" t="s">
        <v>648</v>
      </c>
      <c r="D9" s="205"/>
      <c r="E9" s="205"/>
      <c r="F9" s="667" t="s">
        <v>44</v>
      </c>
      <c r="G9" s="656"/>
      <c r="H9" s="657"/>
      <c r="I9" s="665" t="s">
        <v>45</v>
      </c>
      <c r="J9" s="668" t="s">
        <v>46</v>
      </c>
      <c r="K9" s="205"/>
      <c r="L9" s="205" t="s">
        <v>52</v>
      </c>
      <c r="M9" s="665" t="s">
        <v>540</v>
      </c>
      <c r="N9" s="645" t="s">
        <v>42</v>
      </c>
      <c r="O9" s="654" t="s">
        <v>829</v>
      </c>
      <c r="P9" s="664" t="s">
        <v>652</v>
      </c>
      <c r="Q9" s="665" t="s">
        <v>653</v>
      </c>
      <c r="R9" s="681"/>
    </row>
    <row r="10" spans="1:18" ht="18.600000000000001">
      <c r="A10" s="646"/>
      <c r="B10" s="646"/>
      <c r="C10" s="646"/>
      <c r="D10" s="206"/>
      <c r="E10" s="206"/>
      <c r="F10" s="206" t="s">
        <v>654</v>
      </c>
      <c r="G10" s="206" t="s">
        <v>655</v>
      </c>
      <c r="H10" s="206" t="s">
        <v>656</v>
      </c>
      <c r="I10" s="646"/>
      <c r="J10" s="646"/>
      <c r="K10" s="205"/>
      <c r="L10" s="229">
        <f ca="1">TODAY()</f>
        <v>45908</v>
      </c>
      <c r="M10" s="646"/>
      <c r="N10" s="646"/>
      <c r="O10" s="646"/>
      <c r="P10" s="646"/>
      <c r="Q10" s="646"/>
      <c r="R10" s="649"/>
    </row>
    <row r="11" spans="1:18" ht="15.6">
      <c r="A11" s="669" t="s">
        <v>657</v>
      </c>
      <c r="B11" s="656"/>
      <c r="C11" s="656"/>
      <c r="D11" s="656"/>
      <c r="E11" s="656"/>
      <c r="F11" s="656"/>
      <c r="G11" s="656"/>
      <c r="H11" s="656"/>
      <c r="I11" s="656"/>
      <c r="J11" s="656"/>
      <c r="K11" s="656"/>
      <c r="L11" s="656"/>
      <c r="M11" s="656"/>
      <c r="N11" s="656"/>
      <c r="O11" s="656"/>
      <c r="P11" s="656"/>
      <c r="Q11" s="657"/>
      <c r="R11" s="119"/>
    </row>
    <row r="12" spans="1:18" ht="15.75" customHeight="1">
      <c r="A12" s="230">
        <v>1</v>
      </c>
      <c r="B12" s="20" t="s">
        <v>105</v>
      </c>
      <c r="C12" s="20" t="s">
        <v>118</v>
      </c>
      <c r="D12" s="23" t="s">
        <v>658</v>
      </c>
      <c r="E12" s="23"/>
      <c r="F12" s="23" t="s">
        <v>75</v>
      </c>
      <c r="G12" s="23" t="s">
        <v>76</v>
      </c>
      <c r="H12" s="23" t="s">
        <v>77</v>
      </c>
      <c r="I12" s="28" t="s">
        <v>64</v>
      </c>
      <c r="J12" s="41">
        <v>23662</v>
      </c>
      <c r="K12" s="229">
        <f t="shared" ref="K12:K13" ca="1" si="0">TODAY()</f>
        <v>45908</v>
      </c>
      <c r="L12" s="231">
        <f t="shared" ref="L12:L13" ca="1" si="1">DATEDIF(J12,K12,"Y")</f>
        <v>60</v>
      </c>
      <c r="M12" s="28" t="s">
        <v>58</v>
      </c>
      <c r="N12" s="35" t="s">
        <v>98</v>
      </c>
      <c r="O12" s="35" t="s">
        <v>830</v>
      </c>
      <c r="P12" s="26" t="s">
        <v>78</v>
      </c>
      <c r="Q12" s="27" t="s">
        <v>15</v>
      </c>
      <c r="R12" s="119" t="e">
        <f>CONCATENATE(#REF!,","," ",#REF!," ",LEFT(#REF!,1),".")</f>
        <v>#REF!</v>
      </c>
    </row>
    <row r="13" spans="1:18" ht="17.25" customHeight="1">
      <c r="A13" s="230">
        <v>2</v>
      </c>
      <c r="B13" s="20" t="s">
        <v>80</v>
      </c>
      <c r="C13" s="20" t="s">
        <v>831</v>
      </c>
      <c r="D13" s="23" t="s">
        <v>708</v>
      </c>
      <c r="E13" s="23"/>
      <c r="F13" s="23" t="s">
        <v>70</v>
      </c>
      <c r="G13" s="23" t="s">
        <v>71</v>
      </c>
      <c r="H13" s="23" t="s">
        <v>72</v>
      </c>
      <c r="I13" s="28" t="s">
        <v>64</v>
      </c>
      <c r="J13" s="37">
        <v>23575</v>
      </c>
      <c r="K13" s="229">
        <f t="shared" ca="1" si="0"/>
        <v>45908</v>
      </c>
      <c r="L13" s="231">
        <f t="shared" ca="1" si="1"/>
        <v>61</v>
      </c>
      <c r="M13" s="28" t="s">
        <v>58</v>
      </c>
      <c r="N13" s="35" t="s">
        <v>81</v>
      </c>
      <c r="O13" s="35" t="s">
        <v>709</v>
      </c>
      <c r="P13" s="26" t="s">
        <v>710</v>
      </c>
      <c r="Q13" s="27" t="s">
        <v>18</v>
      </c>
      <c r="R13" s="119" t="str">
        <f>CONCATENATE(F48,","," ",G48," ",LEFT(H48,1),".")</f>
        <v>,  .</v>
      </c>
    </row>
    <row r="14" spans="1:18" ht="18.600000000000001">
      <c r="A14" s="230"/>
      <c r="B14" s="20"/>
      <c r="C14" s="20"/>
      <c r="D14" s="23"/>
      <c r="E14" s="23"/>
      <c r="F14" s="23"/>
      <c r="G14" s="23"/>
      <c r="H14" s="23"/>
      <c r="I14" s="28"/>
      <c r="J14" s="207"/>
      <c r="K14" s="28"/>
      <c r="L14" s="28"/>
      <c r="M14" s="28"/>
      <c r="N14" s="35"/>
      <c r="O14" s="35"/>
      <c r="P14" s="26"/>
      <c r="Q14" s="27"/>
      <c r="R14" s="119"/>
    </row>
    <row r="15" spans="1:18" ht="15.6">
      <c r="A15" s="669" t="s">
        <v>732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6"/>
      <c r="N15" s="656"/>
      <c r="O15" s="656"/>
      <c r="P15" s="656"/>
      <c r="Q15" s="657"/>
      <c r="R15" s="119" t="str">
        <f t="shared" ref="R15:R26" si="2">CONCATENATE(F16,","," ",G16," ",LEFT(H16,1),".")</f>
        <v>CANO, ADELMO G.</v>
      </c>
    </row>
    <row r="16" spans="1:18" ht="18.600000000000001">
      <c r="A16" s="230">
        <v>1</v>
      </c>
      <c r="B16" s="20" t="s">
        <v>189</v>
      </c>
      <c r="C16" s="20" t="s">
        <v>194</v>
      </c>
      <c r="D16" s="23"/>
      <c r="E16" s="23"/>
      <c r="F16" s="23" t="s">
        <v>737</v>
      </c>
      <c r="G16" s="23" t="s">
        <v>192</v>
      </c>
      <c r="H16" s="23" t="s">
        <v>193</v>
      </c>
      <c r="I16" s="28" t="s">
        <v>85</v>
      </c>
      <c r="J16" s="207">
        <v>26078</v>
      </c>
      <c r="K16" s="229">
        <f t="shared" ref="K16:K17" ca="1" si="3">TODAY()</f>
        <v>45908</v>
      </c>
      <c r="L16" s="28">
        <f ca="1">DATEDIF(J16,K13,"Y")</f>
        <v>54</v>
      </c>
      <c r="M16" s="28" t="s">
        <v>58</v>
      </c>
      <c r="N16" s="35" t="s">
        <v>162</v>
      </c>
      <c r="O16" s="35" t="s">
        <v>665</v>
      </c>
      <c r="P16" s="26" t="s">
        <v>736</v>
      </c>
      <c r="Q16" s="27" t="s">
        <v>3</v>
      </c>
      <c r="R16" s="119" t="str">
        <f t="shared" si="2"/>
        <v>HUBALDE, ROLAND B.</v>
      </c>
    </row>
    <row r="17" spans="1:18" ht="18.600000000000001">
      <c r="A17" s="230">
        <v>2</v>
      </c>
      <c r="B17" s="20" t="s">
        <v>178</v>
      </c>
      <c r="C17" s="20" t="s">
        <v>183</v>
      </c>
      <c r="D17" s="23"/>
      <c r="E17" s="23"/>
      <c r="F17" s="23" t="s">
        <v>180</v>
      </c>
      <c r="G17" s="23" t="s">
        <v>181</v>
      </c>
      <c r="H17" s="23" t="s">
        <v>182</v>
      </c>
      <c r="I17" s="28" t="s">
        <v>85</v>
      </c>
      <c r="J17" s="232">
        <v>23752</v>
      </c>
      <c r="K17" s="229">
        <f t="shared" ca="1" si="3"/>
        <v>45908</v>
      </c>
      <c r="L17" s="233">
        <f ca="1">DATEDIF(J17,K17,"Y")</f>
        <v>60</v>
      </c>
      <c r="M17" s="28" t="s">
        <v>58</v>
      </c>
      <c r="N17" s="35" t="s">
        <v>179</v>
      </c>
      <c r="O17" s="35" t="s">
        <v>738</v>
      </c>
      <c r="P17" s="26" t="s">
        <v>739</v>
      </c>
      <c r="Q17" s="27" t="s">
        <v>11</v>
      </c>
      <c r="R17" s="119" t="str">
        <f t="shared" si="2"/>
        <v>,  .</v>
      </c>
    </row>
    <row r="18" spans="1:18" ht="18.600000000000001">
      <c r="A18" s="234"/>
      <c r="B18" s="20"/>
      <c r="C18" s="20"/>
      <c r="D18" s="22"/>
      <c r="E18" s="22"/>
      <c r="F18" s="22"/>
      <c r="G18" s="22"/>
      <c r="H18" s="22"/>
      <c r="I18" s="122"/>
      <c r="J18" s="55"/>
      <c r="K18" s="22"/>
      <c r="L18" s="22"/>
      <c r="M18" s="22"/>
      <c r="N18" s="54"/>
      <c r="O18" s="54"/>
      <c r="P18" s="235"/>
      <c r="Q18" s="6"/>
      <c r="R18" s="119" t="str">
        <f t="shared" si="2"/>
        <v>,  .</v>
      </c>
    </row>
    <row r="19" spans="1:18" ht="15.6">
      <c r="A19" s="669" t="s">
        <v>742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7"/>
      <c r="R19" s="119" t="str">
        <f t="shared" si="2"/>
        <v>ABAD, FERDINAND B.</v>
      </c>
    </row>
    <row r="20" spans="1:18" ht="15.75" customHeight="1">
      <c r="A20" s="230">
        <v>1</v>
      </c>
      <c r="B20" s="20" t="s">
        <v>151</v>
      </c>
      <c r="C20" s="20" t="s">
        <v>177</v>
      </c>
      <c r="D20" s="23" t="s">
        <v>746</v>
      </c>
      <c r="E20" s="23"/>
      <c r="F20" s="23" t="s">
        <v>163</v>
      </c>
      <c r="G20" s="23" t="s">
        <v>164</v>
      </c>
      <c r="H20" s="23" t="s">
        <v>82</v>
      </c>
      <c r="I20" s="28" t="s">
        <v>85</v>
      </c>
      <c r="J20" s="216"/>
      <c r="K20" s="229">
        <f t="shared" ref="K20:K32" ca="1" si="4">TODAY()</f>
        <v>45908</v>
      </c>
      <c r="L20" s="28">
        <f t="shared" ref="L20:L27" ca="1" si="5">DATEDIF(J20,K20,"Y")</f>
        <v>125</v>
      </c>
      <c r="M20" s="28" t="s">
        <v>58</v>
      </c>
      <c r="N20" s="35" t="s">
        <v>162</v>
      </c>
      <c r="O20" s="35" t="s">
        <v>677</v>
      </c>
      <c r="P20" s="60" t="s">
        <v>165</v>
      </c>
      <c r="Q20" s="27" t="s">
        <v>7</v>
      </c>
      <c r="R20" s="119" t="str">
        <f t="shared" si="2"/>
        <v>BALIGOD, RICHARD P.</v>
      </c>
    </row>
    <row r="21" spans="1:18" ht="15.75" customHeight="1">
      <c r="A21" s="230">
        <v>2</v>
      </c>
      <c r="B21" s="20" t="s">
        <v>178</v>
      </c>
      <c r="C21" s="20" t="s">
        <v>188</v>
      </c>
      <c r="D21" s="23" t="s">
        <v>747</v>
      </c>
      <c r="E21" s="236" t="s">
        <v>748</v>
      </c>
      <c r="F21" s="23" t="s">
        <v>184</v>
      </c>
      <c r="G21" s="23" t="s">
        <v>185</v>
      </c>
      <c r="H21" s="23" t="s">
        <v>186</v>
      </c>
      <c r="I21" s="28" t="s">
        <v>85</v>
      </c>
      <c r="J21" s="216">
        <v>25168</v>
      </c>
      <c r="K21" s="229">
        <f t="shared" ca="1" si="4"/>
        <v>45908</v>
      </c>
      <c r="L21" s="28">
        <f t="shared" ca="1" si="5"/>
        <v>56</v>
      </c>
      <c r="M21" s="28" t="s">
        <v>58</v>
      </c>
      <c r="N21" s="56">
        <v>44718</v>
      </c>
      <c r="O21" s="52">
        <v>18739</v>
      </c>
      <c r="P21" s="60" t="s">
        <v>187</v>
      </c>
      <c r="Q21" s="27" t="s">
        <v>22</v>
      </c>
      <c r="R21" s="119" t="str">
        <f t="shared" si="2"/>
        <v>BARIUAN, RONALD  S.</v>
      </c>
    </row>
    <row r="22" spans="1:18" ht="15.75" customHeight="1">
      <c r="A22" s="230">
        <v>3</v>
      </c>
      <c r="B22" s="20" t="s">
        <v>80</v>
      </c>
      <c r="C22" s="20" t="s">
        <v>86</v>
      </c>
      <c r="D22" s="23" t="s">
        <v>733</v>
      </c>
      <c r="E22" s="23" t="s">
        <v>734</v>
      </c>
      <c r="F22" s="23" t="s">
        <v>82</v>
      </c>
      <c r="G22" s="23" t="s">
        <v>83</v>
      </c>
      <c r="H22" s="23" t="s">
        <v>84</v>
      </c>
      <c r="I22" s="28" t="s">
        <v>85</v>
      </c>
      <c r="J22" s="216">
        <v>27002</v>
      </c>
      <c r="K22" s="229">
        <f t="shared" ca="1" si="4"/>
        <v>45908</v>
      </c>
      <c r="L22" s="28">
        <f t="shared" ca="1" si="5"/>
        <v>51</v>
      </c>
      <c r="M22" s="28" t="s">
        <v>58</v>
      </c>
      <c r="N22" s="35" t="s">
        <v>81</v>
      </c>
      <c r="O22" s="36">
        <v>69963</v>
      </c>
      <c r="P22" s="60" t="s">
        <v>749</v>
      </c>
      <c r="Q22" s="27" t="s">
        <v>16</v>
      </c>
      <c r="R22" s="119" t="str">
        <f t="shared" si="2"/>
        <v>BAYLON, JOAQUIN B.</v>
      </c>
    </row>
    <row r="23" spans="1:18" ht="15.75" customHeight="1">
      <c r="A23" s="230">
        <v>4</v>
      </c>
      <c r="B23" s="20" t="s">
        <v>832</v>
      </c>
      <c r="C23" s="20" t="s">
        <v>241</v>
      </c>
      <c r="D23" s="23" t="s">
        <v>780</v>
      </c>
      <c r="E23" s="23"/>
      <c r="F23" s="23" t="s">
        <v>237</v>
      </c>
      <c r="G23" s="23" t="s">
        <v>238</v>
      </c>
      <c r="H23" s="23" t="s">
        <v>239</v>
      </c>
      <c r="I23" s="28" t="s">
        <v>85</v>
      </c>
      <c r="J23" s="207">
        <v>24915</v>
      </c>
      <c r="K23" s="229">
        <f t="shared" ca="1" si="4"/>
        <v>45908</v>
      </c>
      <c r="L23" s="28">
        <f t="shared" ca="1" si="5"/>
        <v>57</v>
      </c>
      <c r="M23" s="28" t="s">
        <v>58</v>
      </c>
      <c r="N23" s="35" t="s">
        <v>236</v>
      </c>
      <c r="O23" s="35" t="s">
        <v>833</v>
      </c>
      <c r="P23" s="26" t="s">
        <v>240</v>
      </c>
      <c r="Q23" s="27" t="s">
        <v>19</v>
      </c>
      <c r="R23" s="119" t="str">
        <f t="shared" si="2"/>
        <v>BERMEJO, ALVIN B.</v>
      </c>
    </row>
    <row r="24" spans="1:18" ht="15.75" customHeight="1">
      <c r="A24" s="230">
        <v>5</v>
      </c>
      <c r="B24" s="20" t="s">
        <v>178</v>
      </c>
      <c r="C24" s="20" t="s">
        <v>219</v>
      </c>
      <c r="D24" s="23" t="s">
        <v>683</v>
      </c>
      <c r="E24" s="237" t="s">
        <v>834</v>
      </c>
      <c r="F24" s="23" t="s">
        <v>216</v>
      </c>
      <c r="G24" s="23" t="s">
        <v>217</v>
      </c>
      <c r="H24" s="23" t="s">
        <v>184</v>
      </c>
      <c r="I24" s="28" t="s">
        <v>85</v>
      </c>
      <c r="J24" s="216">
        <v>26348</v>
      </c>
      <c r="K24" s="229">
        <f t="shared" ca="1" si="4"/>
        <v>45908</v>
      </c>
      <c r="L24" s="28">
        <f t="shared" ca="1" si="5"/>
        <v>53</v>
      </c>
      <c r="M24" s="28" t="s">
        <v>58</v>
      </c>
      <c r="N24" s="76">
        <v>44713</v>
      </c>
      <c r="O24" s="77">
        <v>16877</v>
      </c>
      <c r="P24" s="60" t="s">
        <v>218</v>
      </c>
      <c r="Q24" s="6" t="s">
        <v>23</v>
      </c>
      <c r="R24" s="119" t="str">
        <f t="shared" si="2"/>
        <v>DOMINGO, ELON F.</v>
      </c>
    </row>
    <row r="25" spans="1:18" ht="15.75" customHeight="1">
      <c r="A25" s="230">
        <v>6</v>
      </c>
      <c r="B25" s="20" t="s">
        <v>189</v>
      </c>
      <c r="C25" s="20" t="s">
        <v>814</v>
      </c>
      <c r="D25" s="23" t="s">
        <v>675</v>
      </c>
      <c r="E25" s="237" t="s">
        <v>676</v>
      </c>
      <c r="F25" s="23" t="s">
        <v>195</v>
      </c>
      <c r="G25" s="23" t="s">
        <v>196</v>
      </c>
      <c r="H25" s="23" t="s">
        <v>197</v>
      </c>
      <c r="I25" s="28" t="s">
        <v>85</v>
      </c>
      <c r="J25" s="207">
        <v>27966</v>
      </c>
      <c r="K25" s="229">
        <f t="shared" ca="1" si="4"/>
        <v>45908</v>
      </c>
      <c r="L25" s="28">
        <f t="shared" ca="1" si="5"/>
        <v>49</v>
      </c>
      <c r="M25" s="28" t="s">
        <v>58</v>
      </c>
      <c r="N25" s="35" t="s">
        <v>190</v>
      </c>
      <c r="O25" s="35" t="s">
        <v>665</v>
      </c>
      <c r="P25" s="60" t="s">
        <v>666</v>
      </c>
      <c r="Q25" s="27" t="s">
        <v>5</v>
      </c>
      <c r="R25" s="119" t="str">
        <f t="shared" si="2"/>
        <v>FUGABAN, PABLO G.</v>
      </c>
    </row>
    <row r="26" spans="1:18" ht="15.75" customHeight="1">
      <c r="A26" s="230">
        <v>7</v>
      </c>
      <c r="B26" s="238" t="s">
        <v>682</v>
      </c>
      <c r="C26" s="238" t="s">
        <v>229</v>
      </c>
      <c r="D26" s="46" t="s">
        <v>683</v>
      </c>
      <c r="E26" s="239" t="s">
        <v>834</v>
      </c>
      <c r="F26" s="46" t="s">
        <v>225</v>
      </c>
      <c r="G26" s="46" t="s">
        <v>226</v>
      </c>
      <c r="H26" s="46" t="s">
        <v>227</v>
      </c>
      <c r="I26" s="24" t="s">
        <v>85</v>
      </c>
      <c r="J26" s="232">
        <v>25882</v>
      </c>
      <c r="K26" s="229">
        <f t="shared" ca="1" si="4"/>
        <v>45908</v>
      </c>
      <c r="L26" s="28">
        <f t="shared" ca="1" si="5"/>
        <v>54</v>
      </c>
      <c r="M26" s="215" t="s">
        <v>58</v>
      </c>
      <c r="N26" s="35" t="s">
        <v>221</v>
      </c>
      <c r="O26" s="35" t="s">
        <v>669</v>
      </c>
      <c r="P26" s="26" t="s">
        <v>670</v>
      </c>
      <c r="Q26" s="27" t="s">
        <v>2</v>
      </c>
      <c r="R26" s="119" t="str">
        <f t="shared" si="2"/>
        <v>LAYUGAN, ROGELIO  .</v>
      </c>
    </row>
    <row r="27" spans="1:18" ht="15.75" customHeight="1">
      <c r="A27" s="230">
        <v>8</v>
      </c>
      <c r="B27" s="20" t="s">
        <v>835</v>
      </c>
      <c r="C27" s="20" t="s">
        <v>836</v>
      </c>
      <c r="D27" s="237" t="s">
        <v>743</v>
      </c>
      <c r="E27" s="237" t="s">
        <v>837</v>
      </c>
      <c r="F27" s="23" t="s">
        <v>92</v>
      </c>
      <c r="G27" s="23" t="s">
        <v>93</v>
      </c>
      <c r="H27" s="23"/>
      <c r="I27" s="28" t="s">
        <v>85</v>
      </c>
      <c r="J27" s="232">
        <v>26101</v>
      </c>
      <c r="K27" s="229">
        <f t="shared" ca="1" si="4"/>
        <v>45908</v>
      </c>
      <c r="L27" s="28">
        <f t="shared" ca="1" si="5"/>
        <v>54</v>
      </c>
      <c r="M27" s="28" t="s">
        <v>58</v>
      </c>
      <c r="N27" s="35" t="s">
        <v>98</v>
      </c>
      <c r="O27" s="36">
        <v>49835</v>
      </c>
      <c r="P27" s="26" t="s">
        <v>95</v>
      </c>
      <c r="Q27" s="27" t="s">
        <v>13</v>
      </c>
      <c r="R27" s="119" t="str">
        <f>CONCATENATE(F29,","," ",G29," ",LEFT(H29,1),".")</f>
        <v>MANUEL, EDWARD C.</v>
      </c>
    </row>
    <row r="28" spans="1:18" ht="15.75" customHeight="1">
      <c r="A28" s="230">
        <v>9</v>
      </c>
      <c r="B28" s="20" t="s">
        <v>245</v>
      </c>
      <c r="C28" s="20"/>
      <c r="D28" s="23"/>
      <c r="E28" s="23"/>
      <c r="F28" s="23"/>
      <c r="G28" s="23"/>
      <c r="H28" s="23"/>
      <c r="I28" s="28"/>
      <c r="J28" s="232"/>
      <c r="K28" s="229">
        <f t="shared" ca="1" si="4"/>
        <v>45908</v>
      </c>
      <c r="L28" s="28"/>
      <c r="M28" s="28"/>
      <c r="N28" s="35"/>
      <c r="O28" s="35"/>
      <c r="P28" s="26"/>
      <c r="Q28" s="27"/>
      <c r="R28" s="119"/>
    </row>
    <row r="29" spans="1:18" ht="15.75" customHeight="1">
      <c r="A29" s="230">
        <v>10</v>
      </c>
      <c r="B29" s="20" t="s">
        <v>151</v>
      </c>
      <c r="C29" s="20" t="s">
        <v>156</v>
      </c>
      <c r="D29" s="240" t="s">
        <v>667</v>
      </c>
      <c r="E29" s="241" t="s">
        <v>668</v>
      </c>
      <c r="F29" s="23" t="s">
        <v>153</v>
      </c>
      <c r="G29" s="23" t="s">
        <v>154</v>
      </c>
      <c r="H29" s="23" t="s">
        <v>155</v>
      </c>
      <c r="I29" s="28" t="s">
        <v>85</v>
      </c>
      <c r="J29" s="232">
        <v>26146</v>
      </c>
      <c r="K29" s="229">
        <f t="shared" ca="1" si="4"/>
        <v>45908</v>
      </c>
      <c r="L29" s="28">
        <f t="shared" ref="L29:L32" ca="1" si="6">DATEDIF(J29,K29,"Y")</f>
        <v>54</v>
      </c>
      <c r="M29" s="28" t="s">
        <v>58</v>
      </c>
      <c r="N29" s="35" t="s">
        <v>152</v>
      </c>
      <c r="O29" s="35" t="s">
        <v>673</v>
      </c>
      <c r="P29" s="60" t="s">
        <v>674</v>
      </c>
      <c r="Q29" s="27" t="s">
        <v>8</v>
      </c>
      <c r="R29" s="119" t="str">
        <f t="shared" ref="R29:R36" si="7">CONCATENATE(F30,","," ",G30," ",LEFT(H30,1),".")</f>
        <v>MANUEL, EDMUND C.</v>
      </c>
    </row>
    <row r="30" spans="1:18" ht="15.75" customHeight="1">
      <c r="A30" s="230">
        <v>11</v>
      </c>
      <c r="B30" s="20" t="s">
        <v>151</v>
      </c>
      <c r="C30" s="20" t="s">
        <v>166</v>
      </c>
      <c r="D30" s="240" t="s">
        <v>671</v>
      </c>
      <c r="E30" s="23" t="s">
        <v>672</v>
      </c>
      <c r="F30" s="23" t="s">
        <v>153</v>
      </c>
      <c r="G30" s="23" t="s">
        <v>167</v>
      </c>
      <c r="H30" s="23" t="s">
        <v>155</v>
      </c>
      <c r="I30" s="28" t="s">
        <v>85</v>
      </c>
      <c r="J30" s="232">
        <v>23689</v>
      </c>
      <c r="K30" s="229">
        <f t="shared" ca="1" si="4"/>
        <v>45908</v>
      </c>
      <c r="L30" s="233">
        <f t="shared" ca="1" si="6"/>
        <v>60</v>
      </c>
      <c r="M30" s="28" t="s">
        <v>58</v>
      </c>
      <c r="N30" s="35" t="s">
        <v>162</v>
      </c>
      <c r="O30" s="35" t="s">
        <v>677</v>
      </c>
      <c r="P30" s="60" t="s">
        <v>678</v>
      </c>
      <c r="Q30" s="27" t="s">
        <v>9</v>
      </c>
      <c r="R30" s="119" t="str">
        <f t="shared" si="7"/>
        <v>MAGGAY, CLARO M.</v>
      </c>
    </row>
    <row r="31" spans="1:18" ht="15.75" customHeight="1">
      <c r="A31" s="230">
        <v>12</v>
      </c>
      <c r="B31" s="20" t="s">
        <v>178</v>
      </c>
      <c r="C31" s="20" t="s">
        <v>206</v>
      </c>
      <c r="D31" s="23" t="s">
        <v>679</v>
      </c>
      <c r="E31" s="237" t="s">
        <v>687</v>
      </c>
      <c r="F31" s="23" t="s">
        <v>203</v>
      </c>
      <c r="G31" s="23" t="s">
        <v>204</v>
      </c>
      <c r="H31" s="23" t="s">
        <v>205</v>
      </c>
      <c r="I31" s="28" t="s">
        <v>85</v>
      </c>
      <c r="J31" s="232">
        <v>26844</v>
      </c>
      <c r="K31" s="229">
        <f t="shared" ca="1" si="4"/>
        <v>45908</v>
      </c>
      <c r="L31" s="28">
        <f t="shared" ca="1" si="6"/>
        <v>52</v>
      </c>
      <c r="M31" s="28" t="s">
        <v>58</v>
      </c>
      <c r="N31" s="35" t="s">
        <v>190</v>
      </c>
      <c r="O31" s="35" t="s">
        <v>665</v>
      </c>
      <c r="P31" s="60" t="s">
        <v>681</v>
      </c>
      <c r="Q31" s="27" t="s">
        <v>12</v>
      </c>
      <c r="R31" s="119" t="str">
        <f t="shared" si="7"/>
        <v>TUMALIUAN, NODEL M.</v>
      </c>
    </row>
    <row r="32" spans="1:18" ht="15.75" customHeight="1">
      <c r="A32" s="230">
        <v>13</v>
      </c>
      <c r="B32" s="242" t="s">
        <v>686</v>
      </c>
      <c r="C32" s="20" t="s">
        <v>224</v>
      </c>
      <c r="D32" s="23" t="s">
        <v>683</v>
      </c>
      <c r="E32" s="237" t="s">
        <v>687</v>
      </c>
      <c r="F32" s="23" t="s">
        <v>63</v>
      </c>
      <c r="G32" s="23" t="s">
        <v>222</v>
      </c>
      <c r="H32" s="23" t="s">
        <v>223</v>
      </c>
      <c r="I32" s="28" t="s">
        <v>85</v>
      </c>
      <c r="J32" s="216">
        <v>25047</v>
      </c>
      <c r="K32" s="229">
        <f t="shared" ca="1" si="4"/>
        <v>45908</v>
      </c>
      <c r="L32" s="28">
        <f t="shared" ca="1" si="6"/>
        <v>57</v>
      </c>
      <c r="M32" s="28" t="s">
        <v>58</v>
      </c>
      <c r="N32" s="35" t="s">
        <v>221</v>
      </c>
      <c r="O32" s="35" t="s">
        <v>669</v>
      </c>
      <c r="P32" s="26" t="s">
        <v>685</v>
      </c>
      <c r="Q32" s="27" t="s">
        <v>1</v>
      </c>
      <c r="R32" s="119" t="str">
        <f t="shared" si="7"/>
        <v>,  .</v>
      </c>
    </row>
    <row r="33" spans="1:18" ht="15.75" customHeight="1">
      <c r="R33" s="119" t="str">
        <f t="shared" si="7"/>
        <v>,  .</v>
      </c>
    </row>
    <row r="34" spans="1:18" ht="18.600000000000001">
      <c r="A34" s="682" t="s">
        <v>755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7"/>
      <c r="R34" s="119" t="str">
        <f t="shared" si="7"/>
        <v>ANDRES, RENE R.</v>
      </c>
    </row>
    <row r="35" spans="1:18" ht="15.75" customHeight="1">
      <c r="A35" s="230">
        <v>1</v>
      </c>
      <c r="B35" s="20" t="s">
        <v>178</v>
      </c>
      <c r="C35" s="20" t="s">
        <v>215</v>
      </c>
      <c r="D35" s="23" t="s">
        <v>838</v>
      </c>
      <c r="E35" s="237" t="s">
        <v>839</v>
      </c>
      <c r="F35" s="23" t="s">
        <v>211</v>
      </c>
      <c r="G35" s="23" t="s">
        <v>212</v>
      </c>
      <c r="H35" s="23" t="s">
        <v>213</v>
      </c>
      <c r="I35" s="28" t="s">
        <v>85</v>
      </c>
      <c r="J35" s="244">
        <v>22474</v>
      </c>
      <c r="K35" s="229">
        <f t="shared" ref="K35:K38" ca="1" si="8">TODAY()</f>
        <v>45908</v>
      </c>
      <c r="L35" s="233">
        <f t="shared" ref="L35:L38" ca="1" si="9">DATEDIF(J35,K35,"Y")</f>
        <v>64</v>
      </c>
      <c r="M35" s="28" t="s">
        <v>58</v>
      </c>
      <c r="N35" s="56">
        <v>44716</v>
      </c>
      <c r="O35" s="52">
        <v>17269</v>
      </c>
      <c r="P35" s="26" t="s">
        <v>214</v>
      </c>
      <c r="Q35" s="27" t="s">
        <v>21</v>
      </c>
      <c r="R35" s="119" t="str">
        <f t="shared" si="7"/>
        <v>GAZZINGAN, CIRILO JR. N.</v>
      </c>
    </row>
    <row r="36" spans="1:18" ht="15.75" customHeight="1">
      <c r="A36" s="230">
        <v>2</v>
      </c>
      <c r="B36" s="20" t="s">
        <v>80</v>
      </c>
      <c r="C36" s="20" t="s">
        <v>91</v>
      </c>
      <c r="D36" s="236" t="s">
        <v>756</v>
      </c>
      <c r="E36" s="23" t="s">
        <v>840</v>
      </c>
      <c r="F36" s="23" t="s">
        <v>87</v>
      </c>
      <c r="G36" s="23" t="s">
        <v>88</v>
      </c>
      <c r="H36" s="23" t="s">
        <v>89</v>
      </c>
      <c r="I36" s="28" t="s">
        <v>85</v>
      </c>
      <c r="J36" s="216">
        <v>25815</v>
      </c>
      <c r="K36" s="229">
        <f t="shared" ca="1" si="8"/>
        <v>45908</v>
      </c>
      <c r="L36" s="28">
        <f t="shared" ca="1" si="9"/>
        <v>55</v>
      </c>
      <c r="M36" s="28" t="s">
        <v>58</v>
      </c>
      <c r="N36" s="35" t="s">
        <v>81</v>
      </c>
      <c r="O36" s="35" t="s">
        <v>709</v>
      </c>
      <c r="P36" s="26" t="s">
        <v>90</v>
      </c>
      <c r="Q36" s="27" t="s">
        <v>17</v>
      </c>
      <c r="R36" s="119" t="str">
        <f t="shared" si="7"/>
        <v>NAZARITA, CONCEPCION C.</v>
      </c>
    </row>
    <row r="37" spans="1:18" ht="15.75" customHeight="1">
      <c r="A37" s="245">
        <v>3</v>
      </c>
      <c r="B37" s="246" t="s">
        <v>151</v>
      </c>
      <c r="C37" s="246" t="s">
        <v>168</v>
      </c>
      <c r="D37" s="247" t="s">
        <v>761</v>
      </c>
      <c r="E37" s="248" t="s">
        <v>762</v>
      </c>
      <c r="F37" s="214" t="s">
        <v>169</v>
      </c>
      <c r="G37" s="214" t="s">
        <v>170</v>
      </c>
      <c r="H37" s="214" t="s">
        <v>171</v>
      </c>
      <c r="I37" s="249" t="s">
        <v>64</v>
      </c>
      <c r="J37" s="250">
        <v>27564</v>
      </c>
      <c r="K37" s="229">
        <f t="shared" ca="1" si="8"/>
        <v>45908</v>
      </c>
      <c r="L37" s="28">
        <f t="shared" ca="1" si="9"/>
        <v>50</v>
      </c>
      <c r="M37" s="249" t="s">
        <v>58</v>
      </c>
      <c r="N37" s="212" t="s">
        <v>162</v>
      </c>
      <c r="O37" s="212" t="s">
        <v>677</v>
      </c>
      <c r="P37" s="251" t="s">
        <v>760</v>
      </c>
      <c r="Q37" s="214" t="s">
        <v>10</v>
      </c>
      <c r="R37" s="119" t="str">
        <f t="shared" ref="R37:R38" si="10">CONCATENATE(F43,","," ",G43," ",LEFT(H43,1),".")</f>
        <v>PABRO, EUGENE L.</v>
      </c>
    </row>
    <row r="38" spans="1:18" ht="15.75" customHeight="1">
      <c r="A38" s="230">
        <v>3</v>
      </c>
      <c r="B38" s="20" t="s">
        <v>151</v>
      </c>
      <c r="C38" s="20" t="s">
        <v>172</v>
      </c>
      <c r="D38" s="252" t="s">
        <v>763</v>
      </c>
      <c r="E38" s="241" t="s">
        <v>668</v>
      </c>
      <c r="F38" s="23" t="s">
        <v>173</v>
      </c>
      <c r="G38" s="23" t="s">
        <v>174</v>
      </c>
      <c r="H38" s="23" t="s">
        <v>175</v>
      </c>
      <c r="I38" s="28" t="s">
        <v>85</v>
      </c>
      <c r="J38" s="207">
        <v>24753</v>
      </c>
      <c r="K38" s="229">
        <f t="shared" ca="1" si="8"/>
        <v>45908</v>
      </c>
      <c r="L38" s="28">
        <f t="shared" ca="1" si="9"/>
        <v>57</v>
      </c>
      <c r="M38" s="28" t="s">
        <v>58</v>
      </c>
      <c r="N38" s="56">
        <v>44808</v>
      </c>
      <c r="O38" s="52">
        <v>20918</v>
      </c>
      <c r="P38" s="60" t="s">
        <v>176</v>
      </c>
      <c r="Q38" s="27" t="s">
        <v>25</v>
      </c>
      <c r="R38" s="119" t="str">
        <f t="shared" si="10"/>
        <v>ROBLES, MARILYN  F.</v>
      </c>
    </row>
    <row r="40" spans="1:18" ht="15.75" customHeight="1">
      <c r="A40" s="253" t="s">
        <v>767</v>
      </c>
      <c r="B40" s="253"/>
      <c r="C40" s="253"/>
      <c r="D40" s="253"/>
      <c r="E40" s="253"/>
      <c r="F40" s="253"/>
      <c r="G40" s="253"/>
      <c r="H40" s="253"/>
      <c r="I40" s="253"/>
      <c r="J40" s="254"/>
      <c r="K40" s="253"/>
      <c r="L40" s="253"/>
      <c r="M40" s="253"/>
      <c r="N40" s="255"/>
      <c r="O40" s="255"/>
      <c r="P40" s="253"/>
      <c r="Q40" s="253"/>
      <c r="R40" s="119" t="str">
        <f t="shared" ref="R40:R41" si="11">CONCATENATE(F41,","," ",G41," ",LEFT(H41,1),".")</f>
        <v>CABACUNGAN, LANIE A.</v>
      </c>
    </row>
    <row r="41" spans="1:18" ht="15.75" customHeight="1">
      <c r="A41" s="230">
        <v>1</v>
      </c>
      <c r="B41" s="256" t="s">
        <v>151</v>
      </c>
      <c r="C41" s="256" t="s">
        <v>812</v>
      </c>
      <c r="D41" s="247" t="s">
        <v>768</v>
      </c>
      <c r="E41" s="241" t="s">
        <v>769</v>
      </c>
      <c r="F41" s="27" t="s">
        <v>147</v>
      </c>
      <c r="G41" s="27" t="s">
        <v>148</v>
      </c>
      <c r="H41" s="27" t="s">
        <v>149</v>
      </c>
      <c r="I41" s="28" t="s">
        <v>64</v>
      </c>
      <c r="J41" s="207">
        <v>25000</v>
      </c>
      <c r="K41" s="229">
        <f t="shared" ref="K41:K44" ca="1" si="12">TODAY()</f>
        <v>45908</v>
      </c>
      <c r="L41" s="24">
        <f t="shared" ref="L41:L44" ca="1" si="13">DATEDIF(J41,K41,"Y")</f>
        <v>57</v>
      </c>
      <c r="M41" s="24" t="s">
        <v>58</v>
      </c>
      <c r="N41" s="35" t="s">
        <v>190</v>
      </c>
      <c r="O41" s="35" t="s">
        <v>770</v>
      </c>
      <c r="P41" s="60" t="s">
        <v>771</v>
      </c>
      <c r="Q41" s="27" t="s">
        <v>4</v>
      </c>
      <c r="R41" s="119" t="str">
        <f t="shared" si="11"/>
        <v>CABACUNGAN, MEDY JOSE M.</v>
      </c>
    </row>
    <row r="42" spans="1:18" ht="15.75" customHeight="1">
      <c r="A42" s="19">
        <v>2</v>
      </c>
      <c r="B42" s="257" t="s">
        <v>776</v>
      </c>
      <c r="C42" s="256" t="s">
        <v>210</v>
      </c>
      <c r="D42" s="65" t="s">
        <v>672</v>
      </c>
      <c r="E42" s="241" t="s">
        <v>769</v>
      </c>
      <c r="F42" s="65" t="s">
        <v>147</v>
      </c>
      <c r="G42" s="65" t="s">
        <v>208</v>
      </c>
      <c r="H42" s="65" t="s">
        <v>209</v>
      </c>
      <c r="I42" s="24" t="s">
        <v>85</v>
      </c>
      <c r="J42" s="232">
        <v>25349</v>
      </c>
      <c r="K42" s="229">
        <f t="shared" ca="1" si="12"/>
        <v>45908</v>
      </c>
      <c r="L42" s="24">
        <f t="shared" ca="1" si="13"/>
        <v>56</v>
      </c>
      <c r="M42" s="24" t="s">
        <v>58</v>
      </c>
      <c r="N42" s="35" t="s">
        <v>146</v>
      </c>
      <c r="O42" s="35" t="s">
        <v>665</v>
      </c>
      <c r="P42" s="60" t="s">
        <v>775</v>
      </c>
      <c r="Q42" s="27" t="s">
        <v>20</v>
      </c>
      <c r="R42" s="119" t="str">
        <f>CONCATENATE(F12,","," ",G12," ",LEFT(H12,1),".")</f>
        <v>VILLAFUERTE, MINA FLOR T.</v>
      </c>
    </row>
    <row r="43" spans="1:18" ht="15.75" customHeight="1">
      <c r="A43" s="230">
        <v>3</v>
      </c>
      <c r="B43" s="20" t="s">
        <v>151</v>
      </c>
      <c r="C43" s="20" t="s">
        <v>161</v>
      </c>
      <c r="D43" s="237" t="s">
        <v>758</v>
      </c>
      <c r="E43" s="237" t="s">
        <v>759</v>
      </c>
      <c r="F43" s="23" t="s">
        <v>157</v>
      </c>
      <c r="G43" s="23" t="s">
        <v>158</v>
      </c>
      <c r="H43" s="23" t="s">
        <v>159</v>
      </c>
      <c r="I43" s="28" t="s">
        <v>85</v>
      </c>
      <c r="J43" s="244">
        <v>24753</v>
      </c>
      <c r="K43" s="229">
        <f t="shared" ca="1" si="12"/>
        <v>45908</v>
      </c>
      <c r="L43" s="24">
        <f t="shared" ca="1" si="13"/>
        <v>57</v>
      </c>
      <c r="M43" s="28" t="s">
        <v>58</v>
      </c>
      <c r="N43" s="56">
        <v>44809</v>
      </c>
      <c r="O43" s="52">
        <v>21093</v>
      </c>
      <c r="P43" s="26" t="s">
        <v>160</v>
      </c>
      <c r="Q43" s="27" t="s">
        <v>24</v>
      </c>
      <c r="R43" s="119" t="str">
        <f>CONCATENATE(F38,","," ",G38," ",LEFT(H38,1),".")</f>
        <v>RAMIREZ, DANIEL P.</v>
      </c>
    </row>
    <row r="44" spans="1:18" ht="15.75" customHeight="1">
      <c r="A44" s="19">
        <v>4</v>
      </c>
      <c r="B44" s="20" t="s">
        <v>764</v>
      </c>
      <c r="C44" s="20" t="s">
        <v>198</v>
      </c>
      <c r="D44" s="23" t="s">
        <v>747</v>
      </c>
      <c r="E44" s="241" t="s">
        <v>668</v>
      </c>
      <c r="F44" s="23" t="s">
        <v>199</v>
      </c>
      <c r="G44" s="23" t="s">
        <v>200</v>
      </c>
      <c r="H44" s="23" t="s">
        <v>197</v>
      </c>
      <c r="I44" s="28" t="s">
        <v>64</v>
      </c>
      <c r="J44" s="207">
        <v>24805</v>
      </c>
      <c r="K44" s="229">
        <f t="shared" ca="1" si="12"/>
        <v>45908</v>
      </c>
      <c r="L44" s="24">
        <f t="shared" ca="1" si="13"/>
        <v>57</v>
      </c>
      <c r="M44" s="28" t="s">
        <v>58</v>
      </c>
      <c r="N44" s="35" t="s">
        <v>190</v>
      </c>
      <c r="O44" s="36">
        <v>17269</v>
      </c>
      <c r="P44" s="26" t="s">
        <v>201</v>
      </c>
      <c r="Q44" s="27" t="s">
        <v>6</v>
      </c>
      <c r="R44" s="119" t="e">
        <f>CONCATENATE(#REF!,","," ",#REF!," ",LEFT(#REF!,1),".")</f>
        <v>#REF!</v>
      </c>
    </row>
    <row r="45" spans="1:18" ht="15.75" customHeight="1">
      <c r="A45" s="230"/>
      <c r="B45" s="20"/>
      <c r="C45" s="20"/>
      <c r="D45" s="23"/>
      <c r="E45" s="241"/>
      <c r="F45" s="23"/>
      <c r="G45" s="23"/>
      <c r="H45" s="23"/>
      <c r="I45" s="28"/>
      <c r="J45" s="207"/>
      <c r="K45" s="28"/>
      <c r="L45" s="28"/>
      <c r="M45" s="28"/>
      <c r="N45" s="35"/>
      <c r="O45" s="36"/>
      <c r="P45" s="26"/>
      <c r="Q45" s="27"/>
      <c r="R45" s="119"/>
    </row>
    <row r="46" spans="1:18" ht="15.6">
      <c r="A46" s="669" t="s">
        <v>773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7"/>
      <c r="R46" s="119" t="str">
        <f>CONCATENATE(F13,","," ",G13," ",LEFT(H13,1),".")</f>
        <v>GOMEZ, MAGDALENA D.</v>
      </c>
    </row>
    <row r="47" spans="1:18" ht="15.75" customHeight="1">
      <c r="A47" s="19">
        <v>1</v>
      </c>
      <c r="B47" s="257" t="s">
        <v>776</v>
      </c>
      <c r="C47" s="256" t="s">
        <v>210</v>
      </c>
      <c r="D47" s="65" t="s">
        <v>672</v>
      </c>
      <c r="E47" s="241" t="s">
        <v>769</v>
      </c>
      <c r="F47" s="65" t="s">
        <v>147</v>
      </c>
      <c r="G47" s="65" t="s">
        <v>208</v>
      </c>
      <c r="H47" s="65" t="s">
        <v>209</v>
      </c>
      <c r="I47" s="24" t="s">
        <v>85</v>
      </c>
      <c r="J47" s="232">
        <v>25349</v>
      </c>
      <c r="K47" s="229">
        <f ca="1">TODAY()</f>
        <v>45908</v>
      </c>
      <c r="L47" s="258">
        <f ca="1">DATEDIF(J47,K47,"Y")</f>
        <v>56</v>
      </c>
      <c r="M47" s="24" t="s">
        <v>58</v>
      </c>
      <c r="N47" s="35" t="s">
        <v>146</v>
      </c>
      <c r="O47" s="35" t="s">
        <v>665</v>
      </c>
      <c r="P47" s="60" t="s">
        <v>775</v>
      </c>
      <c r="Q47" s="27" t="s">
        <v>20</v>
      </c>
      <c r="R47" s="119" t="str">
        <f>CONCATENATE(F17,","," ",G17," ",LEFT(H17,1),".")</f>
        <v>HUBALDE, ROLAND B.</v>
      </c>
    </row>
    <row r="48" spans="1:18" ht="15.75" customHeight="1">
      <c r="A48" s="230"/>
      <c r="B48" s="178"/>
      <c r="C48" s="178"/>
      <c r="D48" s="47"/>
      <c r="E48" s="47"/>
      <c r="F48" s="47"/>
      <c r="G48" s="47"/>
      <c r="H48" s="47"/>
      <c r="I48" s="28"/>
      <c r="J48" s="216"/>
      <c r="K48" s="47"/>
      <c r="L48" s="47"/>
      <c r="M48" s="47"/>
      <c r="N48" s="35"/>
      <c r="O48" s="35"/>
      <c r="P48" s="26"/>
      <c r="Q48" s="27"/>
      <c r="R48" s="119" t="str">
        <f t="shared" ref="R48:R50" si="14">CONCATENATE(F49,","," ",G49," ",LEFT(H49,1),".")</f>
        <v>,  .</v>
      </c>
    </row>
    <row r="49" spans="1:18" ht="15.75" customHeight="1">
      <c r="A49" s="669" t="s">
        <v>779</v>
      </c>
      <c r="B49" s="656"/>
      <c r="C49" s="656"/>
      <c r="D49" s="656"/>
      <c r="E49" s="656"/>
      <c r="F49" s="656"/>
      <c r="G49" s="656"/>
      <c r="H49" s="656"/>
      <c r="I49" s="656"/>
      <c r="J49" s="656"/>
      <c r="K49" s="656"/>
      <c r="L49" s="656"/>
      <c r="M49" s="656"/>
      <c r="N49" s="656"/>
      <c r="O49" s="656"/>
      <c r="P49" s="656"/>
      <c r="Q49" s="657"/>
      <c r="R49" s="119" t="str">
        <f t="shared" si="14"/>
        <v>TULAUAN, JOHANNA F.</v>
      </c>
    </row>
    <row r="50" spans="1:18" ht="15.75" customHeight="1">
      <c r="A50" s="259">
        <v>1</v>
      </c>
      <c r="B50" s="238" t="s">
        <v>139</v>
      </c>
      <c r="C50" s="238" t="s">
        <v>144</v>
      </c>
      <c r="D50" s="46" t="s">
        <v>841</v>
      </c>
      <c r="E50" s="46" t="s">
        <v>842</v>
      </c>
      <c r="F50" s="46" t="s">
        <v>106</v>
      </c>
      <c r="G50" s="46" t="s">
        <v>107</v>
      </c>
      <c r="H50" s="46" t="s">
        <v>108</v>
      </c>
      <c r="I50" s="24" t="s">
        <v>64</v>
      </c>
      <c r="J50" s="260">
        <v>45272</v>
      </c>
      <c r="K50" s="229">
        <f ca="1">TODAY()</f>
        <v>45908</v>
      </c>
      <c r="L50" s="261">
        <f ca="1">DATEDIF(J50,K50,"Y")</f>
        <v>1</v>
      </c>
      <c r="M50" s="215" t="s">
        <v>58</v>
      </c>
      <c r="N50" s="35" t="s">
        <v>140</v>
      </c>
      <c r="O50" s="35" t="s">
        <v>783</v>
      </c>
      <c r="P50" s="60" t="s">
        <v>784</v>
      </c>
      <c r="Q50" s="27" t="s">
        <v>14</v>
      </c>
      <c r="R50" s="119" t="str">
        <f t="shared" si="14"/>
        <v>LOZANO, JOSEPH .</v>
      </c>
    </row>
    <row r="51" spans="1:18" ht="15.75" customHeight="1">
      <c r="A51" s="259">
        <v>2</v>
      </c>
      <c r="B51" s="119"/>
      <c r="C51" s="119"/>
      <c r="D51" s="119"/>
      <c r="E51" s="119"/>
      <c r="F51" s="119" t="s">
        <v>843</v>
      </c>
      <c r="G51" s="119" t="s">
        <v>243</v>
      </c>
      <c r="H51" s="119"/>
      <c r="I51" s="119"/>
      <c r="J51" s="262"/>
      <c r="K51" s="119"/>
      <c r="L51" s="119"/>
      <c r="M51" s="119"/>
      <c r="N51" s="217"/>
      <c r="O51" s="217"/>
      <c r="P51" s="119"/>
      <c r="Q51" s="119"/>
      <c r="R51" s="119"/>
    </row>
    <row r="52" spans="1:18" ht="15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262"/>
      <c r="K52" s="119"/>
      <c r="L52" s="119"/>
      <c r="M52" s="119"/>
      <c r="N52" s="217"/>
      <c r="O52" s="217"/>
      <c r="P52" s="119"/>
      <c r="Q52" s="119"/>
      <c r="R52" s="119"/>
    </row>
    <row r="53" spans="1:18" ht="15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262"/>
      <c r="K53" s="119"/>
      <c r="L53" s="119"/>
      <c r="M53" s="119"/>
      <c r="N53" s="217"/>
      <c r="O53" s="217"/>
      <c r="P53" s="119"/>
      <c r="Q53" s="119"/>
      <c r="R53" s="119"/>
    </row>
    <row r="54" spans="1:18" ht="15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262"/>
      <c r="K54" s="119"/>
      <c r="L54" s="119"/>
      <c r="M54" s="119"/>
      <c r="N54" s="217"/>
      <c r="O54" s="217"/>
      <c r="P54" s="119"/>
      <c r="Q54" s="119"/>
      <c r="R54" s="119"/>
    </row>
    <row r="55" spans="1:18" ht="15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262"/>
      <c r="K55" s="119"/>
      <c r="L55" s="119"/>
      <c r="M55" s="119"/>
      <c r="N55" s="217"/>
      <c r="O55" s="217"/>
      <c r="P55" s="119"/>
      <c r="Q55" s="119"/>
      <c r="R55" s="119"/>
    </row>
    <row r="56" spans="1:18" ht="15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262"/>
      <c r="K56" s="119"/>
      <c r="L56" s="119"/>
      <c r="M56" s="119"/>
      <c r="N56" s="217"/>
      <c r="O56" s="217"/>
      <c r="P56" s="119"/>
      <c r="Q56" s="119"/>
      <c r="R56" s="119"/>
    </row>
    <row r="57" spans="1:18" ht="15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262"/>
      <c r="K57" s="119"/>
      <c r="L57" s="119"/>
      <c r="M57" s="119"/>
      <c r="N57" s="217"/>
      <c r="O57" s="217"/>
      <c r="P57" s="119"/>
      <c r="Q57" s="119"/>
      <c r="R57" s="119"/>
    </row>
    <row r="58" spans="1:18" ht="15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262"/>
      <c r="K58" s="119"/>
      <c r="L58" s="119"/>
      <c r="M58" s="119"/>
      <c r="N58" s="217"/>
      <c r="O58" s="217"/>
      <c r="P58" s="119"/>
      <c r="Q58" s="119"/>
      <c r="R58" s="119"/>
    </row>
    <row r="59" spans="1:18" ht="15.75" customHeight="1">
      <c r="J59" s="262"/>
      <c r="N59" s="89"/>
      <c r="O59" s="89"/>
    </row>
    <row r="60" spans="1:18" ht="15.75" customHeight="1">
      <c r="J60" s="262"/>
      <c r="N60" s="89"/>
      <c r="O60" s="89"/>
    </row>
    <row r="61" spans="1:18" ht="15.75" customHeight="1">
      <c r="J61" s="262"/>
      <c r="N61" s="89"/>
      <c r="O61" s="89"/>
    </row>
    <row r="62" spans="1:18" ht="15.75" customHeight="1">
      <c r="J62" s="262"/>
      <c r="N62" s="89"/>
      <c r="O62" s="89"/>
    </row>
    <row r="63" spans="1:18" ht="15.75" customHeight="1">
      <c r="J63" s="262"/>
      <c r="N63" s="89"/>
      <c r="O63" s="89"/>
    </row>
    <row r="64" spans="1:18" ht="15.75" customHeight="1">
      <c r="J64" s="262"/>
      <c r="N64" s="89"/>
      <c r="O64" s="89"/>
    </row>
    <row r="65" spans="10:15" ht="15.75" customHeight="1">
      <c r="J65" s="262"/>
      <c r="N65" s="89"/>
      <c r="O65" s="89"/>
    </row>
    <row r="66" spans="10:15" ht="15.75" customHeight="1">
      <c r="J66" s="262"/>
      <c r="N66" s="89"/>
      <c r="O66" s="89"/>
    </row>
    <row r="67" spans="10:15" ht="15.75" customHeight="1">
      <c r="J67" s="262"/>
      <c r="N67" s="89"/>
      <c r="O67" s="89"/>
    </row>
    <row r="68" spans="10:15" ht="15.75" customHeight="1">
      <c r="J68" s="262"/>
      <c r="N68" s="89"/>
      <c r="O68" s="89"/>
    </row>
    <row r="69" spans="10:15" ht="15.75" customHeight="1">
      <c r="J69" s="262"/>
      <c r="N69" s="89"/>
      <c r="O69" s="89"/>
    </row>
    <row r="70" spans="10:15" ht="15.75" customHeight="1">
      <c r="J70" s="262"/>
      <c r="N70" s="89"/>
      <c r="O70" s="89"/>
    </row>
    <row r="71" spans="10:15" ht="15.75" customHeight="1">
      <c r="J71" s="262"/>
      <c r="N71" s="89"/>
      <c r="O71" s="89"/>
    </row>
    <row r="72" spans="10:15" ht="15.75" customHeight="1">
      <c r="J72" s="262"/>
      <c r="N72" s="89"/>
      <c r="O72" s="89"/>
    </row>
    <row r="73" spans="10:15" ht="15.75" customHeight="1">
      <c r="J73" s="262"/>
      <c r="N73" s="89"/>
      <c r="O73" s="89"/>
    </row>
    <row r="74" spans="10:15" ht="15.75" customHeight="1">
      <c r="J74" s="262"/>
      <c r="N74" s="89"/>
      <c r="O74" s="89"/>
    </row>
    <row r="75" spans="10:15" ht="15.75" customHeight="1">
      <c r="J75" s="262"/>
      <c r="N75" s="89"/>
      <c r="O75" s="89"/>
    </row>
    <row r="76" spans="10:15" ht="15.75" customHeight="1">
      <c r="J76" s="262"/>
      <c r="N76" s="89"/>
      <c r="O76" s="89"/>
    </row>
    <row r="77" spans="10:15" ht="15.75" customHeight="1">
      <c r="J77" s="262"/>
      <c r="N77" s="89"/>
      <c r="O77" s="89"/>
    </row>
    <row r="78" spans="10:15" ht="15.75" customHeight="1">
      <c r="J78" s="262"/>
      <c r="N78" s="89"/>
      <c r="O78" s="89"/>
    </row>
    <row r="79" spans="10:15" ht="15.75" customHeight="1">
      <c r="J79" s="262"/>
      <c r="N79" s="89"/>
      <c r="O79" s="89"/>
    </row>
    <row r="80" spans="10:15" ht="15.75" customHeight="1">
      <c r="J80" s="262"/>
      <c r="N80" s="89"/>
      <c r="O80" s="89"/>
    </row>
    <row r="81" spans="10:15" ht="15.75" customHeight="1">
      <c r="J81" s="262"/>
      <c r="N81" s="89"/>
      <c r="O81" s="89"/>
    </row>
    <row r="82" spans="10:15" ht="15.75" customHeight="1">
      <c r="J82" s="262"/>
      <c r="N82" s="89"/>
      <c r="O82" s="89"/>
    </row>
    <row r="83" spans="10:15" ht="15.75" customHeight="1">
      <c r="J83" s="262"/>
      <c r="N83" s="89"/>
      <c r="O83" s="89"/>
    </row>
    <row r="84" spans="10:15" ht="15.75" customHeight="1">
      <c r="J84" s="262"/>
      <c r="N84" s="89"/>
      <c r="O84" s="89"/>
    </row>
    <row r="85" spans="10:15" ht="15.75" customHeight="1">
      <c r="J85" s="262"/>
      <c r="N85" s="89"/>
      <c r="O85" s="89"/>
    </row>
    <row r="86" spans="10:15" ht="15.75" customHeight="1">
      <c r="J86" s="262"/>
      <c r="N86" s="89"/>
      <c r="O86" s="89"/>
    </row>
    <row r="87" spans="10:15" ht="15.75" customHeight="1">
      <c r="J87" s="262"/>
      <c r="N87" s="89"/>
      <c r="O87" s="89"/>
    </row>
    <row r="88" spans="10:15" ht="15.75" customHeight="1">
      <c r="J88" s="262"/>
      <c r="N88" s="89"/>
      <c r="O88" s="89"/>
    </row>
    <row r="89" spans="10:15" ht="15.75" customHeight="1">
      <c r="J89" s="262"/>
      <c r="N89" s="89"/>
      <c r="O89" s="89"/>
    </row>
    <row r="90" spans="10:15" ht="15.75" customHeight="1">
      <c r="J90" s="262"/>
      <c r="N90" s="89"/>
      <c r="O90" s="89"/>
    </row>
    <row r="91" spans="10:15" ht="15.75" customHeight="1">
      <c r="J91" s="262"/>
      <c r="N91" s="89"/>
      <c r="O91" s="89"/>
    </row>
    <row r="92" spans="10:15" ht="15.75" customHeight="1">
      <c r="J92" s="262"/>
      <c r="N92" s="89"/>
      <c r="O92" s="89"/>
    </row>
    <row r="93" spans="10:15" ht="15.75" customHeight="1">
      <c r="J93" s="262"/>
      <c r="N93" s="89"/>
      <c r="O93" s="89"/>
    </row>
    <row r="94" spans="10:15" ht="15.75" customHeight="1">
      <c r="J94" s="262"/>
      <c r="N94" s="89"/>
      <c r="O94" s="89"/>
    </row>
    <row r="95" spans="10:15" ht="15.75" customHeight="1">
      <c r="J95" s="262"/>
      <c r="N95" s="89"/>
      <c r="O95" s="89"/>
    </row>
    <row r="96" spans="10:15" ht="15.75" customHeight="1">
      <c r="J96" s="262"/>
      <c r="N96" s="89"/>
      <c r="O96" s="89"/>
    </row>
    <row r="97" spans="10:15" ht="15.75" customHeight="1">
      <c r="J97" s="262"/>
      <c r="N97" s="89"/>
      <c r="O97" s="89"/>
    </row>
    <row r="98" spans="10:15" ht="15.75" customHeight="1">
      <c r="J98" s="262"/>
      <c r="N98" s="89"/>
      <c r="O98" s="89"/>
    </row>
    <row r="99" spans="10:15" ht="15.75" customHeight="1">
      <c r="J99" s="262"/>
      <c r="N99" s="89"/>
      <c r="O99" s="89"/>
    </row>
    <row r="100" spans="10:15" ht="15.75" customHeight="1">
      <c r="J100" s="262"/>
      <c r="N100" s="89"/>
      <c r="O100" s="89"/>
    </row>
    <row r="101" spans="10:15" ht="15.75" customHeight="1">
      <c r="J101" s="262"/>
      <c r="N101" s="89"/>
      <c r="O101" s="89"/>
    </row>
    <row r="102" spans="10:15" ht="15.75" customHeight="1">
      <c r="J102" s="262"/>
      <c r="N102" s="89"/>
      <c r="O102" s="89"/>
    </row>
    <row r="103" spans="10:15" ht="15.75" customHeight="1">
      <c r="J103" s="262"/>
      <c r="N103" s="89"/>
      <c r="O103" s="89"/>
    </row>
    <row r="104" spans="10:15" ht="15.75" customHeight="1">
      <c r="J104" s="262"/>
      <c r="N104" s="89"/>
      <c r="O104" s="89"/>
    </row>
    <row r="105" spans="10:15" ht="15.75" customHeight="1">
      <c r="J105" s="262"/>
      <c r="N105" s="89"/>
      <c r="O105" s="89"/>
    </row>
    <row r="106" spans="10:15" ht="15.75" customHeight="1">
      <c r="J106" s="262"/>
      <c r="N106" s="89"/>
      <c r="O106" s="89"/>
    </row>
    <row r="107" spans="10:15" ht="15.75" customHeight="1">
      <c r="J107" s="262"/>
      <c r="N107" s="89"/>
      <c r="O107" s="89"/>
    </row>
    <row r="108" spans="10:15" ht="15.75" customHeight="1">
      <c r="J108" s="262"/>
      <c r="N108" s="89"/>
      <c r="O108" s="89"/>
    </row>
    <row r="109" spans="10:15" ht="15.75" customHeight="1">
      <c r="J109" s="262"/>
      <c r="N109" s="89"/>
      <c r="O109" s="89"/>
    </row>
    <row r="110" spans="10:15" ht="15.75" customHeight="1">
      <c r="J110" s="262"/>
      <c r="N110" s="89"/>
      <c r="O110" s="89"/>
    </row>
    <row r="111" spans="10:15" ht="15.75" customHeight="1">
      <c r="J111" s="262"/>
      <c r="N111" s="89"/>
      <c r="O111" s="89"/>
    </row>
    <row r="112" spans="10:15" ht="15.75" customHeight="1">
      <c r="J112" s="262"/>
      <c r="N112" s="89"/>
      <c r="O112" s="89"/>
    </row>
    <row r="113" spans="10:15" ht="15.75" customHeight="1">
      <c r="J113" s="262"/>
      <c r="N113" s="89"/>
      <c r="O113" s="89"/>
    </row>
    <row r="114" spans="10:15" ht="15.75" customHeight="1">
      <c r="J114" s="262"/>
      <c r="N114" s="89"/>
      <c r="O114" s="89"/>
    </row>
    <row r="115" spans="10:15" ht="15.75" customHeight="1">
      <c r="J115" s="262"/>
      <c r="N115" s="89"/>
      <c r="O115" s="89"/>
    </row>
    <row r="116" spans="10:15" ht="15.75" customHeight="1">
      <c r="J116" s="262"/>
      <c r="N116" s="89"/>
      <c r="O116" s="89"/>
    </row>
    <row r="117" spans="10:15" ht="15.75" customHeight="1">
      <c r="J117" s="262"/>
      <c r="N117" s="89"/>
      <c r="O117" s="89"/>
    </row>
    <row r="118" spans="10:15" ht="15.75" customHeight="1">
      <c r="J118" s="262"/>
      <c r="N118" s="89"/>
      <c r="O118" s="89"/>
    </row>
    <row r="119" spans="10:15" ht="15.75" customHeight="1">
      <c r="J119" s="262"/>
      <c r="N119" s="89"/>
      <c r="O119" s="89"/>
    </row>
    <row r="120" spans="10:15" ht="15.75" customHeight="1">
      <c r="J120" s="262"/>
      <c r="N120" s="89"/>
      <c r="O120" s="89"/>
    </row>
    <row r="121" spans="10:15" ht="15.75" customHeight="1">
      <c r="J121" s="262"/>
      <c r="N121" s="89"/>
      <c r="O121" s="89"/>
    </row>
    <row r="122" spans="10:15" ht="15.75" customHeight="1">
      <c r="J122" s="262"/>
      <c r="N122" s="89"/>
      <c r="O122" s="89"/>
    </row>
    <row r="123" spans="10:15" ht="15.75" customHeight="1">
      <c r="J123" s="262"/>
      <c r="N123" s="89"/>
      <c r="O123" s="89"/>
    </row>
    <row r="124" spans="10:15" ht="15.75" customHeight="1">
      <c r="J124" s="262"/>
      <c r="N124" s="89"/>
      <c r="O124" s="89"/>
    </row>
    <row r="125" spans="10:15" ht="15.75" customHeight="1">
      <c r="J125" s="262"/>
      <c r="N125" s="89"/>
      <c r="O125" s="89"/>
    </row>
    <row r="126" spans="10:15" ht="15.75" customHeight="1">
      <c r="J126" s="262"/>
      <c r="N126" s="89"/>
      <c r="O126" s="89"/>
    </row>
    <row r="127" spans="10:15" ht="15.75" customHeight="1">
      <c r="J127" s="262"/>
      <c r="N127" s="89"/>
      <c r="O127" s="89"/>
    </row>
    <row r="128" spans="10:15" ht="15.75" customHeight="1">
      <c r="J128" s="262"/>
      <c r="N128" s="89"/>
      <c r="O128" s="89"/>
    </row>
    <row r="129" spans="10:15" ht="15.75" customHeight="1">
      <c r="J129" s="262"/>
      <c r="N129" s="89"/>
      <c r="O129" s="89"/>
    </row>
    <row r="130" spans="10:15" ht="15.75" customHeight="1">
      <c r="J130" s="262"/>
      <c r="N130" s="89"/>
      <c r="O130" s="89"/>
    </row>
    <row r="131" spans="10:15" ht="15.75" customHeight="1">
      <c r="J131" s="262"/>
      <c r="N131" s="89"/>
      <c r="O131" s="89"/>
    </row>
    <row r="132" spans="10:15" ht="15.75" customHeight="1">
      <c r="J132" s="262"/>
      <c r="N132" s="89"/>
      <c r="O132" s="89"/>
    </row>
    <row r="133" spans="10:15" ht="15.75" customHeight="1">
      <c r="J133" s="262"/>
      <c r="N133" s="89"/>
      <c r="O133" s="89"/>
    </row>
    <row r="134" spans="10:15" ht="15.75" customHeight="1">
      <c r="J134" s="262"/>
      <c r="N134" s="89"/>
      <c r="O134" s="89"/>
    </row>
    <row r="135" spans="10:15" ht="15.75" customHeight="1">
      <c r="J135" s="262"/>
      <c r="N135" s="89"/>
      <c r="O135" s="89"/>
    </row>
    <row r="136" spans="10:15" ht="15.75" customHeight="1">
      <c r="J136" s="262"/>
      <c r="N136" s="89"/>
      <c r="O136" s="89"/>
    </row>
    <row r="137" spans="10:15" ht="15.75" customHeight="1">
      <c r="J137" s="262"/>
      <c r="N137" s="89"/>
      <c r="O137" s="89"/>
    </row>
    <row r="138" spans="10:15" ht="15.75" customHeight="1">
      <c r="J138" s="262"/>
      <c r="N138" s="89"/>
      <c r="O138" s="89"/>
    </row>
    <row r="139" spans="10:15" ht="15.75" customHeight="1">
      <c r="J139" s="262"/>
      <c r="N139" s="89"/>
      <c r="O139" s="89"/>
    </row>
    <row r="140" spans="10:15" ht="15.75" customHeight="1">
      <c r="J140" s="262"/>
      <c r="N140" s="89"/>
      <c r="O140" s="89"/>
    </row>
    <row r="141" spans="10:15" ht="15.75" customHeight="1">
      <c r="J141" s="262"/>
      <c r="N141" s="89"/>
      <c r="O141" s="89"/>
    </row>
    <row r="142" spans="10:15" ht="15.75" customHeight="1">
      <c r="J142" s="262"/>
      <c r="N142" s="89"/>
      <c r="O142" s="89"/>
    </row>
    <row r="143" spans="10:15" ht="15.75" customHeight="1">
      <c r="J143" s="262"/>
      <c r="N143" s="89"/>
      <c r="O143" s="89"/>
    </row>
    <row r="144" spans="10:15" ht="15.75" customHeight="1">
      <c r="J144" s="262"/>
      <c r="N144" s="89"/>
      <c r="O144" s="89"/>
    </row>
    <row r="145" spans="10:15" ht="15.75" customHeight="1">
      <c r="J145" s="262"/>
      <c r="N145" s="89"/>
      <c r="O145" s="89"/>
    </row>
    <row r="146" spans="10:15" ht="15.75" customHeight="1">
      <c r="J146" s="262"/>
      <c r="N146" s="89"/>
      <c r="O146" s="89"/>
    </row>
    <row r="147" spans="10:15" ht="15.75" customHeight="1">
      <c r="J147" s="262"/>
      <c r="N147" s="89"/>
      <c r="O147" s="89"/>
    </row>
    <row r="148" spans="10:15" ht="15.75" customHeight="1">
      <c r="J148" s="262"/>
      <c r="N148" s="89"/>
      <c r="O148" s="89"/>
    </row>
    <row r="149" spans="10:15" ht="15.75" customHeight="1">
      <c r="J149" s="262"/>
      <c r="N149" s="89"/>
      <c r="O149" s="89"/>
    </row>
    <row r="150" spans="10:15" ht="15.75" customHeight="1">
      <c r="J150" s="262"/>
      <c r="N150" s="89"/>
      <c r="O150" s="89"/>
    </row>
    <row r="151" spans="10:15" ht="15.75" customHeight="1">
      <c r="J151" s="262"/>
      <c r="N151" s="89"/>
      <c r="O151" s="89"/>
    </row>
    <row r="152" spans="10:15" ht="15.75" customHeight="1">
      <c r="J152" s="262"/>
      <c r="N152" s="89"/>
      <c r="O152" s="89"/>
    </row>
    <row r="153" spans="10:15" ht="15.75" customHeight="1">
      <c r="J153" s="262"/>
      <c r="N153" s="89"/>
      <c r="O153" s="89"/>
    </row>
    <row r="154" spans="10:15" ht="15.75" customHeight="1">
      <c r="J154" s="262"/>
      <c r="N154" s="89"/>
      <c r="O154" s="89"/>
    </row>
    <row r="155" spans="10:15" ht="15.75" customHeight="1">
      <c r="J155" s="262"/>
      <c r="N155" s="89"/>
      <c r="O155" s="89"/>
    </row>
    <row r="156" spans="10:15" ht="15.75" customHeight="1">
      <c r="J156" s="262"/>
      <c r="N156" s="89"/>
      <c r="O156" s="89"/>
    </row>
    <row r="157" spans="10:15" ht="15.75" customHeight="1">
      <c r="J157" s="262"/>
      <c r="N157" s="89"/>
      <c r="O157" s="89"/>
    </row>
    <row r="158" spans="10:15" ht="15.75" customHeight="1">
      <c r="J158" s="262"/>
      <c r="N158" s="89"/>
      <c r="O158" s="89"/>
    </row>
    <row r="159" spans="10:15" ht="15.75" customHeight="1">
      <c r="J159" s="262"/>
      <c r="N159" s="89"/>
      <c r="O159" s="89"/>
    </row>
    <row r="160" spans="10:15" ht="15.75" customHeight="1">
      <c r="J160" s="262"/>
      <c r="N160" s="89"/>
      <c r="O160" s="89"/>
    </row>
    <row r="161" spans="10:15" ht="15.75" customHeight="1">
      <c r="J161" s="262"/>
      <c r="N161" s="89"/>
      <c r="O161" s="89"/>
    </row>
    <row r="162" spans="10:15" ht="15.75" customHeight="1">
      <c r="J162" s="262"/>
      <c r="N162" s="89"/>
      <c r="O162" s="89"/>
    </row>
    <row r="163" spans="10:15" ht="15.75" customHeight="1">
      <c r="J163" s="262"/>
      <c r="N163" s="89"/>
      <c r="O163" s="89"/>
    </row>
    <row r="164" spans="10:15" ht="15.75" customHeight="1">
      <c r="J164" s="262"/>
      <c r="N164" s="89"/>
      <c r="O164" s="89"/>
    </row>
    <row r="165" spans="10:15" ht="15.75" customHeight="1">
      <c r="J165" s="262"/>
      <c r="N165" s="89"/>
      <c r="O165" s="89"/>
    </row>
    <row r="166" spans="10:15" ht="15.75" customHeight="1">
      <c r="J166" s="262"/>
      <c r="N166" s="89"/>
      <c r="O166" s="89"/>
    </row>
    <row r="167" spans="10:15" ht="15.75" customHeight="1">
      <c r="J167" s="262"/>
      <c r="N167" s="89"/>
      <c r="O167" s="89"/>
    </row>
    <row r="168" spans="10:15" ht="15.75" customHeight="1">
      <c r="J168" s="262"/>
      <c r="N168" s="89"/>
      <c r="O168" s="89"/>
    </row>
    <row r="169" spans="10:15" ht="15.75" customHeight="1">
      <c r="J169" s="262"/>
      <c r="N169" s="89"/>
      <c r="O169" s="89"/>
    </row>
    <row r="170" spans="10:15" ht="15.75" customHeight="1">
      <c r="J170" s="262"/>
      <c r="N170" s="89"/>
      <c r="O170" s="89"/>
    </row>
    <row r="171" spans="10:15" ht="15.75" customHeight="1">
      <c r="J171" s="262"/>
      <c r="N171" s="89"/>
      <c r="O171" s="89"/>
    </row>
    <row r="172" spans="10:15" ht="15.75" customHeight="1">
      <c r="J172" s="262"/>
      <c r="N172" s="89"/>
      <c r="O172" s="89"/>
    </row>
    <row r="173" spans="10:15" ht="15.75" customHeight="1">
      <c r="J173" s="262"/>
      <c r="N173" s="89"/>
      <c r="O173" s="89"/>
    </row>
    <row r="174" spans="10:15" ht="15.75" customHeight="1">
      <c r="J174" s="262"/>
      <c r="N174" s="89"/>
      <c r="O174" s="89"/>
    </row>
    <row r="175" spans="10:15" ht="15.75" customHeight="1">
      <c r="J175" s="262"/>
      <c r="N175" s="89"/>
      <c r="O175" s="89"/>
    </row>
    <row r="176" spans="10:15" ht="15.75" customHeight="1">
      <c r="J176" s="262"/>
      <c r="N176" s="89"/>
      <c r="O176" s="89"/>
    </row>
    <row r="177" spans="10:15" ht="15.75" customHeight="1">
      <c r="J177" s="262"/>
      <c r="N177" s="89"/>
      <c r="O177" s="89"/>
    </row>
    <row r="178" spans="10:15" ht="15.75" customHeight="1">
      <c r="J178" s="262"/>
      <c r="N178" s="89"/>
      <c r="O178" s="89"/>
    </row>
    <row r="179" spans="10:15" ht="15.75" customHeight="1">
      <c r="J179" s="262"/>
      <c r="N179" s="89"/>
      <c r="O179" s="89"/>
    </row>
    <row r="180" spans="10:15" ht="15.75" customHeight="1">
      <c r="J180" s="262"/>
      <c r="N180" s="89"/>
      <c r="O180" s="89"/>
    </row>
    <row r="181" spans="10:15" ht="15.75" customHeight="1">
      <c r="J181" s="262"/>
      <c r="N181" s="89"/>
      <c r="O181" s="89"/>
    </row>
    <row r="182" spans="10:15" ht="15.75" customHeight="1">
      <c r="J182" s="262"/>
      <c r="N182" s="89"/>
      <c r="O182" s="89"/>
    </row>
    <row r="183" spans="10:15" ht="15.75" customHeight="1">
      <c r="J183" s="262"/>
      <c r="N183" s="89"/>
      <c r="O183" s="89"/>
    </row>
    <row r="184" spans="10:15" ht="15.75" customHeight="1">
      <c r="J184" s="262"/>
      <c r="N184" s="89"/>
      <c r="O184" s="89"/>
    </row>
    <row r="185" spans="10:15" ht="15.75" customHeight="1">
      <c r="J185" s="262"/>
      <c r="N185" s="89"/>
      <c r="O185" s="89"/>
    </row>
    <row r="186" spans="10:15" ht="15.75" customHeight="1">
      <c r="J186" s="262"/>
      <c r="N186" s="89"/>
      <c r="O186" s="89"/>
    </row>
    <row r="187" spans="10:15" ht="15.75" customHeight="1">
      <c r="J187" s="262"/>
      <c r="N187" s="89"/>
      <c r="O187" s="89"/>
    </row>
    <row r="188" spans="10:15" ht="15.75" customHeight="1">
      <c r="J188" s="262"/>
      <c r="N188" s="89"/>
      <c r="O188" s="89"/>
    </row>
    <row r="189" spans="10:15" ht="15.75" customHeight="1">
      <c r="J189" s="262"/>
      <c r="N189" s="89"/>
      <c r="O189" s="89"/>
    </row>
    <row r="190" spans="10:15" ht="15.75" customHeight="1">
      <c r="J190" s="262"/>
      <c r="N190" s="89"/>
      <c r="O190" s="89"/>
    </row>
    <row r="191" spans="10:15" ht="15.75" customHeight="1">
      <c r="J191" s="262"/>
      <c r="N191" s="89"/>
      <c r="O191" s="89"/>
    </row>
    <row r="192" spans="10:15" ht="15.75" customHeight="1">
      <c r="J192" s="262"/>
      <c r="N192" s="89"/>
      <c r="O192" s="89"/>
    </row>
    <row r="193" spans="10:15" ht="15.75" customHeight="1">
      <c r="J193" s="262"/>
      <c r="N193" s="89"/>
      <c r="O193" s="89"/>
    </row>
    <row r="194" spans="10:15" ht="15.75" customHeight="1">
      <c r="J194" s="262"/>
      <c r="N194" s="89"/>
      <c r="O194" s="89"/>
    </row>
    <row r="195" spans="10:15" ht="15.75" customHeight="1">
      <c r="J195" s="262"/>
      <c r="N195" s="89"/>
      <c r="O195" s="89"/>
    </row>
    <row r="196" spans="10:15" ht="15.75" customHeight="1">
      <c r="J196" s="262"/>
      <c r="N196" s="89"/>
      <c r="O196" s="89"/>
    </row>
    <row r="197" spans="10:15" ht="15.75" customHeight="1">
      <c r="J197" s="262"/>
      <c r="N197" s="89"/>
      <c r="O197" s="89"/>
    </row>
    <row r="198" spans="10:15" ht="15.75" customHeight="1">
      <c r="J198" s="262"/>
      <c r="N198" s="89"/>
      <c r="O198" s="89"/>
    </row>
    <row r="199" spans="10:15" ht="15.75" customHeight="1">
      <c r="J199" s="262"/>
      <c r="N199" s="89"/>
      <c r="O199" s="89"/>
    </row>
    <row r="200" spans="10:15" ht="15.75" customHeight="1">
      <c r="J200" s="262"/>
      <c r="N200" s="89"/>
      <c r="O200" s="89"/>
    </row>
    <row r="201" spans="10:15" ht="15.75" customHeight="1">
      <c r="J201" s="262"/>
      <c r="N201" s="89"/>
      <c r="O201" s="89"/>
    </row>
    <row r="202" spans="10:15" ht="15.75" customHeight="1">
      <c r="J202" s="262"/>
      <c r="N202" s="89"/>
      <c r="O202" s="89"/>
    </row>
    <row r="203" spans="10:15" ht="15.75" customHeight="1">
      <c r="J203" s="262"/>
      <c r="N203" s="89"/>
      <c r="O203" s="89"/>
    </row>
    <row r="204" spans="10:15" ht="15.75" customHeight="1">
      <c r="J204" s="262"/>
      <c r="N204" s="89"/>
      <c r="O204" s="89"/>
    </row>
    <row r="205" spans="10:15" ht="15.75" customHeight="1">
      <c r="J205" s="262"/>
      <c r="N205" s="89"/>
      <c r="O205" s="89"/>
    </row>
    <row r="206" spans="10:15" ht="15.75" customHeight="1">
      <c r="J206" s="262"/>
      <c r="N206" s="89"/>
      <c r="O206" s="89"/>
    </row>
    <row r="207" spans="10:15" ht="15.75" customHeight="1">
      <c r="J207" s="262"/>
      <c r="N207" s="89"/>
      <c r="O207" s="89"/>
    </row>
    <row r="208" spans="10:15" ht="15.75" customHeight="1">
      <c r="J208" s="262"/>
      <c r="N208" s="89"/>
      <c r="O208" s="89"/>
    </row>
    <row r="209" spans="10:15" ht="15.75" customHeight="1">
      <c r="J209" s="262"/>
      <c r="N209" s="89"/>
      <c r="O209" s="89"/>
    </row>
    <row r="210" spans="10:15" ht="15.75" customHeight="1">
      <c r="J210" s="262"/>
      <c r="N210" s="89"/>
      <c r="O210" s="89"/>
    </row>
    <row r="211" spans="10:15" ht="15.75" customHeight="1">
      <c r="J211" s="262"/>
      <c r="N211" s="89"/>
      <c r="O211" s="89"/>
    </row>
    <row r="212" spans="10:15" ht="15.75" customHeight="1">
      <c r="J212" s="262"/>
      <c r="N212" s="89"/>
      <c r="O212" s="89"/>
    </row>
    <row r="213" spans="10:15" ht="15.75" customHeight="1">
      <c r="J213" s="262"/>
      <c r="N213" s="89"/>
      <c r="O213" s="89"/>
    </row>
    <row r="214" spans="10:15" ht="15.75" customHeight="1">
      <c r="J214" s="262"/>
      <c r="N214" s="89"/>
      <c r="O214" s="89"/>
    </row>
    <row r="215" spans="10:15" ht="15.75" customHeight="1">
      <c r="J215" s="262"/>
      <c r="N215" s="89"/>
      <c r="O215" s="89"/>
    </row>
    <row r="216" spans="10:15" ht="15.75" customHeight="1">
      <c r="J216" s="262"/>
      <c r="N216" s="89"/>
      <c r="O216" s="89"/>
    </row>
    <row r="217" spans="10:15" ht="15.75" customHeight="1">
      <c r="J217" s="262"/>
      <c r="N217" s="89"/>
      <c r="O217" s="89"/>
    </row>
    <row r="218" spans="10:15" ht="15.75" customHeight="1">
      <c r="J218" s="262"/>
      <c r="N218" s="89"/>
      <c r="O218" s="89"/>
    </row>
    <row r="219" spans="10:15" ht="15.75" customHeight="1">
      <c r="J219" s="262"/>
      <c r="N219" s="89"/>
      <c r="O219" s="89"/>
    </row>
    <row r="220" spans="10:15" ht="15.75" customHeight="1">
      <c r="J220" s="262"/>
      <c r="N220" s="89"/>
      <c r="O220" s="89"/>
    </row>
    <row r="221" spans="10:15" ht="15.75" customHeight="1">
      <c r="J221" s="262"/>
      <c r="N221" s="89"/>
      <c r="O221" s="89"/>
    </row>
    <row r="222" spans="10:15" ht="15.75" customHeight="1">
      <c r="J222" s="262"/>
      <c r="N222" s="89"/>
      <c r="O222" s="89"/>
    </row>
    <row r="223" spans="10:15" ht="15.75" customHeight="1">
      <c r="J223" s="262"/>
      <c r="N223" s="89"/>
      <c r="O223" s="89"/>
    </row>
    <row r="224" spans="10:15" ht="15.75" customHeight="1">
      <c r="J224" s="262"/>
      <c r="N224" s="89"/>
      <c r="O224" s="89"/>
    </row>
    <row r="225" spans="10:15" ht="15.75" customHeight="1">
      <c r="J225" s="262"/>
      <c r="N225" s="89"/>
      <c r="O225" s="89"/>
    </row>
    <row r="226" spans="10:15" ht="15.75" customHeight="1">
      <c r="J226" s="262"/>
      <c r="N226" s="89"/>
      <c r="O226" s="89"/>
    </row>
    <row r="227" spans="10:15" ht="15.75" customHeight="1">
      <c r="J227" s="262"/>
      <c r="N227" s="89"/>
      <c r="O227" s="89"/>
    </row>
    <row r="228" spans="10:15" ht="15.75" customHeight="1">
      <c r="J228" s="262"/>
      <c r="N228" s="89"/>
      <c r="O228" s="89"/>
    </row>
    <row r="229" spans="10:15" ht="15.75" customHeight="1">
      <c r="J229" s="262"/>
      <c r="N229" s="89"/>
      <c r="O229" s="89"/>
    </row>
    <row r="230" spans="10:15" ht="15.75" customHeight="1">
      <c r="J230" s="262"/>
      <c r="N230" s="89"/>
      <c r="O230" s="89"/>
    </row>
    <row r="231" spans="10:15" ht="15.75" customHeight="1">
      <c r="J231" s="262"/>
      <c r="N231" s="89"/>
      <c r="O231" s="89"/>
    </row>
    <row r="232" spans="10:15" ht="15.75" customHeight="1">
      <c r="J232" s="262"/>
      <c r="N232" s="89"/>
      <c r="O232" s="89"/>
    </row>
    <row r="233" spans="10:15" ht="15.75" customHeight="1">
      <c r="J233" s="262"/>
      <c r="N233" s="89"/>
      <c r="O233" s="89"/>
    </row>
    <row r="234" spans="10:15" ht="15.75" customHeight="1">
      <c r="J234" s="262"/>
      <c r="N234" s="89"/>
      <c r="O234" s="89"/>
    </row>
    <row r="235" spans="10:15" ht="15.75" customHeight="1">
      <c r="J235" s="262"/>
      <c r="N235" s="89"/>
      <c r="O235" s="89"/>
    </row>
    <row r="236" spans="10:15" ht="15.75" customHeight="1">
      <c r="J236" s="262"/>
      <c r="N236" s="89"/>
      <c r="O236" s="89"/>
    </row>
    <row r="237" spans="10:15" ht="15.75" customHeight="1">
      <c r="J237" s="262"/>
      <c r="N237" s="89"/>
      <c r="O237" s="89"/>
    </row>
    <row r="238" spans="10:15" ht="15.75" customHeight="1">
      <c r="J238" s="262"/>
      <c r="N238" s="89"/>
      <c r="O238" s="89"/>
    </row>
    <row r="239" spans="10:15" ht="15.75" customHeight="1">
      <c r="J239" s="262"/>
      <c r="N239" s="89"/>
      <c r="O239" s="89"/>
    </row>
    <row r="240" spans="10:15" ht="15.75" customHeight="1">
      <c r="J240" s="262"/>
      <c r="N240" s="89"/>
      <c r="O240" s="89"/>
    </row>
    <row r="241" spans="10:15" ht="15.75" customHeight="1">
      <c r="J241" s="262"/>
      <c r="N241" s="89"/>
      <c r="O241" s="89"/>
    </row>
    <row r="242" spans="10:15" ht="15.75" customHeight="1">
      <c r="J242" s="262"/>
      <c r="N242" s="89"/>
      <c r="O242" s="89"/>
    </row>
    <row r="243" spans="10:15" ht="15.75" customHeight="1">
      <c r="J243" s="262"/>
      <c r="N243" s="89"/>
      <c r="O243" s="89"/>
    </row>
    <row r="244" spans="10:15" ht="15.75" customHeight="1">
      <c r="J244" s="262"/>
      <c r="N244" s="89"/>
      <c r="O244" s="89"/>
    </row>
    <row r="245" spans="10:15" ht="15.75" customHeight="1">
      <c r="J245" s="262"/>
      <c r="N245" s="89"/>
      <c r="O245" s="89"/>
    </row>
    <row r="246" spans="10:15" ht="15.75" customHeight="1">
      <c r="J246" s="262"/>
      <c r="N246" s="89"/>
      <c r="O246" s="89"/>
    </row>
    <row r="247" spans="10:15" ht="15.75" customHeight="1">
      <c r="J247" s="262"/>
      <c r="N247" s="89"/>
      <c r="O247" s="89"/>
    </row>
    <row r="248" spans="10:15" ht="15.75" customHeight="1">
      <c r="J248" s="262"/>
      <c r="N248" s="89"/>
      <c r="O248" s="89"/>
    </row>
    <row r="249" spans="10:15" ht="15.75" customHeight="1">
      <c r="J249" s="262"/>
      <c r="N249" s="89"/>
      <c r="O249" s="89"/>
    </row>
    <row r="250" spans="10:15" ht="15.75" customHeight="1">
      <c r="J250" s="262"/>
      <c r="N250" s="89"/>
      <c r="O250" s="89"/>
    </row>
    <row r="251" spans="10:15" ht="15.75" customHeight="1">
      <c r="J251" s="262"/>
      <c r="N251" s="89"/>
      <c r="O251" s="89"/>
    </row>
    <row r="252" spans="10:15" ht="15.75" customHeight="1">
      <c r="J252" s="262"/>
      <c r="N252" s="89"/>
      <c r="O252" s="89"/>
    </row>
    <row r="253" spans="10:15" ht="15.75" customHeight="1">
      <c r="J253" s="262"/>
      <c r="N253" s="89"/>
      <c r="O253" s="89"/>
    </row>
    <row r="254" spans="10:15" ht="15.75" customHeight="1">
      <c r="J254" s="262"/>
      <c r="N254" s="89"/>
      <c r="O254" s="89"/>
    </row>
    <row r="255" spans="10:15" ht="15.75" customHeight="1">
      <c r="J255" s="262"/>
      <c r="N255" s="89"/>
      <c r="O255" s="89"/>
    </row>
    <row r="256" spans="10:15" ht="15.75" customHeight="1">
      <c r="J256" s="262"/>
      <c r="N256" s="89"/>
      <c r="O256" s="89"/>
    </row>
    <row r="257" spans="10:15" ht="15.75" customHeight="1">
      <c r="J257" s="262"/>
      <c r="N257" s="89"/>
      <c r="O257" s="89"/>
    </row>
    <row r="258" spans="10:15" ht="15.75" customHeight="1">
      <c r="J258" s="262"/>
      <c r="N258" s="89"/>
      <c r="O258" s="89"/>
    </row>
    <row r="259" spans="10:15" ht="15.75" customHeight="1">
      <c r="J259" s="262"/>
      <c r="N259" s="89"/>
      <c r="O259" s="89"/>
    </row>
    <row r="260" spans="10:15" ht="15.75" customHeight="1">
      <c r="J260" s="262"/>
      <c r="N260" s="89"/>
      <c r="O260" s="89"/>
    </row>
    <row r="261" spans="10:15" ht="15.75" customHeight="1">
      <c r="J261" s="262"/>
      <c r="N261" s="89"/>
      <c r="O261" s="89"/>
    </row>
    <row r="262" spans="10:15" ht="15.75" customHeight="1">
      <c r="J262" s="262"/>
      <c r="N262" s="89"/>
      <c r="O262" s="89"/>
    </row>
    <row r="263" spans="10:15" ht="15.75" customHeight="1">
      <c r="J263" s="262"/>
      <c r="N263" s="89"/>
      <c r="O263" s="89"/>
    </row>
    <row r="264" spans="10:15" ht="15.75" customHeight="1">
      <c r="J264" s="262"/>
      <c r="N264" s="89"/>
      <c r="O264" s="89"/>
    </row>
    <row r="265" spans="10:15" ht="15.75" customHeight="1">
      <c r="J265" s="262"/>
      <c r="N265" s="89"/>
      <c r="O265" s="89"/>
    </row>
    <row r="266" spans="10:15" ht="15.75" customHeight="1">
      <c r="J266" s="262"/>
      <c r="N266" s="89"/>
      <c r="O266" s="89"/>
    </row>
    <row r="267" spans="10:15" ht="15.75" customHeight="1">
      <c r="J267" s="262"/>
      <c r="N267" s="89"/>
      <c r="O267" s="89"/>
    </row>
    <row r="268" spans="10:15" ht="15.75" customHeight="1">
      <c r="J268" s="262"/>
      <c r="N268" s="89"/>
      <c r="O268" s="89"/>
    </row>
    <row r="269" spans="10:15" ht="15.75" customHeight="1">
      <c r="J269" s="262"/>
      <c r="N269" s="89"/>
      <c r="O269" s="89"/>
    </row>
    <row r="270" spans="10:15" ht="15.75" customHeight="1">
      <c r="J270" s="262"/>
      <c r="N270" s="89"/>
      <c r="O270" s="89"/>
    </row>
    <row r="271" spans="10:15" ht="15.75" customHeight="1">
      <c r="J271" s="262"/>
      <c r="N271" s="89"/>
      <c r="O271" s="89"/>
    </row>
    <row r="272" spans="10:15" ht="15.75" customHeight="1">
      <c r="J272" s="262"/>
      <c r="N272" s="89"/>
      <c r="O272" s="89"/>
    </row>
    <row r="273" spans="10:15" ht="15.75" customHeight="1">
      <c r="J273" s="262"/>
      <c r="N273" s="89"/>
      <c r="O273" s="89"/>
    </row>
    <row r="274" spans="10:15" ht="15.75" customHeight="1">
      <c r="J274" s="262"/>
      <c r="N274" s="89"/>
      <c r="O274" s="89"/>
    </row>
    <row r="275" spans="10:15" ht="15.75" customHeight="1">
      <c r="J275" s="262"/>
      <c r="N275" s="89"/>
      <c r="O275" s="89"/>
    </row>
    <row r="276" spans="10:15" ht="15.75" customHeight="1">
      <c r="J276" s="262"/>
      <c r="N276" s="89"/>
      <c r="O276" s="89"/>
    </row>
    <row r="277" spans="10:15" ht="15.75" customHeight="1">
      <c r="J277" s="262"/>
      <c r="N277" s="89"/>
      <c r="O277" s="89"/>
    </row>
    <row r="278" spans="10:15" ht="15.75" customHeight="1">
      <c r="J278" s="262"/>
      <c r="N278" s="89"/>
      <c r="O278" s="89"/>
    </row>
    <row r="279" spans="10:15" ht="15.75" customHeight="1">
      <c r="J279" s="262"/>
      <c r="N279" s="89"/>
      <c r="O279" s="89"/>
    </row>
    <row r="280" spans="10:15" ht="15.75" customHeight="1">
      <c r="J280" s="262"/>
      <c r="N280" s="89"/>
      <c r="O280" s="89"/>
    </row>
    <row r="281" spans="10:15" ht="15.75" customHeight="1">
      <c r="J281" s="262"/>
      <c r="N281" s="89"/>
      <c r="O281" s="89"/>
    </row>
    <row r="282" spans="10:15" ht="15.75" customHeight="1">
      <c r="J282" s="262"/>
      <c r="N282" s="89"/>
      <c r="O282" s="89"/>
    </row>
    <row r="283" spans="10:15" ht="15.75" customHeight="1">
      <c r="J283" s="262"/>
      <c r="N283" s="89"/>
      <c r="O283" s="89"/>
    </row>
    <row r="284" spans="10:15" ht="15.75" customHeight="1">
      <c r="J284" s="262"/>
      <c r="N284" s="89"/>
      <c r="O284" s="89"/>
    </row>
    <row r="285" spans="10:15" ht="15.75" customHeight="1">
      <c r="J285" s="262"/>
      <c r="N285" s="89"/>
      <c r="O285" s="89"/>
    </row>
    <row r="286" spans="10:15" ht="15.75" customHeight="1">
      <c r="J286" s="262"/>
      <c r="N286" s="89"/>
      <c r="O286" s="89"/>
    </row>
    <row r="287" spans="10:15" ht="15.75" customHeight="1">
      <c r="J287" s="262"/>
      <c r="N287" s="89"/>
      <c r="O287" s="89"/>
    </row>
    <row r="288" spans="10:15" ht="15.75" customHeight="1">
      <c r="J288" s="262"/>
      <c r="N288" s="89"/>
      <c r="O288" s="89"/>
    </row>
    <row r="289" spans="10:15" ht="15.75" customHeight="1">
      <c r="J289" s="262"/>
      <c r="N289" s="89"/>
      <c r="O289" s="89"/>
    </row>
    <row r="290" spans="10:15" ht="15.75" customHeight="1">
      <c r="J290" s="262"/>
      <c r="N290" s="89"/>
      <c r="O290" s="89"/>
    </row>
    <row r="291" spans="10:15" ht="15.75" customHeight="1">
      <c r="J291" s="262"/>
      <c r="N291" s="89"/>
      <c r="O291" s="89"/>
    </row>
    <row r="292" spans="10:15" ht="15.75" customHeight="1">
      <c r="J292" s="262"/>
      <c r="N292" s="89"/>
      <c r="O292" s="89"/>
    </row>
    <row r="293" spans="10:15" ht="15.75" customHeight="1">
      <c r="J293" s="262"/>
      <c r="N293" s="89"/>
      <c r="O293" s="89"/>
    </row>
    <row r="294" spans="10:15" ht="15.75" customHeight="1">
      <c r="J294" s="262"/>
      <c r="N294" s="89"/>
      <c r="O294" s="89"/>
    </row>
    <row r="295" spans="10:15" ht="15.75" customHeight="1">
      <c r="J295" s="262"/>
      <c r="N295" s="89"/>
      <c r="O295" s="89"/>
    </row>
    <row r="296" spans="10:15" ht="15.75" customHeight="1">
      <c r="J296" s="262"/>
      <c r="N296" s="89"/>
      <c r="O296" s="89"/>
    </row>
    <row r="297" spans="10:15" ht="15.75" customHeight="1">
      <c r="J297" s="262"/>
      <c r="N297" s="89"/>
      <c r="O297" s="89"/>
    </row>
    <row r="298" spans="10:15" ht="15.75" customHeight="1">
      <c r="J298" s="262"/>
      <c r="N298" s="89"/>
      <c r="O298" s="89"/>
    </row>
    <row r="299" spans="10:15" ht="15.75" customHeight="1">
      <c r="J299" s="262"/>
      <c r="N299" s="89"/>
      <c r="O299" s="89"/>
    </row>
    <row r="300" spans="10:15" ht="15.75" customHeight="1">
      <c r="J300" s="262"/>
      <c r="N300" s="89"/>
      <c r="O300" s="89"/>
    </row>
    <row r="301" spans="10:15" ht="15.75" customHeight="1">
      <c r="J301" s="262"/>
      <c r="N301" s="89"/>
      <c r="O301" s="89"/>
    </row>
    <row r="302" spans="10:15" ht="15.75" customHeight="1">
      <c r="J302" s="262"/>
      <c r="N302" s="89"/>
      <c r="O302" s="89"/>
    </row>
    <row r="303" spans="10:15" ht="15.75" customHeight="1">
      <c r="J303" s="262"/>
      <c r="N303" s="89"/>
      <c r="O303" s="89"/>
    </row>
    <row r="304" spans="10:15" ht="15.75" customHeight="1">
      <c r="J304" s="262"/>
      <c r="N304" s="89"/>
      <c r="O304" s="89"/>
    </row>
    <row r="305" spans="10:15" ht="15.75" customHeight="1">
      <c r="J305" s="262"/>
      <c r="N305" s="89"/>
      <c r="O305" s="89"/>
    </row>
    <row r="306" spans="10:15" ht="15.75" customHeight="1">
      <c r="J306" s="262"/>
      <c r="N306" s="89"/>
      <c r="O306" s="89"/>
    </row>
    <row r="307" spans="10:15" ht="15.75" customHeight="1">
      <c r="J307" s="262"/>
      <c r="N307" s="89"/>
      <c r="O307" s="89"/>
    </row>
    <row r="308" spans="10:15" ht="15.75" customHeight="1">
      <c r="J308" s="262"/>
      <c r="N308" s="89"/>
      <c r="O308" s="89"/>
    </row>
    <row r="309" spans="10:15" ht="15.75" customHeight="1">
      <c r="J309" s="262"/>
      <c r="N309" s="89"/>
      <c r="O309" s="89"/>
    </row>
    <row r="310" spans="10:15" ht="15.75" customHeight="1">
      <c r="J310" s="262"/>
      <c r="N310" s="89"/>
      <c r="O310" s="89"/>
    </row>
    <row r="311" spans="10:15" ht="15.75" customHeight="1">
      <c r="J311" s="262"/>
      <c r="N311" s="89"/>
      <c r="O311" s="89"/>
    </row>
    <row r="312" spans="10:15" ht="15.75" customHeight="1">
      <c r="J312" s="262"/>
      <c r="N312" s="89"/>
      <c r="O312" s="89"/>
    </row>
    <row r="313" spans="10:15" ht="15.75" customHeight="1">
      <c r="J313" s="262"/>
      <c r="N313" s="89"/>
      <c r="O313" s="89"/>
    </row>
    <row r="314" spans="10:15" ht="15.75" customHeight="1">
      <c r="J314" s="262"/>
      <c r="N314" s="89"/>
      <c r="O314" s="89"/>
    </row>
    <row r="315" spans="10:15" ht="15.75" customHeight="1">
      <c r="J315" s="262"/>
      <c r="N315" s="89"/>
      <c r="O315" s="89"/>
    </row>
    <row r="316" spans="10:15" ht="15.75" customHeight="1">
      <c r="J316" s="262"/>
      <c r="N316" s="89"/>
      <c r="O316" s="89"/>
    </row>
    <row r="317" spans="10:15" ht="15.75" customHeight="1">
      <c r="J317" s="262"/>
      <c r="N317" s="89"/>
      <c r="O317" s="89"/>
    </row>
    <row r="318" spans="10:15" ht="15.75" customHeight="1">
      <c r="J318" s="262"/>
      <c r="N318" s="89"/>
      <c r="O318" s="89"/>
    </row>
    <row r="319" spans="10:15" ht="15.75" customHeight="1">
      <c r="J319" s="262"/>
      <c r="N319" s="89"/>
      <c r="O319" s="89"/>
    </row>
    <row r="320" spans="10:15" ht="15.75" customHeight="1">
      <c r="J320" s="262"/>
      <c r="N320" s="89"/>
      <c r="O320" s="89"/>
    </row>
    <row r="321" spans="10:15" ht="15.75" customHeight="1">
      <c r="J321" s="262"/>
      <c r="N321" s="89"/>
      <c r="O321" s="89"/>
    </row>
    <row r="322" spans="10:15" ht="15.75" customHeight="1">
      <c r="J322" s="262"/>
      <c r="N322" s="89"/>
      <c r="O322" s="89"/>
    </row>
    <row r="323" spans="10:15" ht="15.75" customHeight="1">
      <c r="J323" s="262"/>
      <c r="N323" s="89"/>
      <c r="O323" s="89"/>
    </row>
    <row r="324" spans="10:15" ht="15.75" customHeight="1">
      <c r="J324" s="262"/>
      <c r="N324" s="89"/>
      <c r="O324" s="89"/>
    </row>
    <row r="325" spans="10:15" ht="15.75" customHeight="1">
      <c r="J325" s="262"/>
      <c r="N325" s="89"/>
      <c r="O325" s="89"/>
    </row>
    <row r="326" spans="10:15" ht="15.75" customHeight="1">
      <c r="J326" s="262"/>
      <c r="N326" s="89"/>
      <c r="O326" s="89"/>
    </row>
    <row r="327" spans="10:15" ht="15.75" customHeight="1">
      <c r="J327" s="262"/>
      <c r="N327" s="89"/>
      <c r="O327" s="89"/>
    </row>
    <row r="328" spans="10:15" ht="15.75" customHeight="1">
      <c r="J328" s="262"/>
      <c r="N328" s="89"/>
      <c r="O328" s="89"/>
    </row>
    <row r="329" spans="10:15" ht="15.75" customHeight="1">
      <c r="J329" s="262"/>
      <c r="N329" s="89"/>
      <c r="O329" s="89"/>
    </row>
    <row r="330" spans="10:15" ht="15.75" customHeight="1">
      <c r="J330" s="262"/>
      <c r="N330" s="89"/>
      <c r="O330" s="89"/>
    </row>
    <row r="331" spans="10:15" ht="15.75" customHeight="1">
      <c r="J331" s="262"/>
      <c r="N331" s="89"/>
      <c r="O331" s="89"/>
    </row>
    <row r="332" spans="10:15" ht="15.75" customHeight="1">
      <c r="J332" s="262"/>
      <c r="N332" s="89"/>
      <c r="O332" s="89"/>
    </row>
    <row r="333" spans="10:15" ht="15.75" customHeight="1">
      <c r="J333" s="262"/>
      <c r="N333" s="89"/>
      <c r="O333" s="89"/>
    </row>
    <row r="334" spans="10:15" ht="15.75" customHeight="1">
      <c r="J334" s="262"/>
      <c r="N334" s="89"/>
      <c r="O334" s="89"/>
    </row>
    <row r="335" spans="10:15" ht="15.75" customHeight="1">
      <c r="J335" s="262"/>
      <c r="N335" s="89"/>
      <c r="O335" s="89"/>
    </row>
    <row r="336" spans="10:15" ht="15.75" customHeight="1">
      <c r="J336" s="262"/>
      <c r="N336" s="89"/>
      <c r="O336" s="89"/>
    </row>
    <row r="337" spans="10:15" ht="15.75" customHeight="1">
      <c r="J337" s="262"/>
      <c r="N337" s="89"/>
      <c r="O337" s="89"/>
    </row>
    <row r="338" spans="10:15" ht="15.75" customHeight="1">
      <c r="J338" s="262"/>
      <c r="N338" s="89"/>
      <c r="O338" s="89"/>
    </row>
    <row r="339" spans="10:15" ht="15.75" customHeight="1">
      <c r="J339" s="262"/>
      <c r="N339" s="89"/>
      <c r="O339" s="89"/>
    </row>
    <row r="340" spans="10:15" ht="15.75" customHeight="1">
      <c r="J340" s="262"/>
      <c r="N340" s="89"/>
      <c r="O340" s="89"/>
    </row>
    <row r="341" spans="10:15" ht="15.75" customHeight="1">
      <c r="J341" s="262"/>
      <c r="N341" s="89"/>
      <c r="O341" s="89"/>
    </row>
    <row r="342" spans="10:15" ht="15.75" customHeight="1">
      <c r="J342" s="262"/>
      <c r="N342" s="89"/>
      <c r="O342" s="89"/>
    </row>
    <row r="343" spans="10:15" ht="15.75" customHeight="1">
      <c r="J343" s="262"/>
      <c r="N343" s="89"/>
      <c r="O343" s="89"/>
    </row>
    <row r="344" spans="10:15" ht="15.75" customHeight="1">
      <c r="J344" s="262"/>
      <c r="N344" s="89"/>
      <c r="O344" s="89"/>
    </row>
    <row r="345" spans="10:15" ht="15.75" customHeight="1">
      <c r="J345" s="262"/>
      <c r="N345" s="89"/>
      <c r="O345" s="89"/>
    </row>
    <row r="346" spans="10:15" ht="15.75" customHeight="1">
      <c r="J346" s="262"/>
      <c r="N346" s="89"/>
      <c r="O346" s="89"/>
    </row>
    <row r="347" spans="10:15" ht="15.75" customHeight="1">
      <c r="J347" s="262"/>
      <c r="N347" s="89"/>
      <c r="O347" s="89"/>
    </row>
    <row r="348" spans="10:15" ht="15.75" customHeight="1">
      <c r="J348" s="262"/>
      <c r="N348" s="89"/>
      <c r="O348" s="89"/>
    </row>
    <row r="349" spans="10:15" ht="15.75" customHeight="1">
      <c r="J349" s="262"/>
      <c r="N349" s="89"/>
      <c r="O349" s="89"/>
    </row>
    <row r="350" spans="10:15" ht="15.75" customHeight="1">
      <c r="J350" s="262"/>
      <c r="N350" s="89"/>
      <c r="O350" s="89"/>
    </row>
    <row r="351" spans="10:15" ht="15.75" customHeight="1">
      <c r="J351" s="262"/>
      <c r="N351" s="89"/>
      <c r="O351" s="89"/>
    </row>
    <row r="352" spans="10:15" ht="15.75" customHeight="1">
      <c r="J352" s="262"/>
      <c r="N352" s="89"/>
      <c r="O352" s="89"/>
    </row>
    <row r="353" spans="10:15" ht="15.75" customHeight="1">
      <c r="J353" s="262"/>
      <c r="N353" s="89"/>
      <c r="O353" s="89"/>
    </row>
    <row r="354" spans="10:15" ht="15.75" customHeight="1">
      <c r="J354" s="262"/>
      <c r="N354" s="89"/>
      <c r="O354" s="89"/>
    </row>
    <row r="355" spans="10:15" ht="15.75" customHeight="1">
      <c r="J355" s="262"/>
      <c r="N355" s="89"/>
      <c r="O355" s="89"/>
    </row>
    <row r="356" spans="10:15" ht="15.75" customHeight="1">
      <c r="J356" s="262"/>
      <c r="N356" s="89"/>
      <c r="O356" s="89"/>
    </row>
    <row r="357" spans="10:15" ht="15.75" customHeight="1">
      <c r="J357" s="262"/>
      <c r="N357" s="89"/>
      <c r="O357" s="89"/>
    </row>
    <row r="358" spans="10:15" ht="15.75" customHeight="1">
      <c r="J358" s="262"/>
      <c r="N358" s="89"/>
      <c r="O358" s="89"/>
    </row>
    <row r="359" spans="10:15" ht="15.75" customHeight="1">
      <c r="J359" s="262"/>
      <c r="N359" s="89"/>
      <c r="O359" s="89"/>
    </row>
    <row r="360" spans="10:15" ht="15.75" customHeight="1">
      <c r="J360" s="262"/>
      <c r="N360" s="89"/>
      <c r="O360" s="89"/>
    </row>
    <row r="361" spans="10:15" ht="15.75" customHeight="1">
      <c r="J361" s="262"/>
      <c r="N361" s="89"/>
      <c r="O361" s="89"/>
    </row>
    <row r="362" spans="10:15" ht="15.75" customHeight="1">
      <c r="J362" s="262"/>
      <c r="N362" s="89"/>
      <c r="O362" s="89"/>
    </row>
    <row r="363" spans="10:15" ht="15.75" customHeight="1">
      <c r="J363" s="262"/>
      <c r="N363" s="89"/>
      <c r="O363" s="89"/>
    </row>
    <row r="364" spans="10:15" ht="15.75" customHeight="1">
      <c r="J364" s="262"/>
      <c r="N364" s="89"/>
      <c r="O364" s="89"/>
    </row>
    <row r="365" spans="10:15" ht="15.75" customHeight="1">
      <c r="J365" s="262"/>
      <c r="N365" s="89"/>
      <c r="O365" s="89"/>
    </row>
    <row r="366" spans="10:15" ht="15.75" customHeight="1">
      <c r="J366" s="262"/>
      <c r="N366" s="89"/>
      <c r="O366" s="89"/>
    </row>
    <row r="367" spans="10:15" ht="15.75" customHeight="1">
      <c r="J367" s="262"/>
      <c r="N367" s="89"/>
      <c r="O367" s="89"/>
    </row>
    <row r="368" spans="10:15" ht="15.75" customHeight="1">
      <c r="J368" s="262"/>
      <c r="N368" s="89"/>
      <c r="O368" s="89"/>
    </row>
    <row r="369" spans="10:15" ht="15.75" customHeight="1">
      <c r="J369" s="262"/>
      <c r="N369" s="89"/>
      <c r="O369" s="89"/>
    </row>
    <row r="370" spans="10:15" ht="15.75" customHeight="1">
      <c r="J370" s="262"/>
      <c r="N370" s="89"/>
      <c r="O370" s="89"/>
    </row>
    <row r="371" spans="10:15" ht="15.75" customHeight="1">
      <c r="J371" s="262"/>
      <c r="N371" s="89"/>
      <c r="O371" s="89"/>
    </row>
    <row r="372" spans="10:15" ht="15.75" customHeight="1">
      <c r="J372" s="262"/>
      <c r="N372" s="89"/>
      <c r="O372" s="89"/>
    </row>
    <row r="373" spans="10:15" ht="15.75" customHeight="1">
      <c r="J373" s="262"/>
      <c r="N373" s="89"/>
      <c r="O373" s="89"/>
    </row>
    <row r="374" spans="10:15" ht="15.75" customHeight="1">
      <c r="J374" s="262"/>
      <c r="N374" s="89"/>
      <c r="O374" s="89"/>
    </row>
    <row r="375" spans="10:15" ht="15.75" customHeight="1">
      <c r="J375" s="262"/>
      <c r="N375" s="89"/>
      <c r="O375" s="89"/>
    </row>
    <row r="376" spans="10:15" ht="15.75" customHeight="1">
      <c r="J376" s="262"/>
      <c r="N376" s="89"/>
      <c r="O376" s="89"/>
    </row>
    <row r="377" spans="10:15" ht="15.75" customHeight="1">
      <c r="J377" s="262"/>
      <c r="N377" s="89"/>
      <c r="O377" s="89"/>
    </row>
    <row r="378" spans="10:15" ht="15.75" customHeight="1">
      <c r="J378" s="262"/>
      <c r="N378" s="89"/>
      <c r="O378" s="89"/>
    </row>
    <row r="379" spans="10:15" ht="15.75" customHeight="1">
      <c r="J379" s="262"/>
      <c r="N379" s="89"/>
      <c r="O379" s="89"/>
    </row>
    <row r="380" spans="10:15" ht="15.75" customHeight="1">
      <c r="J380" s="262"/>
      <c r="N380" s="89"/>
      <c r="O380" s="89"/>
    </row>
    <row r="381" spans="10:15" ht="15.75" customHeight="1">
      <c r="J381" s="262"/>
      <c r="N381" s="89"/>
      <c r="O381" s="89"/>
    </row>
    <row r="382" spans="10:15" ht="15.75" customHeight="1">
      <c r="J382" s="262"/>
      <c r="N382" s="89"/>
      <c r="O382" s="89"/>
    </row>
    <row r="383" spans="10:15" ht="15.75" customHeight="1">
      <c r="J383" s="262"/>
      <c r="N383" s="89"/>
      <c r="O383" s="89"/>
    </row>
    <row r="384" spans="10:15" ht="15.75" customHeight="1">
      <c r="J384" s="262"/>
      <c r="N384" s="89"/>
      <c r="O384" s="89"/>
    </row>
    <row r="385" spans="10:15" ht="15.75" customHeight="1">
      <c r="J385" s="262"/>
      <c r="N385" s="89"/>
      <c r="O385" s="89"/>
    </row>
    <row r="386" spans="10:15" ht="15.75" customHeight="1">
      <c r="J386" s="262"/>
      <c r="N386" s="89"/>
      <c r="O386" s="89"/>
    </row>
    <row r="387" spans="10:15" ht="15.75" customHeight="1">
      <c r="J387" s="262"/>
      <c r="N387" s="89"/>
      <c r="O387" s="89"/>
    </row>
    <row r="388" spans="10:15" ht="15.75" customHeight="1">
      <c r="J388" s="262"/>
      <c r="N388" s="89"/>
      <c r="O388" s="89"/>
    </row>
    <row r="389" spans="10:15" ht="15.75" customHeight="1">
      <c r="J389" s="262"/>
      <c r="N389" s="89"/>
      <c r="O389" s="89"/>
    </row>
    <row r="390" spans="10:15" ht="15.75" customHeight="1">
      <c r="J390" s="262"/>
      <c r="N390" s="89"/>
      <c r="O390" s="89"/>
    </row>
    <row r="391" spans="10:15" ht="15.75" customHeight="1">
      <c r="J391" s="262"/>
      <c r="N391" s="89"/>
      <c r="O391" s="89"/>
    </row>
    <row r="392" spans="10:15" ht="15.75" customHeight="1">
      <c r="J392" s="262"/>
      <c r="N392" s="89"/>
      <c r="O392" s="89"/>
    </row>
    <row r="393" spans="10:15" ht="15.75" customHeight="1">
      <c r="J393" s="262"/>
      <c r="N393" s="89"/>
      <c r="O393" s="89"/>
    </row>
    <row r="394" spans="10:15" ht="15.75" customHeight="1">
      <c r="J394" s="262"/>
      <c r="N394" s="89"/>
      <c r="O394" s="89"/>
    </row>
    <row r="395" spans="10:15" ht="15.75" customHeight="1">
      <c r="J395" s="262"/>
      <c r="N395" s="89"/>
      <c r="O395" s="89"/>
    </row>
    <row r="396" spans="10:15" ht="15.75" customHeight="1">
      <c r="J396" s="262"/>
      <c r="N396" s="89"/>
      <c r="O396" s="89"/>
    </row>
    <row r="397" spans="10:15" ht="15.75" customHeight="1">
      <c r="J397" s="262"/>
      <c r="N397" s="89"/>
      <c r="O397" s="89"/>
    </row>
    <row r="398" spans="10:15" ht="15.75" customHeight="1">
      <c r="J398" s="262"/>
      <c r="N398" s="89"/>
      <c r="O398" s="89"/>
    </row>
    <row r="399" spans="10:15" ht="15.75" customHeight="1">
      <c r="J399" s="262"/>
      <c r="N399" s="89"/>
      <c r="O399" s="89"/>
    </row>
    <row r="400" spans="10:15" ht="15.75" customHeight="1">
      <c r="J400" s="262"/>
      <c r="N400" s="89"/>
      <c r="O400" s="89"/>
    </row>
    <row r="401" spans="10:15" ht="15.75" customHeight="1">
      <c r="J401" s="262"/>
      <c r="N401" s="89"/>
      <c r="O401" s="89"/>
    </row>
    <row r="402" spans="10:15" ht="15.75" customHeight="1">
      <c r="J402" s="262"/>
      <c r="N402" s="89"/>
      <c r="O402" s="89"/>
    </row>
    <row r="403" spans="10:15" ht="15.75" customHeight="1">
      <c r="J403" s="262"/>
      <c r="N403" s="89"/>
      <c r="O403" s="89"/>
    </row>
    <row r="404" spans="10:15" ht="15.75" customHeight="1">
      <c r="J404" s="262"/>
      <c r="N404" s="89"/>
      <c r="O404" s="89"/>
    </row>
    <row r="405" spans="10:15" ht="15.75" customHeight="1">
      <c r="J405" s="262"/>
      <c r="N405" s="89"/>
      <c r="O405" s="89"/>
    </row>
    <row r="406" spans="10:15" ht="15.75" customHeight="1">
      <c r="J406" s="262"/>
      <c r="N406" s="89"/>
      <c r="O406" s="89"/>
    </row>
    <row r="407" spans="10:15" ht="15.75" customHeight="1">
      <c r="J407" s="262"/>
      <c r="N407" s="89"/>
      <c r="O407" s="89"/>
    </row>
    <row r="408" spans="10:15" ht="15.75" customHeight="1">
      <c r="J408" s="262"/>
      <c r="N408" s="89"/>
      <c r="O408" s="89"/>
    </row>
    <row r="409" spans="10:15" ht="15.75" customHeight="1">
      <c r="J409" s="262"/>
      <c r="N409" s="89"/>
      <c r="O409" s="89"/>
    </row>
    <row r="410" spans="10:15" ht="15.75" customHeight="1">
      <c r="J410" s="262"/>
      <c r="N410" s="89"/>
      <c r="O410" s="89"/>
    </row>
    <row r="411" spans="10:15" ht="15.75" customHeight="1">
      <c r="J411" s="262"/>
      <c r="N411" s="89"/>
      <c r="O411" s="89"/>
    </row>
    <row r="412" spans="10:15" ht="15.75" customHeight="1">
      <c r="J412" s="262"/>
      <c r="N412" s="89"/>
      <c r="O412" s="89"/>
    </row>
    <row r="413" spans="10:15" ht="15.75" customHeight="1">
      <c r="J413" s="262"/>
      <c r="N413" s="89"/>
      <c r="O413" s="89"/>
    </row>
    <row r="414" spans="10:15" ht="15.75" customHeight="1">
      <c r="J414" s="262"/>
      <c r="N414" s="89"/>
      <c r="O414" s="89"/>
    </row>
    <row r="415" spans="10:15" ht="15.75" customHeight="1">
      <c r="J415" s="262"/>
      <c r="N415" s="89"/>
      <c r="O415" s="89"/>
    </row>
    <row r="416" spans="10:15" ht="15.75" customHeight="1">
      <c r="J416" s="262"/>
      <c r="N416" s="89"/>
      <c r="O416" s="89"/>
    </row>
    <row r="417" spans="10:15" ht="15.75" customHeight="1">
      <c r="J417" s="262"/>
      <c r="N417" s="89"/>
      <c r="O417" s="89"/>
    </row>
    <row r="418" spans="10:15" ht="15.75" customHeight="1">
      <c r="J418" s="262"/>
      <c r="N418" s="89"/>
      <c r="O418" s="89"/>
    </row>
    <row r="419" spans="10:15" ht="15.75" customHeight="1">
      <c r="J419" s="262"/>
      <c r="N419" s="89"/>
      <c r="O419" s="89"/>
    </row>
    <row r="420" spans="10:15" ht="15.75" customHeight="1">
      <c r="J420" s="262"/>
      <c r="N420" s="89"/>
      <c r="O420" s="89"/>
    </row>
    <row r="421" spans="10:15" ht="15.75" customHeight="1">
      <c r="J421" s="262"/>
      <c r="N421" s="89"/>
      <c r="O421" s="89"/>
    </row>
    <row r="422" spans="10:15" ht="15.75" customHeight="1">
      <c r="J422" s="262"/>
      <c r="N422" s="89"/>
      <c r="O422" s="89"/>
    </row>
    <row r="423" spans="10:15" ht="15.75" customHeight="1">
      <c r="J423" s="262"/>
      <c r="N423" s="89"/>
      <c r="O423" s="89"/>
    </row>
    <row r="424" spans="10:15" ht="15.75" customHeight="1">
      <c r="J424" s="262"/>
      <c r="N424" s="89"/>
      <c r="O424" s="89"/>
    </row>
    <row r="425" spans="10:15" ht="15.75" customHeight="1">
      <c r="J425" s="262"/>
      <c r="N425" s="89"/>
      <c r="O425" s="89"/>
    </row>
    <row r="426" spans="10:15" ht="15.75" customHeight="1">
      <c r="J426" s="262"/>
      <c r="N426" s="89"/>
      <c r="O426" s="89"/>
    </row>
    <row r="427" spans="10:15" ht="15.75" customHeight="1">
      <c r="J427" s="262"/>
      <c r="N427" s="89"/>
      <c r="O427" s="89"/>
    </row>
    <row r="428" spans="10:15" ht="15.75" customHeight="1">
      <c r="J428" s="262"/>
      <c r="N428" s="89"/>
      <c r="O428" s="89"/>
    </row>
    <row r="429" spans="10:15" ht="15.75" customHeight="1">
      <c r="J429" s="262"/>
      <c r="N429" s="89"/>
      <c r="O429" s="89"/>
    </row>
    <row r="430" spans="10:15" ht="15.75" customHeight="1">
      <c r="J430" s="262"/>
      <c r="N430" s="89"/>
      <c r="O430" s="89"/>
    </row>
    <row r="431" spans="10:15" ht="15.75" customHeight="1">
      <c r="J431" s="262"/>
      <c r="N431" s="89"/>
      <c r="O431" s="89"/>
    </row>
    <row r="432" spans="10:15" ht="15.75" customHeight="1">
      <c r="J432" s="262"/>
      <c r="N432" s="89"/>
      <c r="O432" s="89"/>
    </row>
    <row r="433" spans="10:15" ht="15.75" customHeight="1">
      <c r="J433" s="262"/>
      <c r="N433" s="89"/>
      <c r="O433" s="89"/>
    </row>
    <row r="434" spans="10:15" ht="15.75" customHeight="1">
      <c r="J434" s="262"/>
      <c r="N434" s="89"/>
      <c r="O434" s="89"/>
    </row>
    <row r="435" spans="10:15" ht="15.75" customHeight="1">
      <c r="J435" s="262"/>
      <c r="N435" s="89"/>
      <c r="O435" s="89"/>
    </row>
    <row r="436" spans="10:15" ht="15.75" customHeight="1">
      <c r="J436" s="262"/>
      <c r="N436" s="89"/>
      <c r="O436" s="89"/>
    </row>
    <row r="437" spans="10:15" ht="15.75" customHeight="1">
      <c r="J437" s="262"/>
      <c r="N437" s="89"/>
      <c r="O437" s="89"/>
    </row>
    <row r="438" spans="10:15" ht="15.75" customHeight="1">
      <c r="J438" s="262"/>
      <c r="N438" s="89"/>
      <c r="O438" s="89"/>
    </row>
    <row r="439" spans="10:15" ht="15.75" customHeight="1">
      <c r="J439" s="262"/>
      <c r="N439" s="89"/>
      <c r="O439" s="89"/>
    </row>
    <row r="440" spans="10:15" ht="15.75" customHeight="1">
      <c r="J440" s="262"/>
      <c r="N440" s="89"/>
      <c r="O440" s="89"/>
    </row>
    <row r="441" spans="10:15" ht="15.75" customHeight="1">
      <c r="J441" s="262"/>
      <c r="N441" s="89"/>
      <c r="O441" s="89"/>
    </row>
    <row r="442" spans="10:15" ht="15.75" customHeight="1">
      <c r="J442" s="262"/>
      <c r="N442" s="89"/>
      <c r="O442" s="89"/>
    </row>
    <row r="443" spans="10:15" ht="15.75" customHeight="1">
      <c r="J443" s="262"/>
      <c r="N443" s="89"/>
      <c r="O443" s="89"/>
    </row>
    <row r="444" spans="10:15" ht="15.75" customHeight="1">
      <c r="J444" s="262"/>
      <c r="N444" s="89"/>
      <c r="O444" s="89"/>
    </row>
    <row r="445" spans="10:15" ht="15.75" customHeight="1">
      <c r="J445" s="262"/>
      <c r="N445" s="89"/>
      <c r="O445" s="89"/>
    </row>
    <row r="446" spans="10:15" ht="15.75" customHeight="1">
      <c r="J446" s="262"/>
      <c r="N446" s="89"/>
      <c r="O446" s="89"/>
    </row>
    <row r="447" spans="10:15" ht="15.75" customHeight="1">
      <c r="J447" s="262"/>
      <c r="N447" s="89"/>
      <c r="O447" s="89"/>
    </row>
    <row r="448" spans="10:15" ht="15.75" customHeight="1">
      <c r="J448" s="262"/>
      <c r="N448" s="89"/>
      <c r="O448" s="89"/>
    </row>
    <row r="449" spans="10:15" ht="15.75" customHeight="1">
      <c r="J449" s="262"/>
      <c r="N449" s="89"/>
      <c r="O449" s="89"/>
    </row>
    <row r="450" spans="10:15" ht="15.75" customHeight="1">
      <c r="J450" s="262"/>
      <c r="N450" s="89"/>
      <c r="O450" s="89"/>
    </row>
    <row r="451" spans="10:15" ht="15.75" customHeight="1">
      <c r="J451" s="262"/>
      <c r="N451" s="89"/>
      <c r="O451" s="89"/>
    </row>
    <row r="452" spans="10:15" ht="15.75" customHeight="1">
      <c r="J452" s="262"/>
      <c r="N452" s="89"/>
      <c r="O452" s="89"/>
    </row>
    <row r="453" spans="10:15" ht="15.75" customHeight="1">
      <c r="J453" s="262"/>
      <c r="N453" s="89"/>
      <c r="O453" s="89"/>
    </row>
    <row r="454" spans="10:15" ht="15.75" customHeight="1">
      <c r="J454" s="262"/>
      <c r="N454" s="89"/>
      <c r="O454" s="89"/>
    </row>
    <row r="455" spans="10:15" ht="15.75" customHeight="1">
      <c r="J455" s="262"/>
      <c r="N455" s="89"/>
      <c r="O455" s="89"/>
    </row>
    <row r="456" spans="10:15" ht="15.75" customHeight="1">
      <c r="J456" s="262"/>
      <c r="N456" s="89"/>
      <c r="O456" s="89"/>
    </row>
    <row r="457" spans="10:15" ht="15.75" customHeight="1">
      <c r="J457" s="262"/>
      <c r="N457" s="89"/>
      <c r="O457" s="89"/>
    </row>
    <row r="458" spans="10:15" ht="15.75" customHeight="1">
      <c r="J458" s="262"/>
      <c r="N458" s="89"/>
      <c r="O458" s="89"/>
    </row>
    <row r="459" spans="10:15" ht="15.75" customHeight="1">
      <c r="J459" s="262"/>
      <c r="N459" s="89"/>
      <c r="O459" s="89"/>
    </row>
    <row r="460" spans="10:15" ht="15.75" customHeight="1">
      <c r="J460" s="262"/>
      <c r="N460" s="89"/>
      <c r="O460" s="89"/>
    </row>
    <row r="461" spans="10:15" ht="15.75" customHeight="1">
      <c r="J461" s="262"/>
      <c r="N461" s="89"/>
      <c r="O461" s="89"/>
    </row>
    <row r="462" spans="10:15" ht="15.75" customHeight="1">
      <c r="J462" s="262"/>
      <c r="N462" s="89"/>
      <c r="O462" s="89"/>
    </row>
    <row r="463" spans="10:15" ht="15.75" customHeight="1">
      <c r="J463" s="262"/>
      <c r="N463" s="89"/>
      <c r="O463" s="89"/>
    </row>
    <row r="464" spans="10:15" ht="15.75" customHeight="1">
      <c r="J464" s="262"/>
      <c r="N464" s="89"/>
      <c r="O464" s="89"/>
    </row>
    <row r="465" spans="10:15" ht="15.75" customHeight="1">
      <c r="J465" s="262"/>
      <c r="N465" s="89"/>
      <c r="O465" s="89"/>
    </row>
    <row r="466" spans="10:15" ht="15.75" customHeight="1">
      <c r="J466" s="262"/>
      <c r="N466" s="89"/>
      <c r="O466" s="89"/>
    </row>
    <row r="467" spans="10:15" ht="15.75" customHeight="1">
      <c r="J467" s="262"/>
      <c r="N467" s="89"/>
      <c r="O467" s="89"/>
    </row>
    <row r="468" spans="10:15" ht="15.75" customHeight="1">
      <c r="J468" s="262"/>
      <c r="N468" s="89"/>
      <c r="O468" s="89"/>
    </row>
    <row r="469" spans="10:15" ht="15.75" customHeight="1">
      <c r="J469" s="262"/>
      <c r="N469" s="89"/>
      <c r="O469" s="89"/>
    </row>
    <row r="470" spans="10:15" ht="15.75" customHeight="1">
      <c r="J470" s="262"/>
      <c r="N470" s="89"/>
      <c r="O470" s="89"/>
    </row>
    <row r="471" spans="10:15" ht="15.75" customHeight="1">
      <c r="J471" s="262"/>
      <c r="N471" s="89"/>
      <c r="O471" s="89"/>
    </row>
    <row r="472" spans="10:15" ht="15.75" customHeight="1">
      <c r="J472" s="262"/>
      <c r="N472" s="89"/>
      <c r="O472" s="89"/>
    </row>
    <row r="473" spans="10:15" ht="15.75" customHeight="1">
      <c r="J473" s="262"/>
      <c r="N473" s="89"/>
      <c r="O473" s="89"/>
    </row>
    <row r="474" spans="10:15" ht="15.75" customHeight="1">
      <c r="J474" s="262"/>
      <c r="N474" s="89"/>
      <c r="O474" s="89"/>
    </row>
    <row r="475" spans="10:15" ht="15.75" customHeight="1">
      <c r="J475" s="262"/>
      <c r="N475" s="89"/>
      <c r="O475" s="89"/>
    </row>
    <row r="476" spans="10:15" ht="15.75" customHeight="1">
      <c r="J476" s="262"/>
      <c r="N476" s="89"/>
      <c r="O476" s="89"/>
    </row>
    <row r="477" spans="10:15" ht="15.75" customHeight="1">
      <c r="J477" s="262"/>
      <c r="N477" s="89"/>
      <c r="O477" s="89"/>
    </row>
    <row r="478" spans="10:15" ht="15.75" customHeight="1">
      <c r="J478" s="262"/>
      <c r="N478" s="89"/>
      <c r="O478" s="89"/>
    </row>
    <row r="479" spans="10:15" ht="15.75" customHeight="1">
      <c r="J479" s="262"/>
      <c r="N479" s="89"/>
      <c r="O479" s="89"/>
    </row>
    <row r="480" spans="10:15" ht="15.75" customHeight="1">
      <c r="J480" s="262"/>
      <c r="N480" s="89"/>
      <c r="O480" s="89"/>
    </row>
    <row r="481" spans="10:15" ht="15.75" customHeight="1">
      <c r="J481" s="262"/>
      <c r="N481" s="89"/>
      <c r="O481" s="89"/>
    </row>
    <row r="482" spans="10:15" ht="15.75" customHeight="1">
      <c r="J482" s="262"/>
      <c r="N482" s="89"/>
      <c r="O482" s="89"/>
    </row>
    <row r="483" spans="10:15" ht="15.75" customHeight="1">
      <c r="J483" s="262"/>
      <c r="N483" s="89"/>
      <c r="O483" s="89"/>
    </row>
    <row r="484" spans="10:15" ht="15.75" customHeight="1">
      <c r="J484" s="262"/>
      <c r="N484" s="89"/>
      <c r="O484" s="89"/>
    </row>
    <row r="485" spans="10:15" ht="15.75" customHeight="1">
      <c r="J485" s="262"/>
      <c r="N485" s="89"/>
      <c r="O485" s="89"/>
    </row>
    <row r="486" spans="10:15" ht="15.75" customHeight="1">
      <c r="J486" s="262"/>
      <c r="N486" s="89"/>
      <c r="O486" s="89"/>
    </row>
    <row r="487" spans="10:15" ht="15.75" customHeight="1">
      <c r="J487" s="262"/>
      <c r="N487" s="89"/>
      <c r="O487" s="89"/>
    </row>
    <row r="488" spans="10:15" ht="15.75" customHeight="1">
      <c r="J488" s="262"/>
      <c r="N488" s="89"/>
      <c r="O488" s="89"/>
    </row>
    <row r="489" spans="10:15" ht="15.75" customHeight="1">
      <c r="J489" s="262"/>
      <c r="N489" s="89"/>
      <c r="O489" s="89"/>
    </row>
    <row r="490" spans="10:15" ht="15.75" customHeight="1">
      <c r="J490" s="262"/>
      <c r="N490" s="89"/>
      <c r="O490" s="89"/>
    </row>
    <row r="491" spans="10:15" ht="15.75" customHeight="1">
      <c r="J491" s="262"/>
      <c r="N491" s="89"/>
      <c r="O491" s="89"/>
    </row>
    <row r="492" spans="10:15" ht="15.75" customHeight="1">
      <c r="J492" s="262"/>
      <c r="N492" s="89"/>
      <c r="O492" s="89"/>
    </row>
    <row r="493" spans="10:15" ht="15.75" customHeight="1">
      <c r="J493" s="262"/>
      <c r="N493" s="89"/>
      <c r="O493" s="89"/>
    </row>
    <row r="494" spans="10:15" ht="15.75" customHeight="1">
      <c r="J494" s="262"/>
      <c r="N494" s="89"/>
      <c r="O494" s="89"/>
    </row>
    <row r="495" spans="10:15" ht="15.75" customHeight="1">
      <c r="J495" s="262"/>
      <c r="N495" s="89"/>
      <c r="O495" s="89"/>
    </row>
    <row r="496" spans="10:15" ht="15.75" customHeight="1">
      <c r="J496" s="262"/>
      <c r="N496" s="89"/>
      <c r="O496" s="89"/>
    </row>
    <row r="497" spans="10:15" ht="15.75" customHeight="1">
      <c r="J497" s="262"/>
      <c r="N497" s="89"/>
      <c r="O497" s="89"/>
    </row>
    <row r="498" spans="10:15" ht="15.75" customHeight="1">
      <c r="J498" s="262"/>
      <c r="N498" s="89"/>
      <c r="O498" s="89"/>
    </row>
    <row r="499" spans="10:15" ht="15.75" customHeight="1">
      <c r="J499" s="262"/>
      <c r="N499" s="89"/>
      <c r="O499" s="89"/>
    </row>
    <row r="500" spans="10:15" ht="15.75" customHeight="1">
      <c r="J500" s="262"/>
      <c r="N500" s="89"/>
      <c r="O500" s="89"/>
    </row>
    <row r="501" spans="10:15" ht="15.75" customHeight="1">
      <c r="J501" s="262"/>
      <c r="N501" s="89"/>
      <c r="O501" s="89"/>
    </row>
    <row r="502" spans="10:15" ht="15.75" customHeight="1">
      <c r="J502" s="262"/>
      <c r="N502" s="89"/>
      <c r="O502" s="89"/>
    </row>
    <row r="503" spans="10:15" ht="15.75" customHeight="1">
      <c r="J503" s="262"/>
      <c r="N503" s="89"/>
      <c r="O503" s="89"/>
    </row>
    <row r="504" spans="10:15" ht="15.75" customHeight="1">
      <c r="J504" s="262"/>
      <c r="N504" s="89"/>
      <c r="O504" s="89"/>
    </row>
    <row r="505" spans="10:15" ht="15.75" customHeight="1">
      <c r="J505" s="262"/>
      <c r="N505" s="89"/>
      <c r="O505" s="89"/>
    </row>
    <row r="506" spans="10:15" ht="15.75" customHeight="1">
      <c r="J506" s="262"/>
      <c r="N506" s="89"/>
      <c r="O506" s="89"/>
    </row>
    <row r="507" spans="10:15" ht="15.75" customHeight="1">
      <c r="J507" s="262"/>
      <c r="N507" s="89"/>
      <c r="O507" s="89"/>
    </row>
    <row r="508" spans="10:15" ht="15.75" customHeight="1">
      <c r="J508" s="262"/>
      <c r="N508" s="89"/>
      <c r="O508" s="89"/>
    </row>
    <row r="509" spans="10:15" ht="15.75" customHeight="1">
      <c r="J509" s="262"/>
      <c r="N509" s="89"/>
      <c r="O509" s="89"/>
    </row>
    <row r="510" spans="10:15" ht="15.75" customHeight="1">
      <c r="J510" s="262"/>
      <c r="N510" s="89"/>
      <c r="O510" s="89"/>
    </row>
    <row r="511" spans="10:15" ht="15.75" customHeight="1">
      <c r="J511" s="262"/>
      <c r="N511" s="89"/>
      <c r="O511" s="89"/>
    </row>
    <row r="512" spans="10:15" ht="15.75" customHeight="1">
      <c r="J512" s="262"/>
      <c r="N512" s="89"/>
      <c r="O512" s="89"/>
    </row>
    <row r="513" spans="10:15" ht="15.75" customHeight="1">
      <c r="J513" s="262"/>
      <c r="N513" s="89"/>
      <c r="O513" s="89"/>
    </row>
    <row r="514" spans="10:15" ht="15.75" customHeight="1">
      <c r="J514" s="262"/>
      <c r="N514" s="89"/>
      <c r="O514" s="89"/>
    </row>
    <row r="515" spans="10:15" ht="15.75" customHeight="1">
      <c r="J515" s="262"/>
      <c r="N515" s="89"/>
      <c r="O515" s="89"/>
    </row>
    <row r="516" spans="10:15" ht="15.75" customHeight="1">
      <c r="J516" s="262"/>
      <c r="N516" s="89"/>
      <c r="O516" s="89"/>
    </row>
    <row r="517" spans="10:15" ht="15.75" customHeight="1">
      <c r="J517" s="262"/>
      <c r="N517" s="89"/>
      <c r="O517" s="89"/>
    </row>
    <row r="518" spans="10:15" ht="15.75" customHeight="1">
      <c r="J518" s="262"/>
      <c r="N518" s="89"/>
      <c r="O518" s="89"/>
    </row>
    <row r="519" spans="10:15" ht="15.75" customHeight="1">
      <c r="J519" s="262"/>
      <c r="N519" s="89"/>
      <c r="O519" s="89"/>
    </row>
    <row r="520" spans="10:15" ht="15.75" customHeight="1">
      <c r="J520" s="262"/>
      <c r="N520" s="89"/>
      <c r="O520" s="89"/>
    </row>
    <row r="521" spans="10:15" ht="15.75" customHeight="1">
      <c r="J521" s="262"/>
      <c r="N521" s="89"/>
      <c r="O521" s="89"/>
    </row>
    <row r="522" spans="10:15" ht="15.75" customHeight="1">
      <c r="J522" s="262"/>
      <c r="N522" s="89"/>
      <c r="O522" s="89"/>
    </row>
    <row r="523" spans="10:15" ht="15.75" customHeight="1">
      <c r="J523" s="262"/>
      <c r="N523" s="89"/>
      <c r="O523" s="89"/>
    </row>
    <row r="524" spans="10:15" ht="15.75" customHeight="1">
      <c r="J524" s="262"/>
      <c r="N524" s="89"/>
      <c r="O524" s="89"/>
    </row>
    <row r="525" spans="10:15" ht="15.75" customHeight="1">
      <c r="J525" s="262"/>
      <c r="N525" s="89"/>
      <c r="O525" s="89"/>
    </row>
    <row r="526" spans="10:15" ht="15.75" customHeight="1">
      <c r="J526" s="262"/>
      <c r="N526" s="89"/>
      <c r="O526" s="89"/>
    </row>
    <row r="527" spans="10:15" ht="15.75" customHeight="1">
      <c r="J527" s="262"/>
      <c r="N527" s="89"/>
      <c r="O527" s="89"/>
    </row>
    <row r="528" spans="10:15" ht="15.75" customHeight="1">
      <c r="J528" s="262"/>
      <c r="N528" s="89"/>
      <c r="O528" s="89"/>
    </row>
    <row r="529" spans="10:15" ht="15.75" customHeight="1">
      <c r="J529" s="262"/>
      <c r="N529" s="89"/>
      <c r="O529" s="89"/>
    </row>
    <row r="530" spans="10:15" ht="15.75" customHeight="1">
      <c r="J530" s="262"/>
      <c r="N530" s="89"/>
      <c r="O530" s="89"/>
    </row>
    <row r="531" spans="10:15" ht="15.75" customHeight="1">
      <c r="J531" s="262"/>
      <c r="N531" s="89"/>
      <c r="O531" s="89"/>
    </row>
    <row r="532" spans="10:15" ht="15.75" customHeight="1">
      <c r="J532" s="262"/>
      <c r="N532" s="89"/>
      <c r="O532" s="89"/>
    </row>
    <row r="533" spans="10:15" ht="15.75" customHeight="1">
      <c r="J533" s="262"/>
      <c r="N533" s="89"/>
      <c r="O533" s="89"/>
    </row>
    <row r="534" spans="10:15" ht="15.75" customHeight="1">
      <c r="J534" s="262"/>
      <c r="N534" s="89"/>
      <c r="O534" s="89"/>
    </row>
    <row r="535" spans="10:15" ht="15.75" customHeight="1">
      <c r="J535" s="262"/>
      <c r="N535" s="89"/>
      <c r="O535" s="89"/>
    </row>
    <row r="536" spans="10:15" ht="15.75" customHeight="1">
      <c r="J536" s="262"/>
      <c r="N536" s="89"/>
      <c r="O536" s="89"/>
    </row>
    <row r="537" spans="10:15" ht="15.75" customHeight="1">
      <c r="J537" s="262"/>
      <c r="N537" s="89"/>
      <c r="O537" s="89"/>
    </row>
    <row r="538" spans="10:15" ht="15.75" customHeight="1">
      <c r="J538" s="262"/>
      <c r="N538" s="89"/>
      <c r="O538" s="89"/>
    </row>
    <row r="539" spans="10:15" ht="15.75" customHeight="1">
      <c r="J539" s="262"/>
      <c r="N539" s="89"/>
      <c r="O539" s="89"/>
    </row>
    <row r="540" spans="10:15" ht="15.75" customHeight="1">
      <c r="J540" s="262"/>
      <c r="N540" s="89"/>
      <c r="O540" s="89"/>
    </row>
    <row r="541" spans="10:15" ht="15.75" customHeight="1">
      <c r="J541" s="262"/>
      <c r="N541" s="89"/>
      <c r="O541" s="89"/>
    </row>
    <row r="542" spans="10:15" ht="15.75" customHeight="1">
      <c r="J542" s="262"/>
      <c r="N542" s="89"/>
      <c r="O542" s="89"/>
    </row>
    <row r="543" spans="10:15" ht="15.75" customHeight="1">
      <c r="J543" s="262"/>
      <c r="N543" s="89"/>
      <c r="O543" s="89"/>
    </row>
    <row r="544" spans="10:15" ht="15.75" customHeight="1">
      <c r="J544" s="262"/>
      <c r="N544" s="89"/>
      <c r="O544" s="89"/>
    </row>
    <row r="545" spans="10:15" ht="15.75" customHeight="1">
      <c r="J545" s="262"/>
      <c r="N545" s="89"/>
      <c r="O545" s="89"/>
    </row>
    <row r="546" spans="10:15" ht="15.75" customHeight="1">
      <c r="J546" s="262"/>
      <c r="N546" s="89"/>
      <c r="O546" s="89"/>
    </row>
    <row r="547" spans="10:15" ht="15.75" customHeight="1">
      <c r="J547" s="262"/>
      <c r="N547" s="89"/>
      <c r="O547" s="89"/>
    </row>
    <row r="548" spans="10:15" ht="15.75" customHeight="1">
      <c r="J548" s="262"/>
      <c r="N548" s="89"/>
      <c r="O548" s="89"/>
    </row>
    <row r="549" spans="10:15" ht="15.75" customHeight="1">
      <c r="J549" s="262"/>
      <c r="N549" s="89"/>
      <c r="O549" s="89"/>
    </row>
    <row r="550" spans="10:15" ht="15.75" customHeight="1">
      <c r="J550" s="262"/>
      <c r="N550" s="89"/>
      <c r="O550" s="89"/>
    </row>
    <row r="551" spans="10:15" ht="15.75" customHeight="1">
      <c r="J551" s="262"/>
      <c r="N551" s="89"/>
      <c r="O551" s="89"/>
    </row>
    <row r="552" spans="10:15" ht="15.75" customHeight="1">
      <c r="J552" s="262"/>
      <c r="N552" s="89"/>
      <c r="O552" s="89"/>
    </row>
    <row r="553" spans="10:15" ht="15.75" customHeight="1">
      <c r="J553" s="262"/>
      <c r="N553" s="89"/>
      <c r="O553" s="89"/>
    </row>
    <row r="554" spans="10:15" ht="15.75" customHeight="1">
      <c r="J554" s="262"/>
      <c r="N554" s="89"/>
      <c r="O554" s="89"/>
    </row>
    <row r="555" spans="10:15" ht="15.75" customHeight="1">
      <c r="J555" s="262"/>
      <c r="N555" s="89"/>
      <c r="O555" s="89"/>
    </row>
    <row r="556" spans="10:15" ht="15.75" customHeight="1">
      <c r="J556" s="262"/>
      <c r="N556" s="89"/>
      <c r="O556" s="89"/>
    </row>
    <row r="557" spans="10:15" ht="15.75" customHeight="1">
      <c r="J557" s="262"/>
      <c r="N557" s="89"/>
      <c r="O557" s="89"/>
    </row>
    <row r="558" spans="10:15" ht="15.75" customHeight="1">
      <c r="J558" s="262"/>
      <c r="N558" s="89"/>
      <c r="O558" s="89"/>
    </row>
    <row r="559" spans="10:15" ht="15.75" customHeight="1">
      <c r="J559" s="262"/>
      <c r="N559" s="89"/>
      <c r="O559" s="89"/>
    </row>
    <row r="560" spans="10:15" ht="15.75" customHeight="1">
      <c r="J560" s="262"/>
      <c r="N560" s="89"/>
      <c r="O560" s="89"/>
    </row>
    <row r="561" spans="10:15" ht="15.75" customHeight="1">
      <c r="J561" s="262"/>
      <c r="N561" s="89"/>
      <c r="O561" s="89"/>
    </row>
    <row r="562" spans="10:15" ht="15.75" customHeight="1">
      <c r="J562" s="262"/>
      <c r="N562" s="89"/>
      <c r="O562" s="89"/>
    </row>
    <row r="563" spans="10:15" ht="15.75" customHeight="1">
      <c r="J563" s="262"/>
      <c r="N563" s="89"/>
      <c r="O563" s="89"/>
    </row>
    <row r="564" spans="10:15" ht="15.75" customHeight="1">
      <c r="J564" s="262"/>
      <c r="N564" s="89"/>
      <c r="O564" s="89"/>
    </row>
    <row r="565" spans="10:15" ht="15.75" customHeight="1">
      <c r="J565" s="262"/>
      <c r="N565" s="89"/>
      <c r="O565" s="89"/>
    </row>
    <row r="566" spans="10:15" ht="15.75" customHeight="1">
      <c r="J566" s="262"/>
      <c r="N566" s="89"/>
      <c r="O566" s="89"/>
    </row>
    <row r="567" spans="10:15" ht="15.75" customHeight="1">
      <c r="J567" s="262"/>
      <c r="N567" s="89"/>
      <c r="O567" s="89"/>
    </row>
    <row r="568" spans="10:15" ht="15.75" customHeight="1">
      <c r="J568" s="262"/>
      <c r="N568" s="89"/>
      <c r="O568" s="89"/>
    </row>
    <row r="569" spans="10:15" ht="15.75" customHeight="1">
      <c r="J569" s="262"/>
      <c r="N569" s="89"/>
      <c r="O569" s="89"/>
    </row>
    <row r="570" spans="10:15" ht="15.75" customHeight="1">
      <c r="J570" s="262"/>
      <c r="N570" s="89"/>
      <c r="O570" s="89"/>
    </row>
    <row r="571" spans="10:15" ht="15.75" customHeight="1">
      <c r="J571" s="262"/>
      <c r="N571" s="89"/>
      <c r="O571" s="89"/>
    </row>
    <row r="572" spans="10:15" ht="15.75" customHeight="1">
      <c r="J572" s="262"/>
      <c r="N572" s="89"/>
      <c r="O572" s="89"/>
    </row>
    <row r="573" spans="10:15" ht="15.75" customHeight="1">
      <c r="J573" s="262"/>
      <c r="N573" s="89"/>
      <c r="O573" s="89"/>
    </row>
    <row r="574" spans="10:15" ht="15.75" customHeight="1">
      <c r="J574" s="262"/>
      <c r="N574" s="89"/>
      <c r="O574" s="89"/>
    </row>
    <row r="575" spans="10:15" ht="15.75" customHeight="1">
      <c r="J575" s="262"/>
      <c r="N575" s="89"/>
      <c r="O575" s="89"/>
    </row>
    <row r="576" spans="10:15" ht="15.75" customHeight="1">
      <c r="J576" s="262"/>
      <c r="N576" s="89"/>
      <c r="O576" s="89"/>
    </row>
    <row r="577" spans="10:15" ht="15.75" customHeight="1">
      <c r="J577" s="262"/>
      <c r="N577" s="89"/>
      <c r="O577" s="89"/>
    </row>
    <row r="578" spans="10:15" ht="15.75" customHeight="1">
      <c r="J578" s="262"/>
      <c r="N578" s="89"/>
      <c r="O578" s="89"/>
    </row>
    <row r="579" spans="10:15" ht="15.75" customHeight="1">
      <c r="J579" s="262"/>
      <c r="N579" s="89"/>
      <c r="O579" s="89"/>
    </row>
    <row r="580" spans="10:15" ht="15.75" customHeight="1">
      <c r="J580" s="262"/>
      <c r="N580" s="89"/>
      <c r="O580" s="89"/>
    </row>
    <row r="581" spans="10:15" ht="15.75" customHeight="1">
      <c r="J581" s="262"/>
      <c r="N581" s="89"/>
      <c r="O581" s="89"/>
    </row>
    <row r="582" spans="10:15" ht="15.75" customHeight="1">
      <c r="J582" s="262"/>
      <c r="N582" s="89"/>
      <c r="O582" s="89"/>
    </row>
    <row r="583" spans="10:15" ht="15.75" customHeight="1">
      <c r="J583" s="262"/>
      <c r="N583" s="89"/>
      <c r="O583" s="89"/>
    </row>
    <row r="584" spans="10:15" ht="15.75" customHeight="1">
      <c r="J584" s="262"/>
      <c r="N584" s="89"/>
      <c r="O584" s="89"/>
    </row>
    <row r="585" spans="10:15" ht="15.75" customHeight="1">
      <c r="J585" s="262"/>
      <c r="N585" s="89"/>
      <c r="O585" s="89"/>
    </row>
    <row r="586" spans="10:15" ht="15.75" customHeight="1">
      <c r="J586" s="262"/>
      <c r="N586" s="89"/>
      <c r="O586" s="89"/>
    </row>
    <row r="587" spans="10:15" ht="15.75" customHeight="1">
      <c r="J587" s="262"/>
      <c r="N587" s="89"/>
      <c r="O587" s="89"/>
    </row>
    <row r="588" spans="10:15" ht="15.75" customHeight="1">
      <c r="J588" s="262"/>
      <c r="N588" s="89"/>
      <c r="O588" s="89"/>
    </row>
    <row r="589" spans="10:15" ht="15.75" customHeight="1">
      <c r="J589" s="262"/>
      <c r="N589" s="89"/>
      <c r="O589" s="89"/>
    </row>
    <row r="590" spans="10:15" ht="15.75" customHeight="1">
      <c r="J590" s="262"/>
      <c r="N590" s="89"/>
      <c r="O590" s="89"/>
    </row>
    <row r="591" spans="10:15" ht="15.75" customHeight="1">
      <c r="J591" s="262"/>
      <c r="N591" s="89"/>
      <c r="O591" s="89"/>
    </row>
    <row r="592" spans="10:15" ht="15.75" customHeight="1">
      <c r="J592" s="262"/>
      <c r="N592" s="89"/>
      <c r="O592" s="89"/>
    </row>
    <row r="593" spans="10:15" ht="15.75" customHeight="1">
      <c r="J593" s="262"/>
      <c r="N593" s="89"/>
      <c r="O593" s="89"/>
    </row>
    <row r="594" spans="10:15" ht="15.75" customHeight="1">
      <c r="J594" s="262"/>
      <c r="N594" s="89"/>
      <c r="O594" s="89"/>
    </row>
    <row r="595" spans="10:15" ht="15.75" customHeight="1">
      <c r="J595" s="262"/>
      <c r="N595" s="89"/>
      <c r="O595" s="89"/>
    </row>
    <row r="596" spans="10:15" ht="15.75" customHeight="1">
      <c r="J596" s="262"/>
      <c r="N596" s="89"/>
      <c r="O596" s="89"/>
    </row>
    <row r="597" spans="10:15" ht="15.75" customHeight="1">
      <c r="J597" s="262"/>
      <c r="N597" s="89"/>
      <c r="O597" s="89"/>
    </row>
    <row r="598" spans="10:15" ht="15.75" customHeight="1">
      <c r="J598" s="262"/>
      <c r="N598" s="89"/>
      <c r="O598" s="89"/>
    </row>
    <row r="599" spans="10:15" ht="15.75" customHeight="1">
      <c r="J599" s="262"/>
      <c r="N599" s="89"/>
      <c r="O599" s="89"/>
    </row>
    <row r="600" spans="10:15" ht="15.75" customHeight="1">
      <c r="J600" s="262"/>
      <c r="N600" s="89"/>
      <c r="O600" s="89"/>
    </row>
    <row r="601" spans="10:15" ht="15.75" customHeight="1">
      <c r="J601" s="262"/>
      <c r="N601" s="89"/>
      <c r="O601" s="89"/>
    </row>
    <row r="602" spans="10:15" ht="15.75" customHeight="1">
      <c r="J602" s="262"/>
      <c r="N602" s="89"/>
      <c r="O602" s="89"/>
    </row>
    <row r="603" spans="10:15" ht="15.75" customHeight="1">
      <c r="J603" s="262"/>
      <c r="N603" s="89"/>
      <c r="O603" s="89"/>
    </row>
    <row r="604" spans="10:15" ht="15.75" customHeight="1">
      <c r="J604" s="262"/>
      <c r="N604" s="89"/>
      <c r="O604" s="89"/>
    </row>
    <row r="605" spans="10:15" ht="15.75" customHeight="1">
      <c r="J605" s="262"/>
      <c r="N605" s="89"/>
      <c r="O605" s="89"/>
    </row>
    <row r="606" spans="10:15" ht="15.75" customHeight="1">
      <c r="J606" s="262"/>
      <c r="N606" s="89"/>
      <c r="O606" s="89"/>
    </row>
    <row r="607" spans="10:15" ht="15.75" customHeight="1">
      <c r="J607" s="262"/>
      <c r="N607" s="89"/>
      <c r="O607" s="89"/>
    </row>
    <row r="608" spans="10:15" ht="15.75" customHeight="1">
      <c r="J608" s="262"/>
      <c r="N608" s="89"/>
      <c r="O608" s="89"/>
    </row>
    <row r="609" spans="10:15" ht="15.75" customHeight="1">
      <c r="J609" s="262"/>
      <c r="N609" s="89"/>
      <c r="O609" s="89"/>
    </row>
    <row r="610" spans="10:15" ht="15.75" customHeight="1">
      <c r="J610" s="262"/>
      <c r="N610" s="89"/>
      <c r="O610" s="89"/>
    </row>
    <row r="611" spans="10:15" ht="15.75" customHeight="1">
      <c r="J611" s="262"/>
      <c r="N611" s="89"/>
      <c r="O611" s="89"/>
    </row>
    <row r="612" spans="10:15" ht="15.75" customHeight="1">
      <c r="J612" s="262"/>
      <c r="N612" s="89"/>
      <c r="O612" s="89"/>
    </row>
    <row r="613" spans="10:15" ht="15.75" customHeight="1">
      <c r="J613" s="262"/>
      <c r="N613" s="89"/>
      <c r="O613" s="89"/>
    </row>
    <row r="614" spans="10:15" ht="15.75" customHeight="1">
      <c r="J614" s="262"/>
      <c r="N614" s="89"/>
      <c r="O614" s="89"/>
    </row>
    <row r="615" spans="10:15" ht="15.75" customHeight="1">
      <c r="J615" s="262"/>
      <c r="N615" s="89"/>
      <c r="O615" s="89"/>
    </row>
    <row r="616" spans="10:15" ht="15.75" customHeight="1">
      <c r="J616" s="262"/>
      <c r="N616" s="89"/>
      <c r="O616" s="89"/>
    </row>
    <row r="617" spans="10:15" ht="15.75" customHeight="1">
      <c r="J617" s="262"/>
      <c r="N617" s="89"/>
      <c r="O617" s="89"/>
    </row>
    <row r="618" spans="10:15" ht="15.75" customHeight="1">
      <c r="J618" s="262"/>
      <c r="N618" s="89"/>
      <c r="O618" s="89"/>
    </row>
    <row r="619" spans="10:15" ht="15.75" customHeight="1">
      <c r="J619" s="262"/>
      <c r="N619" s="89"/>
      <c r="O619" s="89"/>
    </row>
    <row r="620" spans="10:15" ht="15.75" customHeight="1">
      <c r="J620" s="262"/>
      <c r="N620" s="89"/>
      <c r="O620" s="89"/>
    </row>
    <row r="621" spans="10:15" ht="15.75" customHeight="1">
      <c r="J621" s="262"/>
      <c r="N621" s="89"/>
      <c r="O621" s="89"/>
    </row>
    <row r="622" spans="10:15" ht="15.75" customHeight="1">
      <c r="J622" s="262"/>
      <c r="N622" s="89"/>
      <c r="O622" s="89"/>
    </row>
    <row r="623" spans="10:15" ht="15.75" customHeight="1">
      <c r="J623" s="262"/>
      <c r="N623" s="89"/>
      <c r="O623" s="89"/>
    </row>
    <row r="624" spans="10:15" ht="15.75" customHeight="1">
      <c r="J624" s="262"/>
      <c r="N624" s="89"/>
      <c r="O624" s="89"/>
    </row>
    <row r="625" spans="10:15" ht="15.75" customHeight="1">
      <c r="J625" s="262"/>
      <c r="N625" s="89"/>
      <c r="O625" s="89"/>
    </row>
    <row r="626" spans="10:15" ht="15.75" customHeight="1">
      <c r="J626" s="262"/>
      <c r="N626" s="89"/>
      <c r="O626" s="89"/>
    </row>
    <row r="627" spans="10:15" ht="15.75" customHeight="1">
      <c r="J627" s="262"/>
      <c r="N627" s="89"/>
      <c r="O627" s="89"/>
    </row>
    <row r="628" spans="10:15" ht="15.75" customHeight="1">
      <c r="J628" s="262"/>
      <c r="N628" s="89"/>
      <c r="O628" s="89"/>
    </row>
    <row r="629" spans="10:15" ht="15.75" customHeight="1">
      <c r="J629" s="262"/>
      <c r="N629" s="89"/>
      <c r="O629" s="89"/>
    </row>
    <row r="630" spans="10:15" ht="15.75" customHeight="1">
      <c r="J630" s="262"/>
      <c r="N630" s="89"/>
      <c r="O630" s="89"/>
    </row>
    <row r="631" spans="10:15" ht="15.75" customHeight="1">
      <c r="J631" s="262"/>
      <c r="N631" s="89"/>
      <c r="O631" s="89"/>
    </row>
    <row r="632" spans="10:15" ht="15.75" customHeight="1">
      <c r="J632" s="262"/>
      <c r="N632" s="89"/>
      <c r="O632" s="89"/>
    </row>
    <row r="633" spans="10:15" ht="15.75" customHeight="1">
      <c r="J633" s="262"/>
      <c r="N633" s="89"/>
      <c r="O633" s="89"/>
    </row>
    <row r="634" spans="10:15" ht="15.75" customHeight="1">
      <c r="J634" s="262"/>
      <c r="N634" s="89"/>
      <c r="O634" s="89"/>
    </row>
    <row r="635" spans="10:15" ht="15.75" customHeight="1">
      <c r="J635" s="262"/>
      <c r="N635" s="89"/>
      <c r="O635" s="89"/>
    </row>
    <row r="636" spans="10:15" ht="15.75" customHeight="1">
      <c r="J636" s="262"/>
      <c r="N636" s="89"/>
      <c r="O636" s="89"/>
    </row>
    <row r="637" spans="10:15" ht="15.75" customHeight="1">
      <c r="J637" s="262"/>
      <c r="N637" s="89"/>
      <c r="O637" s="89"/>
    </row>
    <row r="638" spans="10:15" ht="15.75" customHeight="1">
      <c r="J638" s="262"/>
      <c r="N638" s="89"/>
      <c r="O638" s="89"/>
    </row>
    <row r="639" spans="10:15" ht="15.75" customHeight="1">
      <c r="J639" s="262"/>
      <c r="N639" s="89"/>
      <c r="O639" s="89"/>
    </row>
    <row r="640" spans="10:15" ht="15.75" customHeight="1">
      <c r="J640" s="262"/>
      <c r="N640" s="89"/>
      <c r="O640" s="89"/>
    </row>
    <row r="641" spans="10:15" ht="15.75" customHeight="1">
      <c r="J641" s="262"/>
      <c r="N641" s="89"/>
      <c r="O641" s="89"/>
    </row>
    <row r="642" spans="10:15" ht="15.75" customHeight="1">
      <c r="J642" s="262"/>
      <c r="N642" s="89"/>
      <c r="O642" s="89"/>
    </row>
    <row r="643" spans="10:15" ht="15.75" customHeight="1">
      <c r="J643" s="262"/>
      <c r="N643" s="89"/>
      <c r="O643" s="89"/>
    </row>
    <row r="644" spans="10:15" ht="15.75" customHeight="1">
      <c r="J644" s="262"/>
      <c r="N644" s="89"/>
      <c r="O644" s="89"/>
    </row>
    <row r="645" spans="10:15" ht="15.75" customHeight="1">
      <c r="J645" s="262"/>
      <c r="N645" s="89"/>
      <c r="O645" s="89"/>
    </row>
    <row r="646" spans="10:15" ht="15.75" customHeight="1">
      <c r="J646" s="262"/>
      <c r="N646" s="89"/>
      <c r="O646" s="89"/>
    </row>
    <row r="647" spans="10:15" ht="15.75" customHeight="1">
      <c r="J647" s="262"/>
      <c r="N647" s="89"/>
      <c r="O647" s="89"/>
    </row>
    <row r="648" spans="10:15" ht="15.75" customHeight="1">
      <c r="J648" s="262"/>
      <c r="N648" s="89"/>
      <c r="O648" s="89"/>
    </row>
    <row r="649" spans="10:15" ht="15.75" customHeight="1">
      <c r="J649" s="262"/>
      <c r="N649" s="89"/>
      <c r="O649" s="89"/>
    </row>
    <row r="650" spans="10:15" ht="15.75" customHeight="1">
      <c r="J650" s="262"/>
      <c r="N650" s="89"/>
      <c r="O650" s="89"/>
    </row>
    <row r="651" spans="10:15" ht="15.75" customHeight="1">
      <c r="J651" s="262"/>
      <c r="N651" s="89"/>
      <c r="O651" s="89"/>
    </row>
    <row r="652" spans="10:15" ht="15.75" customHeight="1">
      <c r="J652" s="262"/>
      <c r="N652" s="89"/>
      <c r="O652" s="89"/>
    </row>
    <row r="653" spans="10:15" ht="15.75" customHeight="1">
      <c r="J653" s="262"/>
      <c r="N653" s="89"/>
      <c r="O653" s="89"/>
    </row>
    <row r="654" spans="10:15" ht="15.75" customHeight="1">
      <c r="J654" s="262"/>
      <c r="N654" s="89"/>
      <c r="O654" s="89"/>
    </row>
    <row r="655" spans="10:15" ht="15.75" customHeight="1">
      <c r="J655" s="262"/>
      <c r="N655" s="89"/>
      <c r="O655" s="89"/>
    </row>
    <row r="656" spans="10:15" ht="15.75" customHeight="1">
      <c r="J656" s="262"/>
      <c r="N656" s="89"/>
      <c r="O656" s="89"/>
    </row>
    <row r="657" spans="10:15" ht="15.75" customHeight="1">
      <c r="J657" s="262"/>
      <c r="N657" s="89"/>
      <c r="O657" s="89"/>
    </row>
    <row r="658" spans="10:15" ht="15.75" customHeight="1">
      <c r="J658" s="262"/>
      <c r="N658" s="89"/>
      <c r="O658" s="89"/>
    </row>
    <row r="659" spans="10:15" ht="15.75" customHeight="1">
      <c r="J659" s="262"/>
      <c r="N659" s="89"/>
      <c r="O659" s="89"/>
    </row>
    <row r="660" spans="10:15" ht="15.75" customHeight="1">
      <c r="J660" s="262"/>
      <c r="N660" s="89"/>
      <c r="O660" s="89"/>
    </row>
    <row r="661" spans="10:15" ht="15.75" customHeight="1">
      <c r="J661" s="262"/>
      <c r="N661" s="89"/>
      <c r="O661" s="89"/>
    </row>
    <row r="662" spans="10:15" ht="15.75" customHeight="1">
      <c r="J662" s="262"/>
      <c r="N662" s="89"/>
      <c r="O662" s="89"/>
    </row>
    <row r="663" spans="10:15" ht="15.75" customHeight="1">
      <c r="J663" s="262"/>
      <c r="N663" s="89"/>
      <c r="O663" s="89"/>
    </row>
    <row r="664" spans="10:15" ht="15.75" customHeight="1">
      <c r="J664" s="262"/>
      <c r="N664" s="89"/>
      <c r="O664" s="89"/>
    </row>
    <row r="665" spans="10:15" ht="15.75" customHeight="1">
      <c r="J665" s="262"/>
      <c r="N665" s="89"/>
      <c r="O665" s="89"/>
    </row>
    <row r="666" spans="10:15" ht="15.75" customHeight="1">
      <c r="J666" s="262"/>
      <c r="N666" s="89"/>
      <c r="O666" s="89"/>
    </row>
    <row r="667" spans="10:15" ht="15.75" customHeight="1">
      <c r="J667" s="262"/>
      <c r="N667" s="89"/>
      <c r="O667" s="89"/>
    </row>
    <row r="668" spans="10:15" ht="15.75" customHeight="1">
      <c r="J668" s="262"/>
      <c r="N668" s="89"/>
      <c r="O668" s="89"/>
    </row>
    <row r="669" spans="10:15" ht="15.75" customHeight="1">
      <c r="J669" s="262"/>
      <c r="N669" s="89"/>
      <c r="O669" s="89"/>
    </row>
    <row r="670" spans="10:15" ht="15.75" customHeight="1">
      <c r="J670" s="262"/>
      <c r="N670" s="89"/>
      <c r="O670" s="89"/>
    </row>
    <row r="671" spans="10:15" ht="15.75" customHeight="1">
      <c r="J671" s="262"/>
      <c r="N671" s="89"/>
      <c r="O671" s="89"/>
    </row>
    <row r="672" spans="10:15" ht="15.75" customHeight="1">
      <c r="J672" s="262"/>
      <c r="N672" s="89"/>
      <c r="O672" s="89"/>
    </row>
    <row r="673" spans="10:15" ht="15.75" customHeight="1">
      <c r="J673" s="262"/>
      <c r="N673" s="89"/>
      <c r="O673" s="89"/>
    </row>
    <row r="674" spans="10:15" ht="15.75" customHeight="1">
      <c r="J674" s="262"/>
      <c r="N674" s="89"/>
      <c r="O674" s="89"/>
    </row>
    <row r="675" spans="10:15" ht="15.75" customHeight="1">
      <c r="J675" s="262"/>
      <c r="N675" s="89"/>
      <c r="O675" s="89"/>
    </row>
    <row r="676" spans="10:15" ht="15.75" customHeight="1">
      <c r="J676" s="262"/>
      <c r="N676" s="89"/>
      <c r="O676" s="89"/>
    </row>
    <row r="677" spans="10:15" ht="15.75" customHeight="1">
      <c r="J677" s="262"/>
      <c r="N677" s="89"/>
      <c r="O677" s="89"/>
    </row>
    <row r="678" spans="10:15" ht="15.75" customHeight="1">
      <c r="J678" s="262"/>
      <c r="N678" s="89"/>
      <c r="O678" s="89"/>
    </row>
    <row r="679" spans="10:15" ht="15.75" customHeight="1">
      <c r="J679" s="262"/>
      <c r="N679" s="89"/>
      <c r="O679" s="89"/>
    </row>
    <row r="680" spans="10:15" ht="15.75" customHeight="1">
      <c r="J680" s="262"/>
      <c r="N680" s="89"/>
      <c r="O680" s="89"/>
    </row>
    <row r="681" spans="10:15" ht="15.75" customHeight="1">
      <c r="J681" s="262"/>
      <c r="N681" s="89"/>
      <c r="O681" s="89"/>
    </row>
    <row r="682" spans="10:15" ht="15.75" customHeight="1">
      <c r="J682" s="262"/>
      <c r="N682" s="89"/>
      <c r="O682" s="89"/>
    </row>
    <row r="683" spans="10:15" ht="15.75" customHeight="1">
      <c r="J683" s="262"/>
      <c r="N683" s="89"/>
      <c r="O683" s="89"/>
    </row>
    <row r="684" spans="10:15" ht="15.75" customHeight="1">
      <c r="J684" s="262"/>
      <c r="N684" s="89"/>
      <c r="O684" s="89"/>
    </row>
    <row r="685" spans="10:15" ht="15.75" customHeight="1">
      <c r="J685" s="262"/>
      <c r="N685" s="89"/>
      <c r="O685" s="89"/>
    </row>
    <row r="686" spans="10:15" ht="15.75" customHeight="1">
      <c r="J686" s="262"/>
      <c r="N686" s="89"/>
      <c r="O686" s="89"/>
    </row>
    <row r="687" spans="10:15" ht="15.75" customHeight="1">
      <c r="J687" s="262"/>
      <c r="N687" s="89"/>
      <c r="O687" s="89"/>
    </row>
    <row r="688" spans="10:15" ht="15.75" customHeight="1">
      <c r="J688" s="262"/>
      <c r="N688" s="89"/>
      <c r="O688" s="89"/>
    </row>
    <row r="689" spans="10:15" ht="15.75" customHeight="1">
      <c r="J689" s="262"/>
      <c r="N689" s="89"/>
      <c r="O689" s="89"/>
    </row>
    <row r="690" spans="10:15" ht="15.75" customHeight="1">
      <c r="J690" s="262"/>
      <c r="N690" s="89"/>
      <c r="O690" s="89"/>
    </row>
    <row r="691" spans="10:15" ht="15.75" customHeight="1">
      <c r="J691" s="262"/>
      <c r="N691" s="89"/>
      <c r="O691" s="89"/>
    </row>
    <row r="692" spans="10:15" ht="15.75" customHeight="1">
      <c r="J692" s="262"/>
      <c r="N692" s="89"/>
      <c r="O692" s="89"/>
    </row>
    <row r="693" spans="10:15" ht="15.75" customHeight="1">
      <c r="J693" s="262"/>
      <c r="N693" s="89"/>
      <c r="O693" s="89"/>
    </row>
    <row r="694" spans="10:15" ht="15.75" customHeight="1">
      <c r="J694" s="262"/>
      <c r="N694" s="89"/>
      <c r="O694" s="89"/>
    </row>
    <row r="695" spans="10:15" ht="15.75" customHeight="1">
      <c r="J695" s="262"/>
      <c r="N695" s="89"/>
      <c r="O695" s="89"/>
    </row>
    <row r="696" spans="10:15" ht="15.75" customHeight="1">
      <c r="J696" s="262"/>
      <c r="N696" s="89"/>
      <c r="O696" s="89"/>
    </row>
    <row r="697" spans="10:15" ht="15.75" customHeight="1">
      <c r="J697" s="262"/>
      <c r="N697" s="89"/>
      <c r="O697" s="89"/>
    </row>
    <row r="698" spans="10:15" ht="15.75" customHeight="1">
      <c r="J698" s="262"/>
      <c r="N698" s="89"/>
      <c r="O698" s="89"/>
    </row>
    <row r="699" spans="10:15" ht="15.75" customHeight="1">
      <c r="J699" s="262"/>
      <c r="N699" s="89"/>
      <c r="O699" s="89"/>
    </row>
    <row r="700" spans="10:15" ht="15.75" customHeight="1">
      <c r="J700" s="262"/>
      <c r="N700" s="89"/>
      <c r="O700" s="89"/>
    </row>
    <row r="701" spans="10:15" ht="15.75" customHeight="1">
      <c r="J701" s="262"/>
      <c r="N701" s="89"/>
      <c r="O701" s="89"/>
    </row>
    <row r="702" spans="10:15" ht="15.75" customHeight="1">
      <c r="J702" s="262"/>
      <c r="N702" s="89"/>
      <c r="O702" s="89"/>
    </row>
    <row r="703" spans="10:15" ht="15.75" customHeight="1">
      <c r="J703" s="262"/>
      <c r="N703" s="89"/>
      <c r="O703" s="89"/>
    </row>
    <row r="704" spans="10:15" ht="15.75" customHeight="1">
      <c r="J704" s="262"/>
      <c r="N704" s="89"/>
      <c r="O704" s="89"/>
    </row>
    <row r="705" spans="10:15" ht="15.75" customHeight="1">
      <c r="J705" s="262"/>
      <c r="N705" s="89"/>
      <c r="O705" s="89"/>
    </row>
    <row r="706" spans="10:15" ht="15.75" customHeight="1">
      <c r="J706" s="262"/>
      <c r="N706" s="89"/>
      <c r="O706" s="89"/>
    </row>
    <row r="707" spans="10:15" ht="15.75" customHeight="1">
      <c r="J707" s="262"/>
      <c r="N707" s="89"/>
      <c r="O707" s="89"/>
    </row>
    <row r="708" spans="10:15" ht="15.75" customHeight="1">
      <c r="J708" s="262"/>
      <c r="N708" s="89"/>
      <c r="O708" s="89"/>
    </row>
    <row r="709" spans="10:15" ht="15.75" customHeight="1">
      <c r="J709" s="262"/>
      <c r="N709" s="89"/>
      <c r="O709" s="89"/>
    </row>
    <row r="710" spans="10:15" ht="15.75" customHeight="1">
      <c r="J710" s="262"/>
      <c r="N710" s="89"/>
      <c r="O710" s="89"/>
    </row>
    <row r="711" spans="10:15" ht="15.75" customHeight="1">
      <c r="J711" s="262"/>
      <c r="N711" s="89"/>
      <c r="O711" s="89"/>
    </row>
    <row r="712" spans="10:15" ht="15.75" customHeight="1">
      <c r="J712" s="262"/>
      <c r="N712" s="89"/>
      <c r="O712" s="89"/>
    </row>
    <row r="713" spans="10:15" ht="15.75" customHeight="1">
      <c r="J713" s="262"/>
      <c r="N713" s="89"/>
      <c r="O713" s="89"/>
    </row>
    <row r="714" spans="10:15" ht="15.75" customHeight="1">
      <c r="J714" s="262"/>
      <c r="N714" s="89"/>
      <c r="O714" s="89"/>
    </row>
    <row r="715" spans="10:15" ht="15.75" customHeight="1">
      <c r="J715" s="262"/>
      <c r="N715" s="89"/>
      <c r="O715" s="89"/>
    </row>
    <row r="716" spans="10:15" ht="15.75" customHeight="1">
      <c r="J716" s="262"/>
      <c r="N716" s="89"/>
      <c r="O716" s="89"/>
    </row>
    <row r="717" spans="10:15" ht="15.75" customHeight="1">
      <c r="J717" s="262"/>
      <c r="N717" s="89"/>
      <c r="O717" s="89"/>
    </row>
    <row r="718" spans="10:15" ht="15.75" customHeight="1">
      <c r="J718" s="262"/>
      <c r="N718" s="89"/>
      <c r="O718" s="89"/>
    </row>
    <row r="719" spans="10:15" ht="15.75" customHeight="1">
      <c r="J719" s="262"/>
      <c r="N719" s="89"/>
      <c r="O719" s="89"/>
    </row>
    <row r="720" spans="10:15" ht="15.75" customHeight="1">
      <c r="J720" s="262"/>
      <c r="N720" s="89"/>
      <c r="O720" s="89"/>
    </row>
    <row r="721" spans="10:15" ht="15.75" customHeight="1">
      <c r="J721" s="262"/>
      <c r="N721" s="89"/>
      <c r="O721" s="89"/>
    </row>
    <row r="722" spans="10:15" ht="15.75" customHeight="1">
      <c r="J722" s="262"/>
      <c r="N722" s="89"/>
      <c r="O722" s="89"/>
    </row>
    <row r="723" spans="10:15" ht="15.75" customHeight="1">
      <c r="J723" s="262"/>
      <c r="N723" s="89"/>
      <c r="O723" s="89"/>
    </row>
    <row r="724" spans="10:15" ht="15.75" customHeight="1">
      <c r="J724" s="262"/>
      <c r="N724" s="89"/>
      <c r="O724" s="89"/>
    </row>
    <row r="725" spans="10:15" ht="15.75" customHeight="1">
      <c r="J725" s="262"/>
      <c r="N725" s="89"/>
      <c r="O725" s="89"/>
    </row>
    <row r="726" spans="10:15" ht="15.75" customHeight="1">
      <c r="J726" s="262"/>
      <c r="N726" s="89"/>
      <c r="O726" s="89"/>
    </row>
    <row r="727" spans="10:15" ht="15.75" customHeight="1">
      <c r="J727" s="262"/>
      <c r="N727" s="89"/>
      <c r="O727" s="89"/>
    </row>
    <row r="728" spans="10:15" ht="15.75" customHeight="1">
      <c r="J728" s="262"/>
      <c r="N728" s="89"/>
      <c r="O728" s="89"/>
    </row>
    <row r="729" spans="10:15" ht="15.75" customHeight="1">
      <c r="J729" s="262"/>
      <c r="N729" s="89"/>
      <c r="O729" s="89"/>
    </row>
    <row r="730" spans="10:15" ht="15.75" customHeight="1">
      <c r="J730" s="262"/>
      <c r="N730" s="89"/>
      <c r="O730" s="89"/>
    </row>
    <row r="731" spans="10:15" ht="15.75" customHeight="1">
      <c r="J731" s="262"/>
      <c r="N731" s="89"/>
      <c r="O731" s="89"/>
    </row>
    <row r="732" spans="10:15" ht="15.75" customHeight="1">
      <c r="J732" s="262"/>
      <c r="N732" s="89"/>
      <c r="O732" s="89"/>
    </row>
    <row r="733" spans="10:15" ht="15.75" customHeight="1">
      <c r="J733" s="262"/>
      <c r="N733" s="89"/>
      <c r="O733" s="89"/>
    </row>
    <row r="734" spans="10:15" ht="15.75" customHeight="1">
      <c r="J734" s="262"/>
      <c r="N734" s="89"/>
      <c r="O734" s="89"/>
    </row>
    <row r="735" spans="10:15" ht="15.75" customHeight="1">
      <c r="J735" s="262"/>
      <c r="N735" s="89"/>
      <c r="O735" s="89"/>
    </row>
    <row r="736" spans="10:15" ht="15.75" customHeight="1">
      <c r="J736" s="262"/>
      <c r="N736" s="89"/>
      <c r="O736" s="89"/>
    </row>
    <row r="737" spans="10:15" ht="15.75" customHeight="1">
      <c r="J737" s="262"/>
      <c r="N737" s="89"/>
      <c r="O737" s="89"/>
    </row>
    <row r="738" spans="10:15" ht="15.75" customHeight="1">
      <c r="J738" s="262"/>
      <c r="N738" s="89"/>
      <c r="O738" s="89"/>
    </row>
    <row r="739" spans="10:15" ht="15.75" customHeight="1">
      <c r="J739" s="262"/>
      <c r="N739" s="89"/>
      <c r="O739" s="89"/>
    </row>
    <row r="740" spans="10:15" ht="15.75" customHeight="1">
      <c r="J740" s="262"/>
      <c r="N740" s="89"/>
      <c r="O740" s="89"/>
    </row>
    <row r="741" spans="10:15" ht="15.75" customHeight="1">
      <c r="J741" s="262"/>
      <c r="N741" s="89"/>
      <c r="O741" s="89"/>
    </row>
    <row r="742" spans="10:15" ht="15.75" customHeight="1">
      <c r="J742" s="262"/>
      <c r="N742" s="89"/>
      <c r="O742" s="89"/>
    </row>
    <row r="743" spans="10:15" ht="15.75" customHeight="1">
      <c r="J743" s="262"/>
      <c r="N743" s="89"/>
      <c r="O743" s="89"/>
    </row>
    <row r="744" spans="10:15" ht="15.75" customHeight="1">
      <c r="J744" s="262"/>
      <c r="N744" s="89"/>
      <c r="O744" s="89"/>
    </row>
    <row r="745" spans="10:15" ht="15.75" customHeight="1">
      <c r="J745" s="262"/>
      <c r="N745" s="89"/>
      <c r="O745" s="89"/>
    </row>
    <row r="746" spans="10:15" ht="15.75" customHeight="1">
      <c r="J746" s="262"/>
      <c r="N746" s="89"/>
      <c r="O746" s="89"/>
    </row>
    <row r="747" spans="10:15" ht="15.75" customHeight="1">
      <c r="J747" s="262"/>
      <c r="N747" s="89"/>
      <c r="O747" s="89"/>
    </row>
    <row r="748" spans="10:15" ht="15.75" customHeight="1">
      <c r="J748" s="262"/>
      <c r="N748" s="89"/>
      <c r="O748" s="89"/>
    </row>
    <row r="749" spans="10:15" ht="15.75" customHeight="1">
      <c r="J749" s="262"/>
      <c r="N749" s="89"/>
      <c r="O749" s="89"/>
    </row>
    <row r="750" spans="10:15" ht="15.75" customHeight="1">
      <c r="J750" s="262"/>
      <c r="N750" s="89"/>
      <c r="O750" s="89"/>
    </row>
    <row r="751" spans="10:15" ht="15.75" customHeight="1">
      <c r="J751" s="262"/>
      <c r="N751" s="89"/>
      <c r="O751" s="89"/>
    </row>
    <row r="752" spans="10:15" ht="15.75" customHeight="1">
      <c r="J752" s="262"/>
      <c r="N752" s="89"/>
      <c r="O752" s="89"/>
    </row>
    <row r="753" spans="10:15" ht="15.75" customHeight="1">
      <c r="J753" s="262"/>
      <c r="N753" s="89"/>
      <c r="O753" s="89"/>
    </row>
    <row r="754" spans="10:15" ht="15.75" customHeight="1">
      <c r="J754" s="262"/>
      <c r="N754" s="89"/>
      <c r="O754" s="89"/>
    </row>
    <row r="755" spans="10:15" ht="15.75" customHeight="1">
      <c r="J755" s="262"/>
      <c r="N755" s="89"/>
      <c r="O755" s="89"/>
    </row>
    <row r="756" spans="10:15" ht="15.75" customHeight="1">
      <c r="J756" s="262"/>
      <c r="N756" s="89"/>
      <c r="O756" s="89"/>
    </row>
    <row r="757" spans="10:15" ht="15.75" customHeight="1">
      <c r="J757" s="262"/>
      <c r="N757" s="89"/>
      <c r="O757" s="89"/>
    </row>
    <row r="758" spans="10:15" ht="15.75" customHeight="1">
      <c r="J758" s="262"/>
      <c r="N758" s="89"/>
      <c r="O758" s="89"/>
    </row>
    <row r="759" spans="10:15" ht="15.75" customHeight="1">
      <c r="J759" s="262"/>
      <c r="N759" s="89"/>
      <c r="O759" s="89"/>
    </row>
    <row r="760" spans="10:15" ht="15.75" customHeight="1">
      <c r="J760" s="262"/>
      <c r="N760" s="89"/>
      <c r="O760" s="89"/>
    </row>
    <row r="761" spans="10:15" ht="15.75" customHeight="1">
      <c r="J761" s="262"/>
      <c r="N761" s="89"/>
      <c r="O761" s="89"/>
    </row>
    <row r="762" spans="10:15" ht="15.75" customHeight="1">
      <c r="J762" s="262"/>
      <c r="N762" s="89"/>
      <c r="O762" s="89"/>
    </row>
    <row r="763" spans="10:15" ht="15.75" customHeight="1">
      <c r="J763" s="262"/>
      <c r="N763" s="89"/>
      <c r="O763" s="89"/>
    </row>
    <row r="764" spans="10:15" ht="15.75" customHeight="1">
      <c r="J764" s="262"/>
      <c r="N764" s="89"/>
      <c r="O764" s="89"/>
    </row>
    <row r="765" spans="10:15" ht="15.75" customHeight="1">
      <c r="J765" s="262"/>
      <c r="N765" s="89"/>
      <c r="O765" s="89"/>
    </row>
    <row r="766" spans="10:15" ht="15.75" customHeight="1">
      <c r="J766" s="262"/>
      <c r="N766" s="89"/>
      <c r="O766" s="89"/>
    </row>
    <row r="767" spans="10:15" ht="15.75" customHeight="1">
      <c r="J767" s="262"/>
      <c r="N767" s="89"/>
      <c r="O767" s="89"/>
    </row>
    <row r="768" spans="10:15" ht="15.75" customHeight="1">
      <c r="J768" s="262"/>
      <c r="N768" s="89"/>
      <c r="O768" s="89"/>
    </row>
    <row r="769" spans="10:15" ht="15.75" customHeight="1">
      <c r="J769" s="262"/>
      <c r="N769" s="89"/>
      <c r="O769" s="89"/>
    </row>
    <row r="770" spans="10:15" ht="15.75" customHeight="1">
      <c r="J770" s="262"/>
      <c r="N770" s="89"/>
      <c r="O770" s="89"/>
    </row>
    <row r="771" spans="10:15" ht="15.75" customHeight="1">
      <c r="J771" s="262"/>
      <c r="N771" s="89"/>
      <c r="O771" s="89"/>
    </row>
    <row r="772" spans="10:15" ht="15.75" customHeight="1">
      <c r="J772" s="262"/>
      <c r="N772" s="89"/>
      <c r="O772" s="89"/>
    </row>
    <row r="773" spans="10:15" ht="15.75" customHeight="1">
      <c r="J773" s="262"/>
      <c r="N773" s="89"/>
      <c r="O773" s="89"/>
    </row>
    <row r="774" spans="10:15" ht="15.75" customHeight="1">
      <c r="J774" s="262"/>
      <c r="N774" s="89"/>
      <c r="O774" s="89"/>
    </row>
    <row r="775" spans="10:15" ht="15.75" customHeight="1">
      <c r="J775" s="262"/>
      <c r="N775" s="89"/>
      <c r="O775" s="89"/>
    </row>
    <row r="776" spans="10:15" ht="15.75" customHeight="1">
      <c r="J776" s="262"/>
      <c r="N776" s="89"/>
      <c r="O776" s="89"/>
    </row>
    <row r="777" spans="10:15" ht="15.75" customHeight="1">
      <c r="J777" s="262"/>
      <c r="N777" s="89"/>
      <c r="O777" s="89"/>
    </row>
    <row r="778" spans="10:15" ht="15.75" customHeight="1">
      <c r="J778" s="262"/>
      <c r="N778" s="89"/>
      <c r="O778" s="89"/>
    </row>
    <row r="779" spans="10:15" ht="15.75" customHeight="1">
      <c r="J779" s="262"/>
      <c r="N779" s="89"/>
      <c r="O779" s="89"/>
    </row>
    <row r="780" spans="10:15" ht="15.75" customHeight="1">
      <c r="J780" s="262"/>
      <c r="N780" s="89"/>
      <c r="O780" s="89"/>
    </row>
    <row r="781" spans="10:15" ht="15.75" customHeight="1">
      <c r="J781" s="262"/>
      <c r="N781" s="89"/>
      <c r="O781" s="89"/>
    </row>
    <row r="782" spans="10:15" ht="15.75" customHeight="1">
      <c r="J782" s="262"/>
      <c r="N782" s="89"/>
      <c r="O782" s="89"/>
    </row>
    <row r="783" spans="10:15" ht="15.75" customHeight="1">
      <c r="J783" s="262"/>
      <c r="N783" s="89"/>
      <c r="O783" s="89"/>
    </row>
    <row r="784" spans="10:15" ht="15.75" customHeight="1">
      <c r="J784" s="262"/>
      <c r="N784" s="89"/>
      <c r="O784" s="89"/>
    </row>
    <row r="785" spans="10:15" ht="15.75" customHeight="1">
      <c r="J785" s="262"/>
      <c r="N785" s="89"/>
      <c r="O785" s="89"/>
    </row>
    <row r="786" spans="10:15" ht="15.75" customHeight="1">
      <c r="J786" s="262"/>
      <c r="N786" s="89"/>
      <c r="O786" s="89"/>
    </row>
    <row r="787" spans="10:15" ht="15.75" customHeight="1">
      <c r="J787" s="262"/>
      <c r="N787" s="89"/>
      <c r="O787" s="89"/>
    </row>
    <row r="788" spans="10:15" ht="15.75" customHeight="1">
      <c r="J788" s="262"/>
      <c r="N788" s="89"/>
      <c r="O788" s="89"/>
    </row>
    <row r="789" spans="10:15" ht="15.75" customHeight="1">
      <c r="J789" s="262"/>
      <c r="N789" s="89"/>
      <c r="O789" s="89"/>
    </row>
    <row r="790" spans="10:15" ht="15.75" customHeight="1">
      <c r="J790" s="262"/>
      <c r="N790" s="89"/>
      <c r="O790" s="89"/>
    </row>
    <row r="791" spans="10:15" ht="15.75" customHeight="1">
      <c r="J791" s="262"/>
      <c r="N791" s="89"/>
      <c r="O791" s="89"/>
    </row>
    <row r="792" spans="10:15" ht="15.75" customHeight="1">
      <c r="J792" s="262"/>
      <c r="N792" s="89"/>
      <c r="O792" s="89"/>
    </row>
    <row r="793" spans="10:15" ht="15.75" customHeight="1">
      <c r="J793" s="262"/>
      <c r="N793" s="89"/>
      <c r="O793" s="89"/>
    </row>
    <row r="794" spans="10:15" ht="15.75" customHeight="1">
      <c r="J794" s="262"/>
      <c r="N794" s="89"/>
      <c r="O794" s="89"/>
    </row>
    <row r="795" spans="10:15" ht="15.75" customHeight="1">
      <c r="J795" s="262"/>
      <c r="N795" s="89"/>
      <c r="O795" s="89"/>
    </row>
    <row r="796" spans="10:15" ht="15.75" customHeight="1">
      <c r="J796" s="262"/>
      <c r="N796" s="89"/>
      <c r="O796" s="89"/>
    </row>
    <row r="797" spans="10:15" ht="15.75" customHeight="1">
      <c r="J797" s="262"/>
      <c r="N797" s="89"/>
      <c r="O797" s="89"/>
    </row>
    <row r="798" spans="10:15" ht="15.75" customHeight="1">
      <c r="J798" s="262"/>
      <c r="N798" s="89"/>
      <c r="O798" s="89"/>
    </row>
    <row r="799" spans="10:15" ht="15.75" customHeight="1">
      <c r="J799" s="262"/>
      <c r="N799" s="89"/>
      <c r="O799" s="89"/>
    </row>
    <row r="800" spans="10:15" ht="15.75" customHeight="1">
      <c r="J800" s="262"/>
      <c r="N800" s="89"/>
      <c r="O800" s="89"/>
    </row>
    <row r="801" spans="10:15" ht="15.75" customHeight="1">
      <c r="J801" s="262"/>
      <c r="N801" s="89"/>
      <c r="O801" s="89"/>
    </row>
    <row r="802" spans="10:15" ht="15.75" customHeight="1">
      <c r="J802" s="262"/>
      <c r="N802" s="89"/>
      <c r="O802" s="89"/>
    </row>
    <row r="803" spans="10:15" ht="15.75" customHeight="1">
      <c r="J803" s="262"/>
      <c r="N803" s="89"/>
      <c r="O803" s="89"/>
    </row>
    <row r="804" spans="10:15" ht="15.75" customHeight="1">
      <c r="J804" s="262"/>
      <c r="N804" s="89"/>
      <c r="O804" s="89"/>
    </row>
    <row r="805" spans="10:15" ht="15.75" customHeight="1">
      <c r="J805" s="262"/>
      <c r="N805" s="89"/>
      <c r="O805" s="89"/>
    </row>
    <row r="806" spans="10:15" ht="15.75" customHeight="1">
      <c r="J806" s="262"/>
      <c r="N806" s="89"/>
      <c r="O806" s="89"/>
    </row>
    <row r="807" spans="10:15" ht="15.75" customHeight="1">
      <c r="J807" s="262"/>
      <c r="N807" s="89"/>
      <c r="O807" s="89"/>
    </row>
    <row r="808" spans="10:15" ht="15.75" customHeight="1">
      <c r="J808" s="262"/>
      <c r="N808" s="89"/>
      <c r="O808" s="89"/>
    </row>
    <row r="809" spans="10:15" ht="15.75" customHeight="1">
      <c r="J809" s="262"/>
      <c r="N809" s="89"/>
      <c r="O809" s="89"/>
    </row>
    <row r="810" spans="10:15" ht="15.75" customHeight="1">
      <c r="J810" s="262"/>
      <c r="N810" s="89"/>
      <c r="O810" s="89"/>
    </row>
    <row r="811" spans="10:15" ht="15.75" customHeight="1">
      <c r="J811" s="262"/>
      <c r="N811" s="89"/>
      <c r="O811" s="89"/>
    </row>
    <row r="812" spans="10:15" ht="15.75" customHeight="1">
      <c r="J812" s="262"/>
      <c r="N812" s="89"/>
      <c r="O812" s="89"/>
    </row>
    <row r="813" spans="10:15" ht="15.75" customHeight="1">
      <c r="J813" s="262"/>
      <c r="N813" s="89"/>
      <c r="O813" s="89"/>
    </row>
    <row r="814" spans="10:15" ht="15.75" customHeight="1">
      <c r="J814" s="262"/>
      <c r="N814" s="89"/>
      <c r="O814" s="89"/>
    </row>
    <row r="815" spans="10:15" ht="15.75" customHeight="1">
      <c r="J815" s="262"/>
      <c r="N815" s="89"/>
      <c r="O815" s="89"/>
    </row>
    <row r="816" spans="10:15" ht="15.75" customHeight="1">
      <c r="J816" s="262"/>
      <c r="N816" s="89"/>
      <c r="O816" s="89"/>
    </row>
    <row r="817" spans="10:15" ht="15.75" customHeight="1">
      <c r="J817" s="262"/>
      <c r="N817" s="89"/>
      <c r="O817" s="89"/>
    </row>
    <row r="818" spans="10:15" ht="15.75" customHeight="1">
      <c r="J818" s="262"/>
      <c r="N818" s="89"/>
      <c r="O818" s="89"/>
    </row>
    <row r="819" spans="10:15" ht="15.75" customHeight="1">
      <c r="J819" s="262"/>
      <c r="N819" s="89"/>
      <c r="O819" s="89"/>
    </row>
    <row r="820" spans="10:15" ht="15.75" customHeight="1">
      <c r="J820" s="262"/>
      <c r="N820" s="89"/>
      <c r="O820" s="89"/>
    </row>
    <row r="821" spans="10:15" ht="15.75" customHeight="1">
      <c r="J821" s="262"/>
      <c r="N821" s="89"/>
      <c r="O821" s="89"/>
    </row>
    <row r="822" spans="10:15" ht="15.75" customHeight="1">
      <c r="J822" s="262"/>
      <c r="N822" s="89"/>
      <c r="O822" s="89"/>
    </row>
    <row r="823" spans="10:15" ht="15.75" customHeight="1">
      <c r="J823" s="262"/>
      <c r="N823" s="89"/>
      <c r="O823" s="89"/>
    </row>
    <row r="824" spans="10:15" ht="15.75" customHeight="1">
      <c r="J824" s="262"/>
      <c r="N824" s="89"/>
      <c r="O824" s="89"/>
    </row>
    <row r="825" spans="10:15" ht="15.75" customHeight="1">
      <c r="J825" s="262"/>
      <c r="N825" s="89"/>
      <c r="O825" s="89"/>
    </row>
    <row r="826" spans="10:15" ht="15.75" customHeight="1">
      <c r="J826" s="262"/>
      <c r="N826" s="89"/>
      <c r="O826" s="89"/>
    </row>
    <row r="827" spans="10:15" ht="15.75" customHeight="1">
      <c r="J827" s="262"/>
      <c r="N827" s="89"/>
      <c r="O827" s="89"/>
    </row>
    <row r="828" spans="10:15" ht="15.75" customHeight="1">
      <c r="J828" s="262"/>
      <c r="N828" s="89"/>
      <c r="O828" s="89"/>
    </row>
    <row r="829" spans="10:15" ht="15.75" customHeight="1">
      <c r="J829" s="262"/>
      <c r="N829" s="89"/>
      <c r="O829" s="89"/>
    </row>
    <row r="830" spans="10:15" ht="15.75" customHeight="1">
      <c r="J830" s="262"/>
      <c r="N830" s="89"/>
      <c r="O830" s="89"/>
    </row>
    <row r="831" spans="10:15" ht="15.75" customHeight="1">
      <c r="J831" s="262"/>
      <c r="N831" s="89"/>
      <c r="O831" s="89"/>
    </row>
    <row r="832" spans="10:15" ht="15.75" customHeight="1">
      <c r="J832" s="262"/>
      <c r="N832" s="89"/>
      <c r="O832" s="89"/>
    </row>
    <row r="833" spans="10:15" ht="15.75" customHeight="1">
      <c r="J833" s="262"/>
      <c r="N833" s="89"/>
      <c r="O833" s="89"/>
    </row>
    <row r="834" spans="10:15" ht="15.75" customHeight="1">
      <c r="J834" s="262"/>
      <c r="N834" s="89"/>
      <c r="O834" s="89"/>
    </row>
    <row r="835" spans="10:15" ht="15.75" customHeight="1">
      <c r="J835" s="262"/>
      <c r="N835" s="89"/>
      <c r="O835" s="89"/>
    </row>
    <row r="836" spans="10:15" ht="15.75" customHeight="1">
      <c r="J836" s="262"/>
      <c r="N836" s="89"/>
      <c r="O836" s="89"/>
    </row>
    <row r="837" spans="10:15" ht="15.75" customHeight="1">
      <c r="J837" s="262"/>
      <c r="N837" s="89"/>
      <c r="O837" s="89"/>
    </row>
    <row r="838" spans="10:15" ht="15.75" customHeight="1">
      <c r="J838" s="262"/>
      <c r="N838" s="89"/>
      <c r="O838" s="89"/>
    </row>
    <row r="839" spans="10:15" ht="15.75" customHeight="1">
      <c r="J839" s="262"/>
      <c r="N839" s="89"/>
      <c r="O839" s="89"/>
    </row>
  </sheetData>
  <mergeCells count="24">
    <mergeCell ref="A46:Q46"/>
    <mergeCell ref="A49:Q49"/>
    <mergeCell ref="A1:R3"/>
    <mergeCell ref="A4:R4"/>
    <mergeCell ref="A5:R5"/>
    <mergeCell ref="A6:R6"/>
    <mergeCell ref="B7:Q7"/>
    <mergeCell ref="A8:R8"/>
    <mergeCell ref="R9:R10"/>
    <mergeCell ref="A9:A10"/>
    <mergeCell ref="A11:Q11"/>
    <mergeCell ref="A15:Q15"/>
    <mergeCell ref="A19:Q19"/>
    <mergeCell ref="A34:Q34"/>
    <mergeCell ref="M9:M10"/>
    <mergeCell ref="N9:N10"/>
    <mergeCell ref="O9:O10"/>
    <mergeCell ref="P9:P10"/>
    <mergeCell ref="Q9:Q10"/>
    <mergeCell ref="B9:B10"/>
    <mergeCell ref="C9:C10"/>
    <mergeCell ref="F9:H9"/>
    <mergeCell ref="I9:I10"/>
    <mergeCell ref="J9:J10"/>
  </mergeCells>
  <pageMargins left="0.70866141732283472" right="0.31496062992125984" top="0.74803149606299213" bottom="0.74803149606299213" header="0" footer="0"/>
  <pageSetup paperSize="14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M969"/>
  <sheetViews>
    <sheetView workbookViewId="0"/>
  </sheetViews>
  <sheetFormatPr defaultColWidth="14.44140625" defaultRowHeight="15" customHeight="1"/>
  <cols>
    <col min="1" max="1" width="4.109375" customWidth="1"/>
    <col min="2" max="2" width="29.5546875" customWidth="1"/>
    <col min="7" max="7" width="16.109375" customWidth="1"/>
    <col min="8" max="8" width="21.88671875" customWidth="1"/>
    <col min="9" max="9" width="19.88671875" customWidth="1"/>
    <col min="11" max="11" width="29.88671875" hidden="1" customWidth="1"/>
    <col min="12" max="12" width="35.6640625" customWidth="1"/>
    <col min="13" max="13" width="25.44140625" customWidth="1"/>
  </cols>
  <sheetData>
    <row r="1" spans="1:13" ht="14.4">
      <c r="A1" s="683" t="s">
        <v>246</v>
      </c>
      <c r="B1" s="671"/>
      <c r="C1" s="671"/>
      <c r="D1" s="671"/>
      <c r="E1" s="671"/>
      <c r="F1" s="671"/>
      <c r="G1" s="671"/>
      <c r="H1" s="671"/>
      <c r="I1" s="671"/>
      <c r="J1" s="672"/>
    </row>
    <row r="2" spans="1:13" ht="14.4">
      <c r="A2" s="675"/>
      <c r="B2" s="676"/>
      <c r="C2" s="676"/>
      <c r="D2" s="676"/>
      <c r="E2" s="676"/>
      <c r="F2" s="676"/>
      <c r="G2" s="676"/>
      <c r="H2" s="676"/>
      <c r="I2" s="676"/>
      <c r="J2" s="677"/>
    </row>
    <row r="3" spans="1:13" ht="15.6">
      <c r="A3" s="684"/>
      <c r="B3" s="685" t="s">
        <v>815</v>
      </c>
      <c r="C3" s="685" t="s">
        <v>42</v>
      </c>
      <c r="D3" s="685" t="s">
        <v>541</v>
      </c>
      <c r="E3" s="685" t="s">
        <v>816</v>
      </c>
      <c r="F3" s="685" t="s">
        <v>817</v>
      </c>
      <c r="G3" s="686" t="s">
        <v>44</v>
      </c>
      <c r="H3" s="656"/>
      <c r="I3" s="657"/>
      <c r="J3" s="685" t="s">
        <v>48</v>
      </c>
    </row>
    <row r="4" spans="1:13" ht="15.6">
      <c r="A4" s="646"/>
      <c r="B4" s="646"/>
      <c r="C4" s="646"/>
      <c r="D4" s="646"/>
      <c r="E4" s="646"/>
      <c r="F4" s="646"/>
      <c r="G4" s="142" t="s">
        <v>654</v>
      </c>
      <c r="H4" s="142" t="s">
        <v>655</v>
      </c>
      <c r="I4" s="142" t="s">
        <v>656</v>
      </c>
      <c r="J4" s="646"/>
    </row>
    <row r="5" spans="1:13" ht="16.2">
      <c r="A5" s="143">
        <v>1</v>
      </c>
      <c r="B5" s="144" t="s">
        <v>605</v>
      </c>
      <c r="C5" s="144" t="s">
        <v>120</v>
      </c>
      <c r="D5" s="263">
        <f>F5/1.2</f>
        <v>35097</v>
      </c>
      <c r="E5" s="263">
        <f t="shared" ref="E5:E6" si="0">D5*0.2</f>
        <v>7019.4000000000005</v>
      </c>
      <c r="F5" s="263">
        <v>42116.4</v>
      </c>
      <c r="G5" s="144" t="s">
        <v>141</v>
      </c>
      <c r="H5" s="144" t="s">
        <v>142</v>
      </c>
      <c r="I5" s="144" t="s">
        <v>143</v>
      </c>
      <c r="J5" s="692" t="s">
        <v>455</v>
      </c>
      <c r="K5" s="33" t="str">
        <f t="shared" ref="K5:K6" si="1">CONCATENATE(G5,","," ",H5," ",LEFT(I5,1),".")</f>
        <v>AGAOID, EDISON S.</v>
      </c>
      <c r="L5" s="32" t="str">
        <f t="shared" ref="L5:L6" si="2">CONCATENATE(G5,",", " ",H5," ", LEFT(I5,1),".",)</f>
        <v>AGAOID, EDISON S.</v>
      </c>
      <c r="M5" s="33" t="s">
        <v>824</v>
      </c>
    </row>
    <row r="6" spans="1:13" ht="16.2">
      <c r="A6" s="143">
        <f t="shared" ref="A6:A47" si="3">1+A5</f>
        <v>2</v>
      </c>
      <c r="B6" s="144" t="s">
        <v>605</v>
      </c>
      <c r="C6" s="144" t="s">
        <v>120</v>
      </c>
      <c r="D6" s="263">
        <f>D5</f>
        <v>35097</v>
      </c>
      <c r="E6" s="263">
        <f t="shared" si="0"/>
        <v>7019.4000000000005</v>
      </c>
      <c r="F6" s="263">
        <v>42116.4</v>
      </c>
      <c r="G6" s="144" t="s">
        <v>336</v>
      </c>
      <c r="H6" s="144" t="s">
        <v>337</v>
      </c>
      <c r="I6" s="144" t="s">
        <v>787</v>
      </c>
      <c r="J6" s="662"/>
      <c r="K6" s="33" t="str">
        <f t="shared" si="1"/>
        <v>BAQUIRAN, MAR ELVISON A.</v>
      </c>
      <c r="L6" s="32" t="str">
        <f t="shared" si="2"/>
        <v>BAQUIRAN, MAR ELVISON A.</v>
      </c>
      <c r="M6" s="33" t="s">
        <v>818</v>
      </c>
    </row>
    <row r="7" spans="1:13" ht="15.6">
      <c r="A7" s="143">
        <f t="shared" si="3"/>
        <v>3</v>
      </c>
      <c r="B7" s="144" t="s">
        <v>864</v>
      </c>
      <c r="C7" s="148">
        <v>45505</v>
      </c>
      <c r="D7" s="145">
        <v>18998</v>
      </c>
      <c r="E7" s="145">
        <v>3799.6000000000004</v>
      </c>
      <c r="F7" s="145">
        <v>22797.599999999999</v>
      </c>
      <c r="G7" s="150" t="s">
        <v>408</v>
      </c>
      <c r="H7" s="150" t="s">
        <v>409</v>
      </c>
      <c r="I7" s="150" t="s">
        <v>410</v>
      </c>
      <c r="J7" s="662"/>
      <c r="K7" s="33" t="str">
        <f>CONCATENATE(G47,","," ",H47," ",LEFT(I47,1),".")</f>
        <v>MONTES, MARIZA NOVA M.</v>
      </c>
      <c r="L7" s="140" t="s">
        <v>826</v>
      </c>
      <c r="M7" s="33" t="s">
        <v>821</v>
      </c>
    </row>
    <row r="8" spans="1:13" ht="16.2">
      <c r="A8" s="143">
        <f t="shared" si="3"/>
        <v>4</v>
      </c>
      <c r="B8" s="144" t="s">
        <v>820</v>
      </c>
      <c r="C8" s="148">
        <v>45505</v>
      </c>
      <c r="D8" s="263">
        <v>18998</v>
      </c>
      <c r="E8" s="263">
        <f t="shared" ref="E8:E37" si="4">D8*0.2</f>
        <v>3799.6000000000004</v>
      </c>
      <c r="F8" s="263">
        <f t="shared" ref="F8:F10" si="5">E8+D8</f>
        <v>22797.599999999999</v>
      </c>
      <c r="G8" s="150" t="s">
        <v>852</v>
      </c>
      <c r="H8" s="150" t="s">
        <v>853</v>
      </c>
      <c r="I8" s="150" t="s">
        <v>854</v>
      </c>
      <c r="J8" s="662"/>
      <c r="K8" s="33" t="str">
        <f>CONCATENATE(G8,","," ",H8," ",LEFT(I8,1),".")</f>
        <v>PASCUAL, HAROLD P.</v>
      </c>
      <c r="L8" s="32" t="str">
        <f>CONCATENATE(G8,",", " ",H8," ", LEFT(I8,1),".",)</f>
        <v>PASCUAL, HAROLD P.</v>
      </c>
      <c r="M8" s="33" t="s">
        <v>819</v>
      </c>
    </row>
    <row r="9" spans="1:13" ht="18.600000000000001">
      <c r="A9" s="143">
        <f t="shared" si="3"/>
        <v>5</v>
      </c>
      <c r="B9" s="79" t="s">
        <v>820</v>
      </c>
      <c r="C9" s="149">
        <v>45506</v>
      </c>
      <c r="D9" s="264">
        <v>18998</v>
      </c>
      <c r="E9" s="264">
        <f t="shared" si="4"/>
        <v>3799.6000000000004</v>
      </c>
      <c r="F9" s="264">
        <f t="shared" si="5"/>
        <v>22797.599999999999</v>
      </c>
      <c r="G9" s="150" t="s">
        <v>431</v>
      </c>
      <c r="H9" s="150" t="s">
        <v>432</v>
      </c>
      <c r="I9" s="150" t="s">
        <v>433</v>
      </c>
      <c r="J9" s="662"/>
      <c r="K9" s="88"/>
      <c r="L9" s="265" t="s">
        <v>855</v>
      </c>
      <c r="M9" s="88" t="s">
        <v>822</v>
      </c>
    </row>
    <row r="10" spans="1:13" ht="18.600000000000001">
      <c r="A10" s="143">
        <f t="shared" si="3"/>
        <v>6</v>
      </c>
      <c r="B10" s="79" t="s">
        <v>820</v>
      </c>
      <c r="C10" s="149">
        <v>45506</v>
      </c>
      <c r="D10" s="264">
        <v>18998</v>
      </c>
      <c r="E10" s="264">
        <f t="shared" si="4"/>
        <v>3799.6000000000004</v>
      </c>
      <c r="F10" s="264">
        <f t="shared" si="5"/>
        <v>22797.599999999999</v>
      </c>
      <c r="G10" s="150" t="s">
        <v>425</v>
      </c>
      <c r="H10" s="150" t="s">
        <v>426</v>
      </c>
      <c r="I10" s="150" t="s">
        <v>427</v>
      </c>
      <c r="J10" s="646"/>
      <c r="K10" s="88"/>
      <c r="L10" s="265" t="s">
        <v>856</v>
      </c>
      <c r="M10" s="266" t="s">
        <v>818</v>
      </c>
    </row>
    <row r="11" spans="1:13" ht="16.2">
      <c r="A11" s="143">
        <f t="shared" si="3"/>
        <v>7</v>
      </c>
      <c r="B11" s="144" t="s">
        <v>724</v>
      </c>
      <c r="C11" s="144" t="s">
        <v>120</v>
      </c>
      <c r="D11" s="263">
        <f t="shared" ref="D11:D28" si="6">F11/1.2</f>
        <v>35097</v>
      </c>
      <c r="E11" s="263">
        <f t="shared" si="4"/>
        <v>7019.4000000000005</v>
      </c>
      <c r="F11" s="263">
        <v>42116.4</v>
      </c>
      <c r="G11" s="150" t="s">
        <v>296</v>
      </c>
      <c r="H11" s="150" t="s">
        <v>297</v>
      </c>
      <c r="I11" s="150" t="s">
        <v>298</v>
      </c>
      <c r="J11" s="693" t="s">
        <v>299</v>
      </c>
      <c r="K11" s="33" t="str">
        <f t="shared" ref="K11:K25" si="7">CONCATENATE(G11,","," ",H11," ",LEFT(I11,1),".")</f>
        <v>CASUGA, RICA V.</v>
      </c>
      <c r="L11" s="32" t="str">
        <f t="shared" ref="L11:L38" si="8">CONCATENATE(G11,",", " ",H11," ", LEFT(I11,1),".",)</f>
        <v>CASUGA, RICA V.</v>
      </c>
      <c r="M11" s="33" t="s">
        <v>818</v>
      </c>
    </row>
    <row r="12" spans="1:13" ht="16.2">
      <c r="A12" s="143">
        <f t="shared" si="3"/>
        <v>8</v>
      </c>
      <c r="B12" s="144" t="s">
        <v>754</v>
      </c>
      <c r="C12" s="148">
        <v>45597</v>
      </c>
      <c r="D12" s="263">
        <f t="shared" si="6"/>
        <v>25439</v>
      </c>
      <c r="E12" s="263">
        <f t="shared" si="4"/>
        <v>5087.8</v>
      </c>
      <c r="F12" s="263">
        <v>30526.799999999999</v>
      </c>
      <c r="G12" s="150" t="s">
        <v>134</v>
      </c>
      <c r="H12" s="150" t="s">
        <v>135</v>
      </c>
      <c r="I12" s="150" t="s">
        <v>136</v>
      </c>
      <c r="J12" s="662"/>
      <c r="K12" s="33" t="str">
        <f t="shared" si="7"/>
        <v>BUENO, CHRISTINE JOYCE V.</v>
      </c>
      <c r="L12" s="32" t="str">
        <f t="shared" si="8"/>
        <v>BUENO, CHRISTINE JOYCE V.</v>
      </c>
      <c r="M12" s="33" t="s">
        <v>818</v>
      </c>
    </row>
    <row r="13" spans="1:13" ht="16.2">
      <c r="A13" s="143">
        <f t="shared" si="3"/>
        <v>9</v>
      </c>
      <c r="B13" s="144" t="s">
        <v>754</v>
      </c>
      <c r="C13" s="148">
        <v>45597</v>
      </c>
      <c r="D13" s="263">
        <f t="shared" si="6"/>
        <v>25439</v>
      </c>
      <c r="E13" s="263">
        <f t="shared" si="4"/>
        <v>5087.8</v>
      </c>
      <c r="F13" s="263">
        <v>30526.799999999999</v>
      </c>
      <c r="G13" s="150" t="s">
        <v>375</v>
      </c>
      <c r="H13" s="150" t="s">
        <v>376</v>
      </c>
      <c r="I13" s="150" t="s">
        <v>377</v>
      </c>
      <c r="J13" s="662"/>
      <c r="K13" s="33" t="str">
        <f t="shared" si="7"/>
        <v>DAWIDEO, SAMANTHA P.</v>
      </c>
      <c r="L13" s="32" t="str">
        <f t="shared" si="8"/>
        <v>DAWIDEO, SAMANTHA P.</v>
      </c>
      <c r="M13" s="33" t="s">
        <v>823</v>
      </c>
    </row>
    <row r="14" spans="1:13" ht="16.2">
      <c r="A14" s="143">
        <f t="shared" si="3"/>
        <v>10</v>
      </c>
      <c r="B14" s="144" t="s">
        <v>754</v>
      </c>
      <c r="C14" s="148">
        <v>45597</v>
      </c>
      <c r="D14" s="263">
        <f t="shared" si="6"/>
        <v>25439</v>
      </c>
      <c r="E14" s="263">
        <f t="shared" si="4"/>
        <v>5087.8</v>
      </c>
      <c r="F14" s="263">
        <v>30526.799999999999</v>
      </c>
      <c r="G14" s="150" t="s">
        <v>99</v>
      </c>
      <c r="H14" s="150" t="s">
        <v>370</v>
      </c>
      <c r="I14" s="150" t="s">
        <v>371</v>
      </c>
      <c r="J14" s="662"/>
      <c r="K14" s="33" t="str">
        <f t="shared" si="7"/>
        <v>DEL ROSARIO, JONATHAN F.</v>
      </c>
      <c r="L14" s="32" t="str">
        <f t="shared" si="8"/>
        <v>DEL ROSARIO, JONATHAN F.</v>
      </c>
      <c r="M14" s="33" t="s">
        <v>824</v>
      </c>
    </row>
    <row r="15" spans="1:13" ht="16.2">
      <c r="A15" s="143">
        <f t="shared" si="3"/>
        <v>11</v>
      </c>
      <c r="B15" s="144" t="s">
        <v>754</v>
      </c>
      <c r="C15" s="148">
        <v>45597</v>
      </c>
      <c r="D15" s="263">
        <f t="shared" si="6"/>
        <v>25439</v>
      </c>
      <c r="E15" s="263">
        <f t="shared" si="4"/>
        <v>5087.8</v>
      </c>
      <c r="F15" s="263">
        <v>30526.799999999999</v>
      </c>
      <c r="G15" s="150" t="s">
        <v>366</v>
      </c>
      <c r="H15" s="150" t="s">
        <v>367</v>
      </c>
      <c r="I15" s="150" t="s">
        <v>89</v>
      </c>
      <c r="J15" s="662"/>
      <c r="K15" s="33" t="str">
        <f t="shared" si="7"/>
        <v>SAGAYDORO, SHERYL N.</v>
      </c>
      <c r="L15" s="32" t="str">
        <f t="shared" si="8"/>
        <v>SAGAYDORO, SHERYL N.</v>
      </c>
      <c r="M15" s="33" t="s">
        <v>819</v>
      </c>
    </row>
    <row r="16" spans="1:13" ht="16.2">
      <c r="A16" s="143">
        <f t="shared" si="3"/>
        <v>12</v>
      </c>
      <c r="B16" s="144" t="s">
        <v>754</v>
      </c>
      <c r="C16" s="148">
        <v>45597</v>
      </c>
      <c r="D16" s="263">
        <f t="shared" si="6"/>
        <v>25439</v>
      </c>
      <c r="E16" s="263">
        <f t="shared" si="4"/>
        <v>5087.8</v>
      </c>
      <c r="F16" s="263">
        <v>30526.799999999999</v>
      </c>
      <c r="G16" s="150" t="s">
        <v>363</v>
      </c>
      <c r="H16" s="150" t="s">
        <v>364</v>
      </c>
      <c r="I16" s="150" t="s">
        <v>365</v>
      </c>
      <c r="J16" s="646"/>
      <c r="K16" s="33" t="str">
        <f t="shared" si="7"/>
        <v>VALDEZ, MARIA KRISTINE T.</v>
      </c>
      <c r="L16" s="32" t="str">
        <f t="shared" si="8"/>
        <v>VALDEZ, MARIA KRISTINE T.</v>
      </c>
      <c r="M16" s="33" t="s">
        <v>819</v>
      </c>
    </row>
    <row r="17" spans="1:13" ht="16.2">
      <c r="A17" s="143">
        <f t="shared" si="3"/>
        <v>13</v>
      </c>
      <c r="B17" s="144" t="s">
        <v>724</v>
      </c>
      <c r="C17" s="144" t="s">
        <v>120</v>
      </c>
      <c r="D17" s="263">
        <f t="shared" si="6"/>
        <v>35097</v>
      </c>
      <c r="E17" s="263">
        <f t="shared" si="4"/>
        <v>7019.4000000000005</v>
      </c>
      <c r="F17" s="263">
        <v>42116.4</v>
      </c>
      <c r="G17" s="150" t="s">
        <v>128</v>
      </c>
      <c r="H17" s="150" t="s">
        <v>129</v>
      </c>
      <c r="I17" s="150" t="s">
        <v>130</v>
      </c>
      <c r="J17" s="694" t="s">
        <v>825</v>
      </c>
      <c r="K17" s="33" t="str">
        <f t="shared" si="7"/>
        <v>AMMASI, JAYFER T.</v>
      </c>
      <c r="L17" s="32" t="str">
        <f t="shared" si="8"/>
        <v>AMMASI, JAYFER T.</v>
      </c>
      <c r="M17" s="266" t="s">
        <v>818</v>
      </c>
    </row>
    <row r="18" spans="1:13" ht="16.2">
      <c r="A18" s="143">
        <f t="shared" si="3"/>
        <v>14</v>
      </c>
      <c r="B18" s="144" t="s">
        <v>724</v>
      </c>
      <c r="C18" s="144" t="s">
        <v>120</v>
      </c>
      <c r="D18" s="263">
        <f t="shared" si="6"/>
        <v>35097</v>
      </c>
      <c r="E18" s="263">
        <f t="shared" si="4"/>
        <v>7019.4000000000005</v>
      </c>
      <c r="F18" s="263">
        <v>42116.4</v>
      </c>
      <c r="G18" s="150" t="s">
        <v>309</v>
      </c>
      <c r="H18" s="150" t="s">
        <v>310</v>
      </c>
      <c r="I18" s="150" t="s">
        <v>311</v>
      </c>
      <c r="J18" s="646"/>
      <c r="K18" s="33" t="str">
        <f t="shared" si="7"/>
        <v>ANAPI, DEEJAY G.</v>
      </c>
      <c r="L18" s="32" t="str">
        <f t="shared" si="8"/>
        <v>ANAPI, DEEJAY G.</v>
      </c>
      <c r="M18" s="33" t="s">
        <v>822</v>
      </c>
    </row>
    <row r="19" spans="1:13" ht="16.2">
      <c r="A19" s="143">
        <f t="shared" si="3"/>
        <v>15</v>
      </c>
      <c r="B19" s="144" t="s">
        <v>724</v>
      </c>
      <c r="C19" s="144" t="s">
        <v>120</v>
      </c>
      <c r="D19" s="263">
        <f t="shared" si="6"/>
        <v>35097</v>
      </c>
      <c r="E19" s="263">
        <f t="shared" si="4"/>
        <v>7019.4000000000005</v>
      </c>
      <c r="F19" s="263">
        <v>42116.4</v>
      </c>
      <c r="G19" s="150" t="s">
        <v>101</v>
      </c>
      <c r="H19" s="150" t="s">
        <v>304</v>
      </c>
      <c r="I19" s="150" t="s">
        <v>305</v>
      </c>
      <c r="J19" s="695" t="s">
        <v>379</v>
      </c>
      <c r="K19" s="33" t="str">
        <f t="shared" si="7"/>
        <v>CALAYAN, KIMBERLY ANN B.</v>
      </c>
      <c r="L19" s="32" t="str">
        <f t="shared" si="8"/>
        <v>CALAYAN, KIMBERLY ANN B.</v>
      </c>
      <c r="M19" s="266" t="s">
        <v>818</v>
      </c>
    </row>
    <row r="20" spans="1:13" ht="16.2">
      <c r="A20" s="143">
        <f t="shared" si="3"/>
        <v>16</v>
      </c>
      <c r="B20" s="144" t="s">
        <v>754</v>
      </c>
      <c r="C20" s="148">
        <v>45597</v>
      </c>
      <c r="D20" s="263">
        <f t="shared" si="6"/>
        <v>25439</v>
      </c>
      <c r="E20" s="263">
        <f t="shared" si="4"/>
        <v>5087.8</v>
      </c>
      <c r="F20" s="263">
        <v>30526.799999999999</v>
      </c>
      <c r="G20" s="150" t="s">
        <v>849</v>
      </c>
      <c r="H20" s="150" t="s">
        <v>850</v>
      </c>
      <c r="I20" s="150" t="s">
        <v>851</v>
      </c>
      <c r="J20" s="646"/>
      <c r="K20" s="33" t="str">
        <f t="shared" si="7"/>
        <v>FIDEL, DONNA ANDREA D.</v>
      </c>
      <c r="L20" s="32" t="str">
        <f t="shared" si="8"/>
        <v>FIDEL, DONNA ANDREA D.</v>
      </c>
      <c r="M20" s="266" t="s">
        <v>818</v>
      </c>
    </row>
    <row r="21" spans="1:13" ht="16.2">
      <c r="A21" s="143">
        <f t="shared" si="3"/>
        <v>17</v>
      </c>
      <c r="B21" s="144" t="s">
        <v>274</v>
      </c>
      <c r="C21" s="144" t="s">
        <v>275</v>
      </c>
      <c r="D21" s="263">
        <f t="shared" si="6"/>
        <v>38150</v>
      </c>
      <c r="E21" s="263">
        <f t="shared" si="4"/>
        <v>7630</v>
      </c>
      <c r="F21" s="267">
        <v>45780</v>
      </c>
      <c r="G21" s="150" t="s">
        <v>111</v>
      </c>
      <c r="H21" s="150" t="s">
        <v>112</v>
      </c>
      <c r="I21" s="150" t="s">
        <v>101</v>
      </c>
      <c r="J21" s="268" t="s">
        <v>567</v>
      </c>
      <c r="K21" s="33" t="str">
        <f t="shared" si="7"/>
        <v>BATANG, JOHNY C.</v>
      </c>
      <c r="L21" s="32" t="str">
        <f t="shared" si="8"/>
        <v>BATANG, JOHNY C.</v>
      </c>
      <c r="M21" s="266" t="s">
        <v>818</v>
      </c>
    </row>
    <row r="22" spans="1:13" ht="16.2">
      <c r="A22" s="143">
        <f t="shared" si="3"/>
        <v>18</v>
      </c>
      <c r="B22" s="144" t="s">
        <v>245</v>
      </c>
      <c r="C22" s="144" t="s">
        <v>98</v>
      </c>
      <c r="D22" s="263">
        <f t="shared" si="6"/>
        <v>49835</v>
      </c>
      <c r="E22" s="263">
        <f t="shared" si="4"/>
        <v>9967</v>
      </c>
      <c r="F22" s="263">
        <v>59802</v>
      </c>
      <c r="G22" s="150" t="s">
        <v>114</v>
      </c>
      <c r="H22" s="150" t="s">
        <v>115</v>
      </c>
      <c r="I22" s="150" t="s">
        <v>116</v>
      </c>
      <c r="J22" s="696" t="s">
        <v>279</v>
      </c>
      <c r="K22" s="33" t="str">
        <f t="shared" si="7"/>
        <v>ELCHICO, JOEY MARK D.</v>
      </c>
      <c r="L22" s="32" t="str">
        <f t="shared" si="8"/>
        <v>ELCHICO, JOEY MARK D.</v>
      </c>
      <c r="M22" s="266" t="s">
        <v>818</v>
      </c>
    </row>
    <row r="23" spans="1:13" ht="16.2">
      <c r="A23" s="143">
        <f t="shared" si="3"/>
        <v>19</v>
      </c>
      <c r="B23" s="144" t="s">
        <v>274</v>
      </c>
      <c r="C23" s="144" t="s">
        <v>275</v>
      </c>
      <c r="D23" s="263">
        <f t="shared" si="6"/>
        <v>38150</v>
      </c>
      <c r="E23" s="263">
        <f t="shared" si="4"/>
        <v>7630</v>
      </c>
      <c r="F23" s="267">
        <v>45780</v>
      </c>
      <c r="G23" s="150" t="s">
        <v>276</v>
      </c>
      <c r="H23" s="150" t="s">
        <v>277</v>
      </c>
      <c r="I23" s="150" t="s">
        <v>278</v>
      </c>
      <c r="J23" s="662"/>
      <c r="K23" s="33" t="str">
        <f t="shared" si="7"/>
        <v>CEPEDA, CYRILL SHANE T.</v>
      </c>
      <c r="L23" s="32" t="str">
        <f t="shared" si="8"/>
        <v>CEPEDA, CYRILL SHANE T.</v>
      </c>
      <c r="M23" s="266" t="s">
        <v>818</v>
      </c>
    </row>
    <row r="24" spans="1:13" ht="16.2">
      <c r="A24" s="143">
        <f t="shared" si="3"/>
        <v>20</v>
      </c>
      <c r="B24" s="144" t="s">
        <v>274</v>
      </c>
      <c r="C24" s="144" t="s">
        <v>275</v>
      </c>
      <c r="D24" s="263">
        <f t="shared" si="6"/>
        <v>38150</v>
      </c>
      <c r="E24" s="263">
        <f t="shared" si="4"/>
        <v>7630</v>
      </c>
      <c r="F24" s="267">
        <v>45780</v>
      </c>
      <c r="G24" s="150" t="s">
        <v>300</v>
      </c>
      <c r="H24" s="150" t="s">
        <v>301</v>
      </c>
      <c r="I24" s="150" t="s">
        <v>302</v>
      </c>
      <c r="J24" s="662"/>
      <c r="K24" s="33" t="str">
        <f t="shared" si="7"/>
        <v>GUIMMAYEN, NEIL KRISTOPHER C.</v>
      </c>
      <c r="L24" s="32" t="str">
        <f t="shared" si="8"/>
        <v>GUIMMAYEN, NEIL KRISTOPHER C.</v>
      </c>
      <c r="M24" s="266" t="s">
        <v>818</v>
      </c>
    </row>
    <row r="25" spans="1:13" ht="16.2">
      <c r="A25" s="143">
        <f t="shared" si="3"/>
        <v>21</v>
      </c>
      <c r="B25" s="144" t="s">
        <v>605</v>
      </c>
      <c r="C25" s="144" t="s">
        <v>120</v>
      </c>
      <c r="D25" s="263">
        <f t="shared" si="6"/>
        <v>35097</v>
      </c>
      <c r="E25" s="263">
        <f t="shared" si="4"/>
        <v>7019.4000000000005</v>
      </c>
      <c r="F25" s="263">
        <v>42116.4</v>
      </c>
      <c r="G25" s="150" t="s">
        <v>322</v>
      </c>
      <c r="H25" s="150" t="s">
        <v>323</v>
      </c>
      <c r="I25" s="150" t="s">
        <v>615</v>
      </c>
      <c r="J25" s="662"/>
      <c r="K25" s="33" t="str">
        <f t="shared" si="7"/>
        <v>CATINOY, JANET T.</v>
      </c>
      <c r="L25" s="32" t="str">
        <f t="shared" si="8"/>
        <v>CATINOY, JANET T.</v>
      </c>
      <c r="M25" s="266" t="s">
        <v>818</v>
      </c>
    </row>
    <row r="26" spans="1:13" ht="16.2">
      <c r="A26" s="143">
        <f t="shared" si="3"/>
        <v>22</v>
      </c>
      <c r="B26" s="144" t="s">
        <v>605</v>
      </c>
      <c r="C26" s="144" t="s">
        <v>120</v>
      </c>
      <c r="D26" s="263">
        <f t="shared" si="6"/>
        <v>35097</v>
      </c>
      <c r="E26" s="263">
        <f t="shared" si="4"/>
        <v>7019.4000000000005</v>
      </c>
      <c r="F26" s="263">
        <v>42116.4</v>
      </c>
      <c r="G26" s="150" t="s">
        <v>341</v>
      </c>
      <c r="H26" s="150" t="s">
        <v>342</v>
      </c>
      <c r="I26" s="150" t="s">
        <v>645</v>
      </c>
      <c r="J26" s="662"/>
      <c r="L26" s="32" t="str">
        <f t="shared" si="8"/>
        <v>JOSE, DAN MARK R.</v>
      </c>
      <c r="M26" s="266" t="s">
        <v>818</v>
      </c>
    </row>
    <row r="27" spans="1:13" ht="16.2">
      <c r="A27" s="143">
        <f t="shared" si="3"/>
        <v>23</v>
      </c>
      <c r="B27" s="144" t="s">
        <v>724</v>
      </c>
      <c r="C27" s="144" t="s">
        <v>120</v>
      </c>
      <c r="D27" s="263">
        <f t="shared" si="6"/>
        <v>35097</v>
      </c>
      <c r="E27" s="263">
        <f t="shared" si="4"/>
        <v>7019.4000000000005</v>
      </c>
      <c r="F27" s="263">
        <v>42116.4</v>
      </c>
      <c r="G27" s="150" t="s">
        <v>315</v>
      </c>
      <c r="H27" s="150" t="s">
        <v>316</v>
      </c>
      <c r="I27" s="150" t="s">
        <v>317</v>
      </c>
      <c r="J27" s="662"/>
      <c r="K27" s="33" t="str">
        <f t="shared" ref="K27:K28" si="9">CONCATENATE(G27,","," ",H27," ",LEFT(I27,1),".")</f>
        <v>GALOLO, LEAH G.</v>
      </c>
      <c r="L27" s="32" t="str">
        <f t="shared" si="8"/>
        <v>GALOLO, LEAH G.</v>
      </c>
      <c r="M27" s="33" t="s">
        <v>821</v>
      </c>
    </row>
    <row r="28" spans="1:13" ht="16.2">
      <c r="A28" s="143">
        <f t="shared" si="3"/>
        <v>24</v>
      </c>
      <c r="B28" s="144" t="s">
        <v>724</v>
      </c>
      <c r="C28" s="144" t="s">
        <v>120</v>
      </c>
      <c r="D28" s="263">
        <f t="shared" si="6"/>
        <v>35097</v>
      </c>
      <c r="E28" s="263">
        <f t="shared" si="4"/>
        <v>7019.4000000000005</v>
      </c>
      <c r="F28" s="263">
        <v>42116.4</v>
      </c>
      <c r="G28" s="150" t="s">
        <v>61</v>
      </c>
      <c r="H28" s="150" t="s">
        <v>332</v>
      </c>
      <c r="I28" s="150" t="s">
        <v>333</v>
      </c>
      <c r="J28" s="662"/>
      <c r="K28" s="33" t="str">
        <f t="shared" si="9"/>
        <v>JIMENEZ, ROEL U.</v>
      </c>
      <c r="L28" s="32" t="str">
        <f t="shared" si="8"/>
        <v>JIMENEZ, ROEL U.</v>
      </c>
      <c r="M28" s="266" t="s">
        <v>818</v>
      </c>
    </row>
    <row r="29" spans="1:13" ht="16.2">
      <c r="A29" s="143">
        <f t="shared" si="3"/>
        <v>25</v>
      </c>
      <c r="B29" s="144" t="s">
        <v>461</v>
      </c>
      <c r="C29" s="148">
        <v>45627</v>
      </c>
      <c r="D29" s="263">
        <v>27608</v>
      </c>
      <c r="E29" s="263">
        <f t="shared" si="4"/>
        <v>5521.6</v>
      </c>
      <c r="F29" s="263">
        <f>E29+D29</f>
        <v>33129.599999999999</v>
      </c>
      <c r="G29" s="150" t="s">
        <v>859</v>
      </c>
      <c r="H29" s="150" t="s">
        <v>847</v>
      </c>
      <c r="I29" s="150" t="s">
        <v>848</v>
      </c>
      <c r="J29" s="662"/>
      <c r="L29" s="32" t="str">
        <f t="shared" si="8"/>
        <v>CADIENTE, ULYSSES NIÑO M.</v>
      </c>
      <c r="M29" s="266" t="s">
        <v>818</v>
      </c>
    </row>
    <row r="30" spans="1:13" ht="16.2">
      <c r="A30" s="143">
        <f t="shared" si="3"/>
        <v>26</v>
      </c>
      <c r="B30" s="144" t="s">
        <v>731</v>
      </c>
      <c r="C30" s="148">
        <v>45597</v>
      </c>
      <c r="D30" s="263">
        <v>25439</v>
      </c>
      <c r="E30" s="263">
        <f t="shared" si="4"/>
        <v>5087.8</v>
      </c>
      <c r="F30" s="263">
        <v>30526.799999999999</v>
      </c>
      <c r="G30" s="150" t="s">
        <v>336</v>
      </c>
      <c r="H30" s="150" t="s">
        <v>381</v>
      </c>
      <c r="I30" s="150" t="s">
        <v>382</v>
      </c>
      <c r="J30" s="646"/>
      <c r="K30" s="33" t="str">
        <f t="shared" ref="K30:K37" si="10">CONCATENATE(G30,","," ",H30," ",LEFT(I30,1),".")</f>
        <v>BAQUIRAN, JULIUS CEZAR C.</v>
      </c>
      <c r="L30" s="32" t="str">
        <f t="shared" si="8"/>
        <v>BAQUIRAN, JULIUS CEZAR C.</v>
      </c>
      <c r="M30" s="266" t="s">
        <v>818</v>
      </c>
    </row>
    <row r="31" spans="1:13" ht="16.2">
      <c r="A31" s="143">
        <f t="shared" si="3"/>
        <v>27</v>
      </c>
      <c r="B31" s="144" t="s">
        <v>751</v>
      </c>
      <c r="C31" s="144" t="s">
        <v>98</v>
      </c>
      <c r="D31" s="263">
        <f t="shared" ref="D31:D37" si="11">F31/1.2</f>
        <v>49835</v>
      </c>
      <c r="E31" s="263">
        <f t="shared" si="4"/>
        <v>9967</v>
      </c>
      <c r="F31" s="263">
        <v>59802</v>
      </c>
      <c r="G31" s="150" t="s">
        <v>254</v>
      </c>
      <c r="H31" s="150" t="s">
        <v>255</v>
      </c>
      <c r="I31" s="150" t="s">
        <v>256</v>
      </c>
      <c r="J31" s="687" t="s">
        <v>258</v>
      </c>
      <c r="K31" s="33" t="str">
        <f t="shared" si="10"/>
        <v>PECSON, MARICAR S.</v>
      </c>
      <c r="L31" s="32" t="str">
        <f t="shared" si="8"/>
        <v>PECSON, MARICAR S.</v>
      </c>
      <c r="M31" s="33" t="s">
        <v>822</v>
      </c>
    </row>
    <row r="32" spans="1:13" ht="16.2">
      <c r="A32" s="143">
        <f t="shared" si="3"/>
        <v>28</v>
      </c>
      <c r="B32" s="144" t="s">
        <v>621</v>
      </c>
      <c r="C32" s="144" t="s">
        <v>275</v>
      </c>
      <c r="D32" s="263">
        <f t="shared" si="11"/>
        <v>38150</v>
      </c>
      <c r="E32" s="263">
        <f t="shared" si="4"/>
        <v>7630</v>
      </c>
      <c r="F32" s="267">
        <v>45780</v>
      </c>
      <c r="G32" s="150" t="s">
        <v>286</v>
      </c>
      <c r="H32" s="150" t="s">
        <v>287</v>
      </c>
      <c r="I32" s="150" t="s">
        <v>288</v>
      </c>
      <c r="J32" s="662"/>
      <c r="K32" s="33" t="str">
        <f t="shared" si="10"/>
        <v>MADDELA, KARL STEVEN A.</v>
      </c>
      <c r="L32" s="32" t="str">
        <f t="shared" si="8"/>
        <v>MADDELA, KARL STEVEN A.</v>
      </c>
      <c r="M32" s="33" t="s">
        <v>823</v>
      </c>
    </row>
    <row r="33" spans="1:13" ht="16.2">
      <c r="A33" s="143">
        <f t="shared" si="3"/>
        <v>29</v>
      </c>
      <c r="B33" s="144" t="s">
        <v>751</v>
      </c>
      <c r="C33" s="144" t="s">
        <v>98</v>
      </c>
      <c r="D33" s="263">
        <f t="shared" si="11"/>
        <v>49835</v>
      </c>
      <c r="E33" s="263">
        <f t="shared" si="4"/>
        <v>9967</v>
      </c>
      <c r="F33" s="263">
        <v>59802</v>
      </c>
      <c r="G33" s="150" t="s">
        <v>260</v>
      </c>
      <c r="H33" s="150" t="s">
        <v>261</v>
      </c>
      <c r="I33" s="150" t="s">
        <v>262</v>
      </c>
      <c r="J33" s="662"/>
      <c r="K33" s="33" t="str">
        <f t="shared" si="10"/>
        <v>RECOLIZADO, JAYMAR C.</v>
      </c>
      <c r="L33" s="32" t="str">
        <f t="shared" si="8"/>
        <v>RECOLIZADO, JAYMAR C.</v>
      </c>
      <c r="M33" s="33" t="s">
        <v>822</v>
      </c>
    </row>
    <row r="34" spans="1:13" ht="16.2">
      <c r="A34" s="143">
        <f t="shared" si="3"/>
        <v>30</v>
      </c>
      <c r="B34" s="144" t="s">
        <v>139</v>
      </c>
      <c r="C34" s="148">
        <v>45627</v>
      </c>
      <c r="D34" s="263">
        <f t="shared" si="11"/>
        <v>27608</v>
      </c>
      <c r="E34" s="263">
        <f t="shared" si="4"/>
        <v>5521.6</v>
      </c>
      <c r="F34" s="267">
        <v>33129.599999999999</v>
      </c>
      <c r="G34" s="150" t="s">
        <v>163</v>
      </c>
      <c r="H34" s="150" t="s">
        <v>353</v>
      </c>
      <c r="I34" s="150" t="s">
        <v>354</v>
      </c>
      <c r="J34" s="662"/>
      <c r="K34" s="33" t="str">
        <f t="shared" si="10"/>
        <v>ABAD, DIETHER A.</v>
      </c>
      <c r="L34" s="32" t="str">
        <f t="shared" si="8"/>
        <v>ABAD, DIETHER A.</v>
      </c>
      <c r="M34" s="33" t="s">
        <v>819</v>
      </c>
    </row>
    <row r="35" spans="1:13" ht="16.2">
      <c r="A35" s="143">
        <f t="shared" si="3"/>
        <v>31</v>
      </c>
      <c r="B35" s="144" t="s">
        <v>139</v>
      </c>
      <c r="C35" s="149">
        <v>45627</v>
      </c>
      <c r="D35" s="263">
        <f t="shared" si="11"/>
        <v>27608</v>
      </c>
      <c r="E35" s="263">
        <f t="shared" si="4"/>
        <v>5521.6</v>
      </c>
      <c r="F35" s="267">
        <v>33129.599999999999</v>
      </c>
      <c r="G35" s="150" t="s">
        <v>291</v>
      </c>
      <c r="H35" s="150" t="s">
        <v>292</v>
      </c>
      <c r="I35" s="150" t="s">
        <v>293</v>
      </c>
      <c r="J35" s="662"/>
      <c r="K35" s="33" t="str">
        <f t="shared" si="10"/>
        <v>TOMAS, BRYAN H.</v>
      </c>
      <c r="L35" s="32" t="str">
        <f t="shared" si="8"/>
        <v>TOMAS, BRYAN H.</v>
      </c>
      <c r="M35" s="33" t="s">
        <v>819</v>
      </c>
    </row>
    <row r="36" spans="1:13" ht="16.2">
      <c r="A36" s="143">
        <f t="shared" si="3"/>
        <v>32</v>
      </c>
      <c r="B36" s="144" t="s">
        <v>724</v>
      </c>
      <c r="C36" s="144" t="s">
        <v>120</v>
      </c>
      <c r="D36" s="263">
        <f t="shared" si="11"/>
        <v>35097</v>
      </c>
      <c r="E36" s="263">
        <f t="shared" si="4"/>
        <v>7019.4000000000005</v>
      </c>
      <c r="F36" s="263">
        <v>42116.4</v>
      </c>
      <c r="G36" s="150" t="s">
        <v>327</v>
      </c>
      <c r="H36" s="150" t="s">
        <v>328</v>
      </c>
      <c r="I36" s="150" t="s">
        <v>329</v>
      </c>
      <c r="J36" s="646"/>
      <c r="K36" s="33" t="str">
        <f t="shared" si="10"/>
        <v>GARCIA, JEANNE SHANNON O.</v>
      </c>
      <c r="L36" s="32" t="str">
        <f t="shared" si="8"/>
        <v>GARCIA, JEANNE SHANNON O.</v>
      </c>
      <c r="M36" s="33" t="s">
        <v>824</v>
      </c>
    </row>
    <row r="37" spans="1:13" ht="16.2">
      <c r="A37" s="143">
        <f t="shared" si="3"/>
        <v>33</v>
      </c>
      <c r="B37" s="150" t="s">
        <v>274</v>
      </c>
      <c r="C37" s="150" t="s">
        <v>275</v>
      </c>
      <c r="D37" s="264">
        <f t="shared" si="11"/>
        <v>38150</v>
      </c>
      <c r="E37" s="264">
        <f t="shared" si="4"/>
        <v>7630</v>
      </c>
      <c r="F37" s="269">
        <v>45780</v>
      </c>
      <c r="G37" s="150" t="s">
        <v>282</v>
      </c>
      <c r="H37" s="150" t="s">
        <v>283</v>
      </c>
      <c r="I37" s="150" t="s">
        <v>199</v>
      </c>
      <c r="J37" s="688" t="s">
        <v>284</v>
      </c>
      <c r="K37" s="88" t="str">
        <f t="shared" si="10"/>
        <v>LANGCAY, MICHAEL ANGELO R.</v>
      </c>
      <c r="L37" s="265" t="str">
        <f t="shared" si="8"/>
        <v>LANGCAY, MICHAEL ANGELO R.</v>
      </c>
      <c r="M37" s="266" t="s">
        <v>818</v>
      </c>
    </row>
    <row r="38" spans="1:13" ht="16.2">
      <c r="A38" s="143">
        <f t="shared" si="3"/>
        <v>34</v>
      </c>
      <c r="B38" s="270" t="s">
        <v>529</v>
      </c>
      <c r="C38" s="152">
        <v>45627</v>
      </c>
      <c r="D38" s="264">
        <v>27608</v>
      </c>
      <c r="E38" s="264">
        <v>5521.6</v>
      </c>
      <c r="F38" s="269">
        <v>33129.599999999999</v>
      </c>
      <c r="G38" s="150" t="s">
        <v>348</v>
      </c>
      <c r="H38" s="150" t="s">
        <v>349</v>
      </c>
      <c r="I38" s="150" t="s">
        <v>350</v>
      </c>
      <c r="J38" s="662"/>
      <c r="K38" s="88"/>
      <c r="L38" s="265" t="str">
        <f t="shared" si="8"/>
        <v>RAFER, YANCEE KEARVIN KYLE A.</v>
      </c>
      <c r="M38" s="266" t="s">
        <v>818</v>
      </c>
    </row>
    <row r="39" spans="1:13" ht="16.2">
      <c r="A39" s="143">
        <f t="shared" si="3"/>
        <v>35</v>
      </c>
      <c r="B39" s="270" t="s">
        <v>827</v>
      </c>
      <c r="C39" s="152">
        <v>45383</v>
      </c>
      <c r="D39" s="264">
        <f t="shared" ref="D39:D43" si="12">F39/1.2</f>
        <v>14993</v>
      </c>
      <c r="E39" s="264">
        <f t="shared" ref="E39:E43" si="13">D39*0.2</f>
        <v>2998.6000000000004</v>
      </c>
      <c r="F39" s="269">
        <v>17991.599999999999</v>
      </c>
      <c r="G39" s="271" t="s">
        <v>438</v>
      </c>
      <c r="H39" s="271" t="s">
        <v>439</v>
      </c>
      <c r="I39" s="271" t="s">
        <v>440</v>
      </c>
      <c r="J39" s="662"/>
      <c r="K39" s="88" t="str">
        <f t="shared" ref="K39:K44" si="14">CONCATENATE(G39,","," ",H39," ",LEFT(I39,1),".")</f>
        <v>LIM, NARDO A.</v>
      </c>
      <c r="L39" s="265" t="s">
        <v>828</v>
      </c>
      <c r="M39" s="266" t="s">
        <v>818</v>
      </c>
    </row>
    <row r="40" spans="1:13" ht="16.2" hidden="1">
      <c r="A40" s="272">
        <f t="shared" si="3"/>
        <v>36</v>
      </c>
      <c r="B40" s="273" t="s">
        <v>827</v>
      </c>
      <c r="C40" s="274">
        <v>45383</v>
      </c>
      <c r="D40" s="275">
        <f t="shared" si="12"/>
        <v>14993</v>
      </c>
      <c r="E40" s="275">
        <f t="shared" si="13"/>
        <v>2998.6000000000004</v>
      </c>
      <c r="F40" s="276">
        <v>17991.599999999999</v>
      </c>
      <c r="G40" s="271" t="s">
        <v>63</v>
      </c>
      <c r="H40" s="271" t="s">
        <v>230</v>
      </c>
      <c r="I40" s="271" t="s">
        <v>517</v>
      </c>
      <c r="J40" s="646"/>
      <c r="K40" s="88" t="str">
        <f t="shared" si="14"/>
        <v>TUMALIUAN, MARK JOHN C.</v>
      </c>
      <c r="L40" s="277" t="str">
        <f t="shared" ref="L40:L47" si="15">CONCATENATE(G40,",", " ",H40," ", LEFT(I40,1),".",)</f>
        <v>TUMALIUAN, MARK JOHN C.</v>
      </c>
      <c r="M40" s="278" t="s">
        <v>818</v>
      </c>
    </row>
    <row r="41" spans="1:13" ht="16.2">
      <c r="A41" s="143">
        <f t="shared" si="3"/>
        <v>37</v>
      </c>
      <c r="B41" s="144" t="s">
        <v>860</v>
      </c>
      <c r="C41" s="279" t="s">
        <v>861</v>
      </c>
      <c r="D41" s="263">
        <f t="shared" si="12"/>
        <v>45203</v>
      </c>
      <c r="E41" s="263">
        <f t="shared" si="13"/>
        <v>9040.6</v>
      </c>
      <c r="F41" s="267">
        <v>54243.6</v>
      </c>
      <c r="G41" s="271" t="s">
        <v>61</v>
      </c>
      <c r="H41" s="271" t="s">
        <v>269</v>
      </c>
      <c r="I41" s="271" t="s">
        <v>270</v>
      </c>
      <c r="J41" s="689" t="s">
        <v>272</v>
      </c>
      <c r="K41" s="33" t="str">
        <f t="shared" si="14"/>
        <v>JIMENEZ, JEI ARISTON C.</v>
      </c>
      <c r="L41" s="32" t="str">
        <f t="shared" si="15"/>
        <v>JIMENEZ, JEI ARISTON C.</v>
      </c>
      <c r="M41" s="266" t="s">
        <v>818</v>
      </c>
    </row>
    <row r="42" spans="1:13" ht="16.2">
      <c r="A42" s="143">
        <f t="shared" si="3"/>
        <v>38</v>
      </c>
      <c r="B42" s="144" t="s">
        <v>730</v>
      </c>
      <c r="C42" s="280">
        <v>45597</v>
      </c>
      <c r="D42" s="263">
        <f t="shared" si="12"/>
        <v>25439</v>
      </c>
      <c r="E42" s="263">
        <f t="shared" si="13"/>
        <v>5087.8</v>
      </c>
      <c r="F42" s="263">
        <v>30526.799999999999</v>
      </c>
      <c r="G42" s="279" t="s">
        <v>404</v>
      </c>
      <c r="H42" s="279" t="s">
        <v>699</v>
      </c>
      <c r="I42" s="279" t="s">
        <v>406</v>
      </c>
      <c r="J42" s="662"/>
      <c r="K42" s="33" t="str">
        <f t="shared" si="14"/>
        <v>ARGONZA, EDWARD MARK D.</v>
      </c>
      <c r="L42" s="32" t="str">
        <f t="shared" si="15"/>
        <v>ARGONZA, EDWARD MARK D.</v>
      </c>
      <c r="M42" s="266" t="s">
        <v>818</v>
      </c>
    </row>
    <row r="43" spans="1:13" ht="16.2">
      <c r="A43" s="143">
        <f t="shared" si="3"/>
        <v>39</v>
      </c>
      <c r="B43" s="144" t="s">
        <v>730</v>
      </c>
      <c r="C43" s="280">
        <v>45597</v>
      </c>
      <c r="D43" s="263">
        <f t="shared" si="12"/>
        <v>25439</v>
      </c>
      <c r="E43" s="263">
        <f t="shared" si="13"/>
        <v>5087.8</v>
      </c>
      <c r="F43" s="263">
        <v>30526.799999999999</v>
      </c>
      <c r="G43" s="271" t="s">
        <v>386</v>
      </c>
      <c r="H43" s="271" t="s">
        <v>707</v>
      </c>
      <c r="I43" s="271" t="s">
        <v>388</v>
      </c>
      <c r="J43" s="646"/>
      <c r="K43" s="33" t="str">
        <f t="shared" si="14"/>
        <v>SANTOS, IVAN PAUL M.</v>
      </c>
      <c r="L43" s="32" t="str">
        <f t="shared" si="15"/>
        <v>SANTOS, IVAN PAUL M.</v>
      </c>
      <c r="M43" s="33" t="s">
        <v>822</v>
      </c>
    </row>
    <row r="44" spans="1:13" ht="16.2">
      <c r="A44" s="143">
        <f t="shared" si="3"/>
        <v>40</v>
      </c>
      <c r="B44" s="143" t="s">
        <v>729</v>
      </c>
      <c r="C44" s="281">
        <v>45597</v>
      </c>
      <c r="D44" s="263">
        <v>25439</v>
      </c>
      <c r="E44" s="263">
        <v>5087.8</v>
      </c>
      <c r="F44" s="263">
        <v>30526.799999999999</v>
      </c>
      <c r="G44" s="150" t="s">
        <v>396</v>
      </c>
      <c r="H44" s="150" t="s">
        <v>397</v>
      </c>
      <c r="I44" s="150" t="s">
        <v>398</v>
      </c>
      <c r="J44" s="690" t="s">
        <v>490</v>
      </c>
      <c r="K44" s="33" t="str">
        <f t="shared" si="14"/>
        <v>PRUDENCIADO, JENNY S.</v>
      </c>
      <c r="L44" s="32" t="str">
        <f t="shared" si="15"/>
        <v>PRUDENCIADO, JENNY S.</v>
      </c>
      <c r="M44" s="266" t="s">
        <v>818</v>
      </c>
    </row>
    <row r="45" spans="1:13" ht="16.2">
      <c r="A45" s="143">
        <f t="shared" si="3"/>
        <v>41</v>
      </c>
      <c r="B45" s="144" t="s">
        <v>754</v>
      </c>
      <c r="C45" s="148">
        <v>45597</v>
      </c>
      <c r="D45" s="263">
        <f>F45/1.2</f>
        <v>25439</v>
      </c>
      <c r="E45" s="263">
        <f t="shared" ref="E45:E47" si="16">D45*0.2</f>
        <v>5087.8</v>
      </c>
      <c r="F45" s="263">
        <v>30526.799999999999</v>
      </c>
      <c r="G45" s="150" t="s">
        <v>391</v>
      </c>
      <c r="H45" s="150" t="s">
        <v>392</v>
      </c>
      <c r="I45" s="150" t="s">
        <v>393</v>
      </c>
      <c r="J45" s="646"/>
      <c r="K45" s="282"/>
      <c r="L45" s="32" t="str">
        <f t="shared" si="15"/>
        <v>BACKIAWAN, DEBORA P.</v>
      </c>
      <c r="M45" s="33" t="s">
        <v>823</v>
      </c>
    </row>
    <row r="46" spans="1:13" ht="16.2">
      <c r="A46" s="143">
        <f t="shared" si="3"/>
        <v>42</v>
      </c>
      <c r="B46" s="222" t="s">
        <v>858</v>
      </c>
      <c r="C46" s="283">
        <v>45505</v>
      </c>
      <c r="D46" s="264">
        <v>18998</v>
      </c>
      <c r="E46" s="264">
        <f t="shared" si="16"/>
        <v>3799.6000000000004</v>
      </c>
      <c r="F46" s="264">
        <f>D46+E46</f>
        <v>22797.599999999999</v>
      </c>
      <c r="G46" s="271" t="s">
        <v>420</v>
      </c>
      <c r="H46" s="271" t="s">
        <v>421</v>
      </c>
      <c r="I46" s="271" t="s">
        <v>422</v>
      </c>
      <c r="J46" s="691" t="s">
        <v>307</v>
      </c>
      <c r="K46" s="282" t="str">
        <f>CONCATENATE(G46,","," ",H46," ",LEFT(I46,1),".")</f>
        <v>TABUG, SHEREEN J.</v>
      </c>
      <c r="L46" s="265" t="str">
        <f t="shared" si="15"/>
        <v>TABUG, SHEREEN J.</v>
      </c>
      <c r="M46" s="266" t="s">
        <v>818</v>
      </c>
    </row>
    <row r="47" spans="1:13" ht="16.2">
      <c r="A47" s="143">
        <f t="shared" si="3"/>
        <v>43</v>
      </c>
      <c r="B47" s="144" t="s">
        <v>820</v>
      </c>
      <c r="C47" s="148">
        <v>45505</v>
      </c>
      <c r="D47" s="263">
        <v>18998</v>
      </c>
      <c r="E47" s="263">
        <f t="shared" si="16"/>
        <v>3799.6000000000004</v>
      </c>
      <c r="F47" s="263">
        <f>E47+D47</f>
        <v>22797.599999999999</v>
      </c>
      <c r="G47" s="150" t="s">
        <v>415</v>
      </c>
      <c r="H47" s="150" t="s">
        <v>416</v>
      </c>
      <c r="I47" s="150" t="s">
        <v>417</v>
      </c>
      <c r="J47" s="646"/>
      <c r="L47" s="32" t="str">
        <f t="shared" si="15"/>
        <v>MONTES, MARIZA NOVA M.</v>
      </c>
      <c r="M47" s="33" t="s">
        <v>818</v>
      </c>
    </row>
    <row r="48" spans="1:13" ht="18.600000000000001">
      <c r="A48" s="89"/>
      <c r="C48" s="284"/>
      <c r="D48" s="53"/>
      <c r="E48" s="219"/>
      <c r="F48" s="53"/>
      <c r="G48" s="285"/>
      <c r="H48" s="53"/>
    </row>
    <row r="49" spans="1:1" ht="14.4">
      <c r="A49" s="89"/>
    </row>
    <row r="50" spans="1:1" ht="14.4">
      <c r="A50" s="89"/>
    </row>
    <row r="51" spans="1:1" ht="14.4">
      <c r="A51" s="89"/>
    </row>
    <row r="52" spans="1:1" ht="14.4">
      <c r="A52" s="89"/>
    </row>
    <row r="53" spans="1:1" ht="14.4">
      <c r="A53" s="89"/>
    </row>
    <row r="54" spans="1:1" ht="14.4">
      <c r="A54" s="89"/>
    </row>
    <row r="55" spans="1:1" ht="14.4">
      <c r="A55" s="89"/>
    </row>
    <row r="56" spans="1:1" ht="14.4">
      <c r="A56" s="89"/>
    </row>
    <row r="57" spans="1:1" ht="14.4">
      <c r="A57" s="89"/>
    </row>
    <row r="58" spans="1:1" ht="14.4">
      <c r="A58" s="89"/>
    </row>
    <row r="59" spans="1:1" ht="14.4">
      <c r="A59" s="89"/>
    </row>
    <row r="60" spans="1:1" ht="14.4">
      <c r="A60" s="89"/>
    </row>
    <row r="61" spans="1:1" ht="14.4">
      <c r="A61" s="89"/>
    </row>
    <row r="62" spans="1:1" ht="14.4">
      <c r="A62" s="89"/>
    </row>
    <row r="63" spans="1:1" ht="14.4">
      <c r="A63" s="89"/>
    </row>
    <row r="64" spans="1:1" ht="14.4">
      <c r="A64" s="89"/>
    </row>
    <row r="65" spans="1:1" ht="14.4">
      <c r="A65" s="89"/>
    </row>
    <row r="66" spans="1:1" ht="14.4">
      <c r="A66" s="89"/>
    </row>
    <row r="67" spans="1:1" ht="14.4">
      <c r="A67" s="89"/>
    </row>
    <row r="68" spans="1:1" ht="14.4">
      <c r="A68" s="89"/>
    </row>
    <row r="69" spans="1:1" ht="14.4">
      <c r="A69" s="89"/>
    </row>
    <row r="70" spans="1:1" ht="14.4">
      <c r="A70" s="89"/>
    </row>
    <row r="71" spans="1:1" ht="14.4">
      <c r="A71" s="89"/>
    </row>
    <row r="72" spans="1:1" ht="14.4">
      <c r="A72" s="89"/>
    </row>
    <row r="73" spans="1:1" ht="14.4">
      <c r="A73" s="89"/>
    </row>
    <row r="74" spans="1:1" ht="14.4">
      <c r="A74" s="89"/>
    </row>
    <row r="75" spans="1:1" ht="14.4">
      <c r="A75" s="89"/>
    </row>
    <row r="76" spans="1:1" ht="14.4">
      <c r="A76" s="89"/>
    </row>
    <row r="77" spans="1:1" ht="14.4">
      <c r="A77" s="89"/>
    </row>
    <row r="78" spans="1:1" ht="14.4">
      <c r="A78" s="89"/>
    </row>
    <row r="79" spans="1:1" ht="14.4">
      <c r="A79" s="89"/>
    </row>
    <row r="80" spans="1:1" ht="14.4">
      <c r="A80" s="89"/>
    </row>
    <row r="81" spans="1:1" ht="14.4">
      <c r="A81" s="89"/>
    </row>
    <row r="82" spans="1:1" ht="14.4">
      <c r="A82" s="89"/>
    </row>
    <row r="83" spans="1:1" ht="14.4">
      <c r="A83" s="89"/>
    </row>
    <row r="84" spans="1:1" ht="14.4">
      <c r="A84" s="89"/>
    </row>
    <row r="85" spans="1:1" ht="14.4">
      <c r="A85" s="89"/>
    </row>
    <row r="86" spans="1:1" ht="14.4">
      <c r="A86" s="89"/>
    </row>
    <row r="87" spans="1:1" ht="14.4">
      <c r="A87" s="89"/>
    </row>
    <row r="88" spans="1:1" ht="14.4">
      <c r="A88" s="89"/>
    </row>
    <row r="89" spans="1:1" ht="14.4">
      <c r="A89" s="89"/>
    </row>
    <row r="90" spans="1:1" ht="14.4">
      <c r="A90" s="89"/>
    </row>
    <row r="91" spans="1:1" ht="14.4">
      <c r="A91" s="89"/>
    </row>
    <row r="92" spans="1:1" ht="14.4">
      <c r="A92" s="89"/>
    </row>
    <row r="93" spans="1:1" ht="14.4">
      <c r="A93" s="89"/>
    </row>
    <row r="94" spans="1:1" ht="14.4">
      <c r="A94" s="89"/>
    </row>
    <row r="95" spans="1:1" ht="14.4">
      <c r="A95" s="89"/>
    </row>
    <row r="96" spans="1:1" ht="14.4">
      <c r="A96" s="89"/>
    </row>
    <row r="97" spans="1:1" ht="14.4">
      <c r="A97" s="89"/>
    </row>
    <row r="98" spans="1:1" ht="14.4">
      <c r="A98" s="89"/>
    </row>
    <row r="99" spans="1:1" ht="14.4">
      <c r="A99" s="89"/>
    </row>
    <row r="100" spans="1:1" ht="14.4">
      <c r="A100" s="89"/>
    </row>
    <row r="101" spans="1:1" ht="14.4">
      <c r="A101" s="89"/>
    </row>
    <row r="102" spans="1:1" ht="14.4">
      <c r="A102" s="89"/>
    </row>
    <row r="103" spans="1:1" ht="14.4">
      <c r="A103" s="89"/>
    </row>
    <row r="104" spans="1:1" ht="14.4">
      <c r="A104" s="89"/>
    </row>
    <row r="105" spans="1:1" ht="14.4">
      <c r="A105" s="89"/>
    </row>
    <row r="106" spans="1:1" ht="14.4">
      <c r="A106" s="89"/>
    </row>
    <row r="107" spans="1:1" ht="14.4">
      <c r="A107" s="89"/>
    </row>
    <row r="108" spans="1:1" ht="14.4">
      <c r="A108" s="89"/>
    </row>
    <row r="109" spans="1:1" ht="14.4">
      <c r="A109" s="89"/>
    </row>
    <row r="110" spans="1:1" ht="14.4">
      <c r="A110" s="89"/>
    </row>
    <row r="111" spans="1:1" ht="14.4">
      <c r="A111" s="89"/>
    </row>
    <row r="112" spans="1:1" ht="14.4">
      <c r="A112" s="89"/>
    </row>
    <row r="113" spans="1:1" ht="14.4">
      <c r="A113" s="89"/>
    </row>
    <row r="114" spans="1:1" ht="14.4">
      <c r="A114" s="89"/>
    </row>
    <row r="115" spans="1:1" ht="14.4">
      <c r="A115" s="89"/>
    </row>
    <row r="116" spans="1:1" ht="14.4">
      <c r="A116" s="89"/>
    </row>
    <row r="117" spans="1:1" ht="14.4">
      <c r="A117" s="89"/>
    </row>
    <row r="118" spans="1:1" ht="14.4">
      <c r="A118" s="89"/>
    </row>
    <row r="119" spans="1:1" ht="14.4">
      <c r="A119" s="89"/>
    </row>
    <row r="120" spans="1:1" ht="14.4">
      <c r="A120" s="89"/>
    </row>
    <row r="121" spans="1:1" ht="14.4">
      <c r="A121" s="89"/>
    </row>
    <row r="122" spans="1:1" ht="14.4">
      <c r="A122" s="89"/>
    </row>
    <row r="123" spans="1:1" ht="14.4">
      <c r="A123" s="89"/>
    </row>
    <row r="124" spans="1:1" ht="14.4">
      <c r="A124" s="89"/>
    </row>
    <row r="125" spans="1:1" ht="14.4">
      <c r="A125" s="89"/>
    </row>
    <row r="126" spans="1:1" ht="14.4">
      <c r="A126" s="89"/>
    </row>
    <row r="127" spans="1:1" ht="14.4">
      <c r="A127" s="89"/>
    </row>
    <row r="128" spans="1:1" ht="14.4">
      <c r="A128" s="89"/>
    </row>
    <row r="129" spans="1:1" ht="14.4">
      <c r="A129" s="89"/>
    </row>
    <row r="130" spans="1:1" ht="14.4">
      <c r="A130" s="89"/>
    </row>
    <row r="131" spans="1:1" ht="14.4">
      <c r="A131" s="89"/>
    </row>
    <row r="132" spans="1:1" ht="14.4">
      <c r="A132" s="89"/>
    </row>
    <row r="133" spans="1:1" ht="14.4">
      <c r="A133" s="89"/>
    </row>
    <row r="134" spans="1:1" ht="14.4">
      <c r="A134" s="89"/>
    </row>
    <row r="135" spans="1:1" ht="14.4">
      <c r="A135" s="89"/>
    </row>
    <row r="136" spans="1:1" ht="14.4">
      <c r="A136" s="89"/>
    </row>
    <row r="137" spans="1:1" ht="14.4">
      <c r="A137" s="89"/>
    </row>
    <row r="138" spans="1:1" ht="14.4">
      <c r="A138" s="89"/>
    </row>
    <row r="139" spans="1:1" ht="14.4">
      <c r="A139" s="89"/>
    </row>
    <row r="140" spans="1:1" ht="14.4">
      <c r="A140" s="89"/>
    </row>
    <row r="141" spans="1:1" ht="14.4">
      <c r="A141" s="89"/>
    </row>
    <row r="142" spans="1:1" ht="14.4">
      <c r="A142" s="89"/>
    </row>
    <row r="143" spans="1:1" ht="14.4">
      <c r="A143" s="89"/>
    </row>
    <row r="144" spans="1:1" ht="14.4">
      <c r="A144" s="89"/>
    </row>
    <row r="145" spans="1:1" ht="14.4">
      <c r="A145" s="89"/>
    </row>
    <row r="146" spans="1:1" ht="14.4">
      <c r="A146" s="89"/>
    </row>
    <row r="147" spans="1:1" ht="14.4">
      <c r="A147" s="89"/>
    </row>
    <row r="148" spans="1:1" ht="14.4">
      <c r="A148" s="89"/>
    </row>
    <row r="149" spans="1:1" ht="14.4">
      <c r="A149" s="89"/>
    </row>
    <row r="150" spans="1:1" ht="14.4">
      <c r="A150" s="89"/>
    </row>
    <row r="151" spans="1:1" ht="14.4">
      <c r="A151" s="89"/>
    </row>
    <row r="152" spans="1:1" ht="14.4">
      <c r="A152" s="89"/>
    </row>
    <row r="153" spans="1:1" ht="14.4">
      <c r="A153" s="89"/>
    </row>
    <row r="154" spans="1:1" ht="14.4">
      <c r="A154" s="89"/>
    </row>
    <row r="155" spans="1:1" ht="14.4">
      <c r="A155" s="89"/>
    </row>
    <row r="156" spans="1:1" ht="14.4">
      <c r="A156" s="89"/>
    </row>
    <row r="157" spans="1:1" ht="14.4">
      <c r="A157" s="89"/>
    </row>
    <row r="158" spans="1:1" ht="14.4">
      <c r="A158" s="89"/>
    </row>
    <row r="159" spans="1:1" ht="14.4">
      <c r="A159" s="89"/>
    </row>
    <row r="160" spans="1:1" ht="14.4">
      <c r="A160" s="89"/>
    </row>
    <row r="161" spans="1:1" ht="14.4">
      <c r="A161" s="89"/>
    </row>
    <row r="162" spans="1:1" ht="14.4">
      <c r="A162" s="89"/>
    </row>
    <row r="163" spans="1:1" ht="14.4">
      <c r="A163" s="89"/>
    </row>
    <row r="164" spans="1:1" ht="14.4">
      <c r="A164" s="89"/>
    </row>
    <row r="165" spans="1:1" ht="14.4">
      <c r="A165" s="89"/>
    </row>
    <row r="166" spans="1:1" ht="14.4">
      <c r="A166" s="89"/>
    </row>
    <row r="167" spans="1:1" ht="14.4">
      <c r="A167" s="89"/>
    </row>
    <row r="168" spans="1:1" ht="14.4">
      <c r="A168" s="89"/>
    </row>
    <row r="169" spans="1:1" ht="14.4">
      <c r="A169" s="89"/>
    </row>
    <row r="170" spans="1:1" ht="14.4">
      <c r="A170" s="89"/>
    </row>
    <row r="171" spans="1:1" ht="14.4">
      <c r="A171" s="89"/>
    </row>
    <row r="172" spans="1:1" ht="14.4">
      <c r="A172" s="89"/>
    </row>
    <row r="173" spans="1:1" ht="14.4">
      <c r="A173" s="89"/>
    </row>
    <row r="174" spans="1:1" ht="14.4">
      <c r="A174" s="89"/>
    </row>
    <row r="175" spans="1:1" ht="14.4">
      <c r="A175" s="89"/>
    </row>
    <row r="176" spans="1:1" ht="14.4">
      <c r="A176" s="89"/>
    </row>
    <row r="177" spans="1:1" ht="14.4">
      <c r="A177" s="89"/>
    </row>
    <row r="178" spans="1:1" ht="14.4">
      <c r="A178" s="89"/>
    </row>
    <row r="179" spans="1:1" ht="14.4">
      <c r="A179" s="89"/>
    </row>
    <row r="180" spans="1:1" ht="14.4">
      <c r="A180" s="89"/>
    </row>
    <row r="181" spans="1:1" ht="14.4">
      <c r="A181" s="89"/>
    </row>
    <row r="182" spans="1:1" ht="14.4">
      <c r="A182" s="89"/>
    </row>
    <row r="183" spans="1:1" ht="14.4">
      <c r="A183" s="89"/>
    </row>
    <row r="184" spans="1:1" ht="14.4">
      <c r="A184" s="89"/>
    </row>
    <row r="185" spans="1:1" ht="14.4">
      <c r="A185" s="89"/>
    </row>
    <row r="186" spans="1:1" ht="14.4">
      <c r="A186" s="89"/>
    </row>
    <row r="187" spans="1:1" ht="14.4">
      <c r="A187" s="89"/>
    </row>
    <row r="188" spans="1:1" ht="14.4">
      <c r="A188" s="89"/>
    </row>
    <row r="189" spans="1:1" ht="14.4">
      <c r="A189" s="89"/>
    </row>
    <row r="190" spans="1:1" ht="14.4">
      <c r="A190" s="89"/>
    </row>
    <row r="191" spans="1:1" ht="14.4">
      <c r="A191" s="89"/>
    </row>
    <row r="192" spans="1:1" ht="14.4">
      <c r="A192" s="89"/>
    </row>
    <row r="193" spans="1:1" ht="14.4">
      <c r="A193" s="89"/>
    </row>
    <row r="194" spans="1:1" ht="14.4">
      <c r="A194" s="89"/>
    </row>
    <row r="195" spans="1:1" ht="14.4">
      <c r="A195" s="89"/>
    </row>
    <row r="196" spans="1:1" ht="14.4">
      <c r="A196" s="89"/>
    </row>
    <row r="197" spans="1:1" ht="14.4">
      <c r="A197" s="89"/>
    </row>
    <row r="198" spans="1:1" ht="14.4">
      <c r="A198" s="89"/>
    </row>
    <row r="199" spans="1:1" ht="14.4">
      <c r="A199" s="89"/>
    </row>
    <row r="200" spans="1:1" ht="14.4">
      <c r="A200" s="89"/>
    </row>
    <row r="201" spans="1:1" ht="14.4">
      <c r="A201" s="89"/>
    </row>
    <row r="202" spans="1:1" ht="14.4">
      <c r="A202" s="89"/>
    </row>
    <row r="203" spans="1:1" ht="14.4">
      <c r="A203" s="89"/>
    </row>
    <row r="204" spans="1:1" ht="14.4">
      <c r="A204" s="89"/>
    </row>
    <row r="205" spans="1:1" ht="14.4">
      <c r="A205" s="89"/>
    </row>
    <row r="206" spans="1:1" ht="14.4">
      <c r="A206" s="89"/>
    </row>
    <row r="207" spans="1:1" ht="14.4">
      <c r="A207" s="89"/>
    </row>
    <row r="208" spans="1:1" ht="14.4">
      <c r="A208" s="89"/>
    </row>
    <row r="209" spans="1:1" ht="14.4">
      <c r="A209" s="89"/>
    </row>
    <row r="210" spans="1:1" ht="14.4">
      <c r="A210" s="89"/>
    </row>
    <row r="211" spans="1:1" ht="14.4">
      <c r="A211" s="89"/>
    </row>
    <row r="212" spans="1:1" ht="14.4">
      <c r="A212" s="89"/>
    </row>
    <row r="213" spans="1:1" ht="14.4">
      <c r="A213" s="89"/>
    </row>
    <row r="214" spans="1:1" ht="14.4">
      <c r="A214" s="89"/>
    </row>
    <row r="215" spans="1:1" ht="14.4">
      <c r="A215" s="89"/>
    </row>
    <row r="216" spans="1:1" ht="14.4">
      <c r="A216" s="89"/>
    </row>
    <row r="217" spans="1:1" ht="14.4">
      <c r="A217" s="89"/>
    </row>
    <row r="218" spans="1:1" ht="14.4">
      <c r="A218" s="89"/>
    </row>
    <row r="219" spans="1:1" ht="14.4">
      <c r="A219" s="89"/>
    </row>
    <row r="220" spans="1:1" ht="14.4">
      <c r="A220" s="89"/>
    </row>
    <row r="221" spans="1:1" ht="14.4">
      <c r="A221" s="89"/>
    </row>
    <row r="222" spans="1:1" ht="14.4">
      <c r="A222" s="89"/>
    </row>
    <row r="223" spans="1:1" ht="14.4">
      <c r="A223" s="89"/>
    </row>
    <row r="224" spans="1:1" ht="14.4">
      <c r="A224" s="89"/>
    </row>
    <row r="225" spans="1:1" ht="14.4">
      <c r="A225" s="89"/>
    </row>
    <row r="226" spans="1:1" ht="14.4">
      <c r="A226" s="89"/>
    </row>
    <row r="227" spans="1:1" ht="14.4">
      <c r="A227" s="89"/>
    </row>
    <row r="228" spans="1:1" ht="14.4">
      <c r="A228" s="89"/>
    </row>
    <row r="229" spans="1:1" ht="14.4">
      <c r="A229" s="89"/>
    </row>
    <row r="230" spans="1:1" ht="14.4">
      <c r="A230" s="89"/>
    </row>
    <row r="231" spans="1:1" ht="14.4">
      <c r="A231" s="89"/>
    </row>
    <row r="232" spans="1:1" ht="14.4">
      <c r="A232" s="89"/>
    </row>
    <row r="233" spans="1:1" ht="14.4">
      <c r="A233" s="89"/>
    </row>
    <row r="234" spans="1:1" ht="14.4">
      <c r="A234" s="89"/>
    </row>
    <row r="235" spans="1:1" ht="14.4">
      <c r="A235" s="89"/>
    </row>
    <row r="236" spans="1:1" ht="14.4">
      <c r="A236" s="89"/>
    </row>
    <row r="237" spans="1:1" ht="14.4">
      <c r="A237" s="89"/>
    </row>
    <row r="238" spans="1:1" ht="14.4">
      <c r="A238" s="89"/>
    </row>
    <row r="239" spans="1:1" ht="14.4">
      <c r="A239" s="89"/>
    </row>
    <row r="240" spans="1:1" ht="14.4">
      <c r="A240" s="89"/>
    </row>
    <row r="241" spans="1:1" ht="14.4">
      <c r="A241" s="89"/>
    </row>
    <row r="242" spans="1:1" ht="14.4">
      <c r="A242" s="89"/>
    </row>
    <row r="243" spans="1:1" ht="14.4">
      <c r="A243" s="89"/>
    </row>
    <row r="244" spans="1:1" ht="14.4">
      <c r="A244" s="89"/>
    </row>
    <row r="245" spans="1:1" ht="14.4">
      <c r="A245" s="89"/>
    </row>
    <row r="246" spans="1:1" ht="14.4">
      <c r="A246" s="89"/>
    </row>
    <row r="247" spans="1:1" ht="14.4">
      <c r="A247" s="89"/>
    </row>
    <row r="248" spans="1:1" ht="14.4">
      <c r="A248" s="89"/>
    </row>
    <row r="249" spans="1:1" ht="14.4">
      <c r="A249" s="89"/>
    </row>
    <row r="250" spans="1:1" ht="14.4">
      <c r="A250" s="89"/>
    </row>
    <row r="251" spans="1:1" ht="14.4">
      <c r="A251" s="89"/>
    </row>
    <row r="252" spans="1:1" ht="14.4">
      <c r="A252" s="89"/>
    </row>
    <row r="253" spans="1:1" ht="14.4">
      <c r="A253" s="89"/>
    </row>
    <row r="254" spans="1:1" ht="14.4">
      <c r="A254" s="89"/>
    </row>
    <row r="255" spans="1:1" ht="14.4">
      <c r="A255" s="89"/>
    </row>
    <row r="256" spans="1:1" ht="14.4">
      <c r="A256" s="89"/>
    </row>
    <row r="257" spans="1:1" ht="14.4">
      <c r="A257" s="89"/>
    </row>
    <row r="258" spans="1:1" ht="14.4">
      <c r="A258" s="89"/>
    </row>
    <row r="259" spans="1:1" ht="14.4">
      <c r="A259" s="89"/>
    </row>
    <row r="260" spans="1:1" ht="14.4">
      <c r="A260" s="89"/>
    </row>
    <row r="261" spans="1:1" ht="14.4">
      <c r="A261" s="89"/>
    </row>
    <row r="262" spans="1:1" ht="14.4">
      <c r="A262" s="89"/>
    </row>
    <row r="263" spans="1:1" ht="14.4">
      <c r="A263" s="89"/>
    </row>
    <row r="264" spans="1:1" ht="14.4">
      <c r="A264" s="89"/>
    </row>
    <row r="265" spans="1:1" ht="14.4">
      <c r="A265" s="89"/>
    </row>
    <row r="266" spans="1:1" ht="14.4">
      <c r="A266" s="89"/>
    </row>
    <row r="267" spans="1:1" ht="14.4">
      <c r="A267" s="89"/>
    </row>
    <row r="268" spans="1:1" ht="14.4">
      <c r="A268" s="89"/>
    </row>
    <row r="269" spans="1:1" ht="14.4">
      <c r="A269" s="89"/>
    </row>
    <row r="270" spans="1:1" ht="14.4">
      <c r="A270" s="89"/>
    </row>
    <row r="271" spans="1:1" ht="14.4">
      <c r="A271" s="89"/>
    </row>
    <row r="272" spans="1:1" ht="14.4">
      <c r="A272" s="89"/>
    </row>
    <row r="273" spans="1:1" ht="14.4">
      <c r="A273" s="89"/>
    </row>
    <row r="274" spans="1:1" ht="14.4">
      <c r="A274" s="89"/>
    </row>
    <row r="275" spans="1:1" ht="14.4">
      <c r="A275" s="89"/>
    </row>
    <row r="276" spans="1:1" ht="14.4">
      <c r="A276" s="89"/>
    </row>
    <row r="277" spans="1:1" ht="14.4">
      <c r="A277" s="89"/>
    </row>
    <row r="278" spans="1:1" ht="14.4">
      <c r="A278" s="89"/>
    </row>
    <row r="279" spans="1:1" ht="14.4">
      <c r="A279" s="89"/>
    </row>
    <row r="280" spans="1:1" ht="14.4">
      <c r="A280" s="89"/>
    </row>
    <row r="281" spans="1:1" ht="14.4">
      <c r="A281" s="89"/>
    </row>
    <row r="282" spans="1:1" ht="14.4">
      <c r="A282" s="89"/>
    </row>
    <row r="283" spans="1:1" ht="14.4">
      <c r="A283" s="89"/>
    </row>
    <row r="284" spans="1:1" ht="14.4">
      <c r="A284" s="89"/>
    </row>
    <row r="285" spans="1:1" ht="14.4">
      <c r="A285" s="89"/>
    </row>
    <row r="286" spans="1:1" ht="14.4">
      <c r="A286" s="89"/>
    </row>
    <row r="287" spans="1:1" ht="14.4">
      <c r="A287" s="89"/>
    </row>
    <row r="288" spans="1:1" ht="14.4">
      <c r="A288" s="89"/>
    </row>
    <row r="289" spans="1:1" ht="14.4">
      <c r="A289" s="89"/>
    </row>
    <row r="290" spans="1:1" ht="14.4">
      <c r="A290" s="89"/>
    </row>
    <row r="291" spans="1:1" ht="14.4">
      <c r="A291" s="89"/>
    </row>
    <row r="292" spans="1:1" ht="14.4">
      <c r="A292" s="89"/>
    </row>
    <row r="293" spans="1:1" ht="14.4">
      <c r="A293" s="89"/>
    </row>
    <row r="294" spans="1:1" ht="14.4">
      <c r="A294" s="89"/>
    </row>
    <row r="295" spans="1:1" ht="14.4">
      <c r="A295" s="89"/>
    </row>
    <row r="296" spans="1:1" ht="14.4">
      <c r="A296" s="89"/>
    </row>
    <row r="297" spans="1:1" ht="14.4">
      <c r="A297" s="89"/>
    </row>
    <row r="298" spans="1:1" ht="14.4">
      <c r="A298" s="89"/>
    </row>
    <row r="299" spans="1:1" ht="14.4">
      <c r="A299" s="89"/>
    </row>
    <row r="300" spans="1:1" ht="14.4">
      <c r="A300" s="89"/>
    </row>
    <row r="301" spans="1:1" ht="14.4">
      <c r="A301" s="89"/>
    </row>
    <row r="302" spans="1:1" ht="14.4">
      <c r="A302" s="89"/>
    </row>
    <row r="303" spans="1:1" ht="14.4">
      <c r="A303" s="89"/>
    </row>
    <row r="304" spans="1:1" ht="14.4">
      <c r="A304" s="89"/>
    </row>
    <row r="305" spans="1:1" ht="14.4">
      <c r="A305" s="89"/>
    </row>
    <row r="306" spans="1:1" ht="14.4">
      <c r="A306" s="89"/>
    </row>
    <row r="307" spans="1:1" ht="14.4">
      <c r="A307" s="89"/>
    </row>
    <row r="308" spans="1:1" ht="14.4">
      <c r="A308" s="89"/>
    </row>
    <row r="309" spans="1:1" ht="14.4">
      <c r="A309" s="89"/>
    </row>
    <row r="310" spans="1:1" ht="14.4">
      <c r="A310" s="89"/>
    </row>
    <row r="311" spans="1:1" ht="14.4">
      <c r="A311" s="89"/>
    </row>
    <row r="312" spans="1:1" ht="14.4">
      <c r="A312" s="89"/>
    </row>
    <row r="313" spans="1:1" ht="14.4">
      <c r="A313" s="89"/>
    </row>
    <row r="314" spans="1:1" ht="14.4">
      <c r="A314" s="89"/>
    </row>
    <row r="315" spans="1:1" ht="14.4">
      <c r="A315" s="89"/>
    </row>
    <row r="316" spans="1:1" ht="14.4">
      <c r="A316" s="89"/>
    </row>
    <row r="317" spans="1:1" ht="14.4">
      <c r="A317" s="89"/>
    </row>
    <row r="318" spans="1:1" ht="14.4">
      <c r="A318" s="89"/>
    </row>
    <row r="319" spans="1:1" ht="14.4">
      <c r="A319" s="89"/>
    </row>
    <row r="320" spans="1:1" ht="14.4">
      <c r="A320" s="89"/>
    </row>
    <row r="321" spans="1:1" ht="14.4">
      <c r="A321" s="89"/>
    </row>
    <row r="322" spans="1:1" ht="14.4">
      <c r="A322" s="89"/>
    </row>
    <row r="323" spans="1:1" ht="14.4">
      <c r="A323" s="89"/>
    </row>
    <row r="324" spans="1:1" ht="14.4">
      <c r="A324" s="89"/>
    </row>
    <row r="325" spans="1:1" ht="14.4">
      <c r="A325" s="89"/>
    </row>
    <row r="326" spans="1:1" ht="14.4">
      <c r="A326" s="89"/>
    </row>
    <row r="327" spans="1:1" ht="14.4">
      <c r="A327" s="89"/>
    </row>
    <row r="328" spans="1:1" ht="14.4">
      <c r="A328" s="89"/>
    </row>
    <row r="329" spans="1:1" ht="14.4">
      <c r="A329" s="89"/>
    </row>
    <row r="330" spans="1:1" ht="14.4">
      <c r="A330" s="89"/>
    </row>
    <row r="331" spans="1:1" ht="14.4">
      <c r="A331" s="89"/>
    </row>
    <row r="332" spans="1:1" ht="14.4">
      <c r="A332" s="89"/>
    </row>
    <row r="333" spans="1:1" ht="14.4">
      <c r="A333" s="89"/>
    </row>
    <row r="334" spans="1:1" ht="14.4">
      <c r="A334" s="89"/>
    </row>
    <row r="335" spans="1:1" ht="14.4">
      <c r="A335" s="89"/>
    </row>
    <row r="336" spans="1:1" ht="14.4">
      <c r="A336" s="89"/>
    </row>
    <row r="337" spans="1:1" ht="14.4">
      <c r="A337" s="89"/>
    </row>
    <row r="338" spans="1:1" ht="14.4">
      <c r="A338" s="89"/>
    </row>
    <row r="339" spans="1:1" ht="14.4">
      <c r="A339" s="89"/>
    </row>
    <row r="340" spans="1:1" ht="14.4">
      <c r="A340" s="89"/>
    </row>
    <row r="341" spans="1:1" ht="14.4">
      <c r="A341" s="89"/>
    </row>
    <row r="342" spans="1:1" ht="14.4">
      <c r="A342" s="89"/>
    </row>
    <row r="343" spans="1:1" ht="14.4">
      <c r="A343" s="89"/>
    </row>
    <row r="344" spans="1:1" ht="14.4">
      <c r="A344" s="89"/>
    </row>
    <row r="345" spans="1:1" ht="14.4">
      <c r="A345" s="89"/>
    </row>
    <row r="346" spans="1:1" ht="14.4">
      <c r="A346" s="89"/>
    </row>
    <row r="347" spans="1:1" ht="14.4">
      <c r="A347" s="89"/>
    </row>
    <row r="348" spans="1:1" ht="14.4">
      <c r="A348" s="89"/>
    </row>
    <row r="349" spans="1:1" ht="14.4">
      <c r="A349" s="89"/>
    </row>
    <row r="350" spans="1:1" ht="14.4">
      <c r="A350" s="89"/>
    </row>
    <row r="351" spans="1:1" ht="14.4">
      <c r="A351" s="89"/>
    </row>
    <row r="352" spans="1:1" ht="14.4">
      <c r="A352" s="89"/>
    </row>
    <row r="353" spans="1:1" ht="14.4">
      <c r="A353" s="89"/>
    </row>
    <row r="354" spans="1:1" ht="14.4">
      <c r="A354" s="89"/>
    </row>
    <row r="355" spans="1:1" ht="14.4">
      <c r="A355" s="89"/>
    </row>
    <row r="356" spans="1:1" ht="14.4">
      <c r="A356" s="89"/>
    </row>
    <row r="357" spans="1:1" ht="14.4">
      <c r="A357" s="89"/>
    </row>
    <row r="358" spans="1:1" ht="14.4">
      <c r="A358" s="89"/>
    </row>
    <row r="359" spans="1:1" ht="14.4">
      <c r="A359" s="89"/>
    </row>
    <row r="360" spans="1:1" ht="14.4">
      <c r="A360" s="89"/>
    </row>
    <row r="361" spans="1:1" ht="14.4">
      <c r="A361" s="89"/>
    </row>
    <row r="362" spans="1:1" ht="14.4">
      <c r="A362" s="89"/>
    </row>
    <row r="363" spans="1:1" ht="14.4">
      <c r="A363" s="89"/>
    </row>
    <row r="364" spans="1:1" ht="14.4">
      <c r="A364" s="89"/>
    </row>
    <row r="365" spans="1:1" ht="14.4">
      <c r="A365" s="89"/>
    </row>
    <row r="366" spans="1:1" ht="14.4">
      <c r="A366" s="89"/>
    </row>
    <row r="367" spans="1:1" ht="14.4">
      <c r="A367" s="89"/>
    </row>
    <row r="368" spans="1:1" ht="14.4">
      <c r="A368" s="89"/>
    </row>
    <row r="369" spans="1:1" ht="14.4">
      <c r="A369" s="89"/>
    </row>
    <row r="370" spans="1:1" ht="14.4">
      <c r="A370" s="89"/>
    </row>
    <row r="371" spans="1:1" ht="14.4">
      <c r="A371" s="89"/>
    </row>
    <row r="372" spans="1:1" ht="14.4">
      <c r="A372" s="89"/>
    </row>
    <row r="373" spans="1:1" ht="14.4">
      <c r="A373" s="89"/>
    </row>
    <row r="374" spans="1:1" ht="14.4">
      <c r="A374" s="89"/>
    </row>
    <row r="375" spans="1:1" ht="14.4">
      <c r="A375" s="89"/>
    </row>
    <row r="376" spans="1:1" ht="14.4">
      <c r="A376" s="89"/>
    </row>
    <row r="377" spans="1:1" ht="14.4">
      <c r="A377" s="89"/>
    </row>
    <row r="378" spans="1:1" ht="14.4">
      <c r="A378" s="89"/>
    </row>
    <row r="379" spans="1:1" ht="14.4">
      <c r="A379" s="89"/>
    </row>
    <row r="380" spans="1:1" ht="14.4">
      <c r="A380" s="89"/>
    </row>
    <row r="381" spans="1:1" ht="14.4">
      <c r="A381" s="89"/>
    </row>
    <row r="382" spans="1:1" ht="14.4">
      <c r="A382" s="89"/>
    </row>
    <row r="383" spans="1:1" ht="14.4">
      <c r="A383" s="89"/>
    </row>
    <row r="384" spans="1:1" ht="14.4">
      <c r="A384" s="89"/>
    </row>
    <row r="385" spans="1:1" ht="14.4">
      <c r="A385" s="89"/>
    </row>
    <row r="386" spans="1:1" ht="14.4">
      <c r="A386" s="89"/>
    </row>
    <row r="387" spans="1:1" ht="14.4">
      <c r="A387" s="89"/>
    </row>
    <row r="388" spans="1:1" ht="14.4">
      <c r="A388" s="89"/>
    </row>
    <row r="389" spans="1:1" ht="14.4">
      <c r="A389" s="89"/>
    </row>
    <row r="390" spans="1:1" ht="14.4">
      <c r="A390" s="89"/>
    </row>
    <row r="391" spans="1:1" ht="14.4">
      <c r="A391" s="89"/>
    </row>
    <row r="392" spans="1:1" ht="14.4">
      <c r="A392" s="89"/>
    </row>
    <row r="393" spans="1:1" ht="14.4">
      <c r="A393" s="89"/>
    </row>
    <row r="394" spans="1:1" ht="14.4">
      <c r="A394" s="89"/>
    </row>
    <row r="395" spans="1:1" ht="14.4">
      <c r="A395" s="89"/>
    </row>
    <row r="396" spans="1:1" ht="14.4">
      <c r="A396" s="89"/>
    </row>
    <row r="397" spans="1:1" ht="14.4">
      <c r="A397" s="89"/>
    </row>
    <row r="398" spans="1:1" ht="14.4">
      <c r="A398" s="89"/>
    </row>
    <row r="399" spans="1:1" ht="14.4">
      <c r="A399" s="89"/>
    </row>
    <row r="400" spans="1:1" ht="14.4">
      <c r="A400" s="89"/>
    </row>
    <row r="401" spans="1:1" ht="14.4">
      <c r="A401" s="89"/>
    </row>
    <row r="402" spans="1:1" ht="14.4">
      <c r="A402" s="89"/>
    </row>
    <row r="403" spans="1:1" ht="14.4">
      <c r="A403" s="89"/>
    </row>
    <row r="404" spans="1:1" ht="14.4">
      <c r="A404" s="89"/>
    </row>
    <row r="405" spans="1:1" ht="14.4">
      <c r="A405" s="89"/>
    </row>
    <row r="406" spans="1:1" ht="14.4">
      <c r="A406" s="89"/>
    </row>
    <row r="407" spans="1:1" ht="14.4">
      <c r="A407" s="89"/>
    </row>
    <row r="408" spans="1:1" ht="14.4">
      <c r="A408" s="89"/>
    </row>
    <row r="409" spans="1:1" ht="14.4">
      <c r="A409" s="89"/>
    </row>
    <row r="410" spans="1:1" ht="14.4">
      <c r="A410" s="89"/>
    </row>
    <row r="411" spans="1:1" ht="14.4">
      <c r="A411" s="89"/>
    </row>
    <row r="412" spans="1:1" ht="14.4">
      <c r="A412" s="89"/>
    </row>
    <row r="413" spans="1:1" ht="14.4">
      <c r="A413" s="89"/>
    </row>
    <row r="414" spans="1:1" ht="14.4">
      <c r="A414" s="89"/>
    </row>
    <row r="415" spans="1:1" ht="14.4">
      <c r="A415" s="89"/>
    </row>
    <row r="416" spans="1:1" ht="14.4">
      <c r="A416" s="89"/>
    </row>
    <row r="417" spans="1:1" ht="14.4">
      <c r="A417" s="89"/>
    </row>
    <row r="418" spans="1:1" ht="14.4">
      <c r="A418" s="89"/>
    </row>
    <row r="419" spans="1:1" ht="14.4">
      <c r="A419" s="89"/>
    </row>
    <row r="420" spans="1:1" ht="14.4">
      <c r="A420" s="89"/>
    </row>
    <row r="421" spans="1:1" ht="14.4">
      <c r="A421" s="89"/>
    </row>
    <row r="422" spans="1:1" ht="14.4">
      <c r="A422" s="89"/>
    </row>
    <row r="423" spans="1:1" ht="14.4">
      <c r="A423" s="89"/>
    </row>
    <row r="424" spans="1:1" ht="14.4">
      <c r="A424" s="89"/>
    </row>
    <row r="425" spans="1:1" ht="14.4">
      <c r="A425" s="89"/>
    </row>
    <row r="426" spans="1:1" ht="14.4">
      <c r="A426" s="89"/>
    </row>
    <row r="427" spans="1:1" ht="14.4">
      <c r="A427" s="89"/>
    </row>
    <row r="428" spans="1:1" ht="14.4">
      <c r="A428" s="89"/>
    </row>
    <row r="429" spans="1:1" ht="14.4">
      <c r="A429" s="89"/>
    </row>
    <row r="430" spans="1:1" ht="14.4">
      <c r="A430" s="89"/>
    </row>
    <row r="431" spans="1:1" ht="14.4">
      <c r="A431" s="89"/>
    </row>
    <row r="432" spans="1:1" ht="14.4">
      <c r="A432" s="89"/>
    </row>
    <row r="433" spans="1:1" ht="14.4">
      <c r="A433" s="89"/>
    </row>
    <row r="434" spans="1:1" ht="14.4">
      <c r="A434" s="89"/>
    </row>
    <row r="435" spans="1:1" ht="14.4">
      <c r="A435" s="89"/>
    </row>
    <row r="436" spans="1:1" ht="14.4">
      <c r="A436" s="89"/>
    </row>
    <row r="437" spans="1:1" ht="14.4">
      <c r="A437" s="89"/>
    </row>
    <row r="438" spans="1:1" ht="14.4">
      <c r="A438" s="89"/>
    </row>
    <row r="439" spans="1:1" ht="14.4">
      <c r="A439" s="89"/>
    </row>
    <row r="440" spans="1:1" ht="14.4">
      <c r="A440" s="89"/>
    </row>
    <row r="441" spans="1:1" ht="14.4">
      <c r="A441" s="89"/>
    </row>
    <row r="442" spans="1:1" ht="14.4">
      <c r="A442" s="89"/>
    </row>
    <row r="443" spans="1:1" ht="14.4">
      <c r="A443" s="89"/>
    </row>
    <row r="444" spans="1:1" ht="14.4">
      <c r="A444" s="89"/>
    </row>
    <row r="445" spans="1:1" ht="14.4">
      <c r="A445" s="89"/>
    </row>
    <row r="446" spans="1:1" ht="14.4">
      <c r="A446" s="89"/>
    </row>
    <row r="447" spans="1:1" ht="14.4">
      <c r="A447" s="89"/>
    </row>
    <row r="448" spans="1:1" ht="14.4">
      <c r="A448" s="89"/>
    </row>
    <row r="449" spans="1:1" ht="14.4">
      <c r="A449" s="89"/>
    </row>
    <row r="450" spans="1:1" ht="14.4">
      <c r="A450" s="89"/>
    </row>
    <row r="451" spans="1:1" ht="14.4">
      <c r="A451" s="89"/>
    </row>
    <row r="452" spans="1:1" ht="14.4">
      <c r="A452" s="89"/>
    </row>
    <row r="453" spans="1:1" ht="14.4">
      <c r="A453" s="89"/>
    </row>
    <row r="454" spans="1:1" ht="14.4">
      <c r="A454" s="89"/>
    </row>
    <row r="455" spans="1:1" ht="14.4">
      <c r="A455" s="89"/>
    </row>
    <row r="456" spans="1:1" ht="14.4">
      <c r="A456" s="89"/>
    </row>
    <row r="457" spans="1:1" ht="14.4">
      <c r="A457" s="89"/>
    </row>
    <row r="458" spans="1:1" ht="14.4">
      <c r="A458" s="89"/>
    </row>
    <row r="459" spans="1:1" ht="14.4">
      <c r="A459" s="89"/>
    </row>
    <row r="460" spans="1:1" ht="14.4">
      <c r="A460" s="89"/>
    </row>
    <row r="461" spans="1:1" ht="14.4">
      <c r="A461" s="89"/>
    </row>
    <row r="462" spans="1:1" ht="14.4">
      <c r="A462" s="89"/>
    </row>
    <row r="463" spans="1:1" ht="14.4">
      <c r="A463" s="89"/>
    </row>
    <row r="464" spans="1:1" ht="14.4">
      <c r="A464" s="89"/>
    </row>
    <row r="465" spans="1:1" ht="14.4">
      <c r="A465" s="89"/>
    </row>
    <row r="466" spans="1:1" ht="14.4">
      <c r="A466" s="89"/>
    </row>
    <row r="467" spans="1:1" ht="14.4">
      <c r="A467" s="89"/>
    </row>
    <row r="468" spans="1:1" ht="14.4">
      <c r="A468" s="89"/>
    </row>
    <row r="469" spans="1:1" ht="14.4">
      <c r="A469" s="89"/>
    </row>
    <row r="470" spans="1:1" ht="14.4">
      <c r="A470" s="89"/>
    </row>
    <row r="471" spans="1:1" ht="14.4">
      <c r="A471" s="89"/>
    </row>
    <row r="472" spans="1:1" ht="14.4">
      <c r="A472" s="89"/>
    </row>
    <row r="473" spans="1:1" ht="14.4">
      <c r="A473" s="89"/>
    </row>
    <row r="474" spans="1:1" ht="14.4">
      <c r="A474" s="89"/>
    </row>
    <row r="475" spans="1:1" ht="14.4">
      <c r="A475" s="89"/>
    </row>
    <row r="476" spans="1:1" ht="14.4">
      <c r="A476" s="89"/>
    </row>
    <row r="477" spans="1:1" ht="14.4">
      <c r="A477" s="89"/>
    </row>
    <row r="478" spans="1:1" ht="14.4">
      <c r="A478" s="89"/>
    </row>
    <row r="479" spans="1:1" ht="14.4">
      <c r="A479" s="89"/>
    </row>
    <row r="480" spans="1:1" ht="14.4">
      <c r="A480" s="89"/>
    </row>
    <row r="481" spans="1:1" ht="14.4">
      <c r="A481" s="89"/>
    </row>
    <row r="482" spans="1:1" ht="14.4">
      <c r="A482" s="89"/>
    </row>
    <row r="483" spans="1:1" ht="14.4">
      <c r="A483" s="89"/>
    </row>
    <row r="484" spans="1:1" ht="14.4">
      <c r="A484" s="89"/>
    </row>
    <row r="485" spans="1:1" ht="14.4">
      <c r="A485" s="89"/>
    </row>
    <row r="486" spans="1:1" ht="14.4">
      <c r="A486" s="89"/>
    </row>
    <row r="487" spans="1:1" ht="14.4">
      <c r="A487" s="89"/>
    </row>
    <row r="488" spans="1:1" ht="14.4">
      <c r="A488" s="89"/>
    </row>
    <row r="489" spans="1:1" ht="14.4">
      <c r="A489" s="89"/>
    </row>
    <row r="490" spans="1:1" ht="14.4">
      <c r="A490" s="89"/>
    </row>
    <row r="491" spans="1:1" ht="14.4">
      <c r="A491" s="89"/>
    </row>
    <row r="492" spans="1:1" ht="14.4">
      <c r="A492" s="89"/>
    </row>
    <row r="493" spans="1:1" ht="14.4">
      <c r="A493" s="89"/>
    </row>
    <row r="494" spans="1:1" ht="14.4">
      <c r="A494" s="89"/>
    </row>
    <row r="495" spans="1:1" ht="14.4">
      <c r="A495" s="89"/>
    </row>
    <row r="496" spans="1:1" ht="14.4">
      <c r="A496" s="89"/>
    </row>
    <row r="497" spans="1:1" ht="14.4">
      <c r="A497" s="89"/>
    </row>
    <row r="498" spans="1:1" ht="14.4">
      <c r="A498" s="89"/>
    </row>
    <row r="499" spans="1:1" ht="14.4">
      <c r="A499" s="89"/>
    </row>
    <row r="500" spans="1:1" ht="14.4">
      <c r="A500" s="89"/>
    </row>
    <row r="501" spans="1:1" ht="14.4">
      <c r="A501" s="89"/>
    </row>
    <row r="502" spans="1:1" ht="14.4">
      <c r="A502" s="89"/>
    </row>
    <row r="503" spans="1:1" ht="14.4">
      <c r="A503" s="89"/>
    </row>
    <row r="504" spans="1:1" ht="14.4">
      <c r="A504" s="89"/>
    </row>
    <row r="505" spans="1:1" ht="14.4">
      <c r="A505" s="89"/>
    </row>
    <row r="506" spans="1:1" ht="14.4">
      <c r="A506" s="89"/>
    </row>
    <row r="507" spans="1:1" ht="14.4">
      <c r="A507" s="89"/>
    </row>
    <row r="508" spans="1:1" ht="14.4">
      <c r="A508" s="89"/>
    </row>
    <row r="509" spans="1:1" ht="14.4">
      <c r="A509" s="89"/>
    </row>
    <row r="510" spans="1:1" ht="14.4">
      <c r="A510" s="89"/>
    </row>
    <row r="511" spans="1:1" ht="14.4">
      <c r="A511" s="89"/>
    </row>
    <row r="512" spans="1:1" ht="14.4">
      <c r="A512" s="89"/>
    </row>
    <row r="513" spans="1:1" ht="14.4">
      <c r="A513" s="89"/>
    </row>
    <row r="514" spans="1:1" ht="14.4">
      <c r="A514" s="89"/>
    </row>
    <row r="515" spans="1:1" ht="14.4">
      <c r="A515" s="89"/>
    </row>
    <row r="516" spans="1:1" ht="14.4">
      <c r="A516" s="89"/>
    </row>
    <row r="517" spans="1:1" ht="14.4">
      <c r="A517" s="89"/>
    </row>
    <row r="518" spans="1:1" ht="14.4">
      <c r="A518" s="89"/>
    </row>
    <row r="519" spans="1:1" ht="14.4">
      <c r="A519" s="89"/>
    </row>
    <row r="520" spans="1:1" ht="14.4">
      <c r="A520" s="89"/>
    </row>
    <row r="521" spans="1:1" ht="14.4">
      <c r="A521" s="89"/>
    </row>
    <row r="522" spans="1:1" ht="14.4">
      <c r="A522" s="89"/>
    </row>
    <row r="523" spans="1:1" ht="14.4">
      <c r="A523" s="89"/>
    </row>
    <row r="524" spans="1:1" ht="14.4">
      <c r="A524" s="89"/>
    </row>
    <row r="525" spans="1:1" ht="14.4">
      <c r="A525" s="89"/>
    </row>
    <row r="526" spans="1:1" ht="14.4">
      <c r="A526" s="89"/>
    </row>
    <row r="527" spans="1:1" ht="14.4">
      <c r="A527" s="89"/>
    </row>
    <row r="528" spans="1:1" ht="14.4">
      <c r="A528" s="89"/>
    </row>
    <row r="529" spans="1:1" ht="14.4">
      <c r="A529" s="89"/>
    </row>
    <row r="530" spans="1:1" ht="14.4">
      <c r="A530" s="89"/>
    </row>
    <row r="531" spans="1:1" ht="14.4">
      <c r="A531" s="89"/>
    </row>
    <row r="532" spans="1:1" ht="14.4">
      <c r="A532" s="89"/>
    </row>
    <row r="533" spans="1:1" ht="14.4">
      <c r="A533" s="89"/>
    </row>
    <row r="534" spans="1:1" ht="14.4">
      <c r="A534" s="89"/>
    </row>
    <row r="535" spans="1:1" ht="14.4">
      <c r="A535" s="89"/>
    </row>
    <row r="536" spans="1:1" ht="14.4">
      <c r="A536" s="89"/>
    </row>
    <row r="537" spans="1:1" ht="14.4">
      <c r="A537" s="89"/>
    </row>
    <row r="538" spans="1:1" ht="14.4">
      <c r="A538" s="89"/>
    </row>
    <row r="539" spans="1:1" ht="14.4">
      <c r="A539" s="89"/>
    </row>
    <row r="540" spans="1:1" ht="14.4">
      <c r="A540" s="89"/>
    </row>
    <row r="541" spans="1:1" ht="14.4">
      <c r="A541" s="89"/>
    </row>
    <row r="542" spans="1:1" ht="14.4">
      <c r="A542" s="89"/>
    </row>
    <row r="543" spans="1:1" ht="14.4">
      <c r="A543" s="89"/>
    </row>
    <row r="544" spans="1:1" ht="14.4">
      <c r="A544" s="89"/>
    </row>
    <row r="545" spans="1:1" ht="14.4">
      <c r="A545" s="89"/>
    </row>
    <row r="546" spans="1:1" ht="14.4">
      <c r="A546" s="89"/>
    </row>
    <row r="547" spans="1:1" ht="14.4">
      <c r="A547" s="89"/>
    </row>
    <row r="548" spans="1:1" ht="14.4">
      <c r="A548" s="89"/>
    </row>
    <row r="549" spans="1:1" ht="14.4">
      <c r="A549" s="89"/>
    </row>
    <row r="550" spans="1:1" ht="14.4">
      <c r="A550" s="89"/>
    </row>
    <row r="551" spans="1:1" ht="14.4">
      <c r="A551" s="89"/>
    </row>
    <row r="552" spans="1:1" ht="14.4">
      <c r="A552" s="89"/>
    </row>
    <row r="553" spans="1:1" ht="14.4">
      <c r="A553" s="89"/>
    </row>
    <row r="554" spans="1:1" ht="14.4">
      <c r="A554" s="89"/>
    </row>
    <row r="555" spans="1:1" ht="14.4">
      <c r="A555" s="89"/>
    </row>
    <row r="556" spans="1:1" ht="14.4">
      <c r="A556" s="89"/>
    </row>
    <row r="557" spans="1:1" ht="14.4">
      <c r="A557" s="89"/>
    </row>
    <row r="558" spans="1:1" ht="14.4">
      <c r="A558" s="89"/>
    </row>
    <row r="559" spans="1:1" ht="14.4">
      <c r="A559" s="89"/>
    </row>
    <row r="560" spans="1:1" ht="14.4">
      <c r="A560" s="89"/>
    </row>
    <row r="561" spans="1:1" ht="14.4">
      <c r="A561" s="89"/>
    </row>
    <row r="562" spans="1:1" ht="14.4">
      <c r="A562" s="89"/>
    </row>
    <row r="563" spans="1:1" ht="14.4">
      <c r="A563" s="89"/>
    </row>
    <row r="564" spans="1:1" ht="14.4">
      <c r="A564" s="89"/>
    </row>
    <row r="565" spans="1:1" ht="14.4">
      <c r="A565" s="89"/>
    </row>
    <row r="566" spans="1:1" ht="14.4">
      <c r="A566" s="89"/>
    </row>
    <row r="567" spans="1:1" ht="14.4">
      <c r="A567" s="89"/>
    </row>
    <row r="568" spans="1:1" ht="14.4">
      <c r="A568" s="89"/>
    </row>
    <row r="569" spans="1:1" ht="14.4">
      <c r="A569" s="89"/>
    </row>
    <row r="570" spans="1:1" ht="14.4">
      <c r="A570" s="89"/>
    </row>
    <row r="571" spans="1:1" ht="14.4">
      <c r="A571" s="89"/>
    </row>
    <row r="572" spans="1:1" ht="14.4">
      <c r="A572" s="89"/>
    </row>
    <row r="573" spans="1:1" ht="14.4">
      <c r="A573" s="89"/>
    </row>
    <row r="574" spans="1:1" ht="14.4">
      <c r="A574" s="89"/>
    </row>
    <row r="575" spans="1:1" ht="14.4">
      <c r="A575" s="89"/>
    </row>
    <row r="576" spans="1:1" ht="14.4">
      <c r="A576" s="89"/>
    </row>
    <row r="577" spans="1:1" ht="14.4">
      <c r="A577" s="89"/>
    </row>
    <row r="578" spans="1:1" ht="14.4">
      <c r="A578" s="89"/>
    </row>
    <row r="579" spans="1:1" ht="14.4">
      <c r="A579" s="89"/>
    </row>
    <row r="580" spans="1:1" ht="14.4">
      <c r="A580" s="89"/>
    </row>
    <row r="581" spans="1:1" ht="14.4">
      <c r="A581" s="89"/>
    </row>
    <row r="582" spans="1:1" ht="14.4">
      <c r="A582" s="89"/>
    </row>
    <row r="583" spans="1:1" ht="14.4">
      <c r="A583" s="89"/>
    </row>
    <row r="584" spans="1:1" ht="14.4">
      <c r="A584" s="89"/>
    </row>
    <row r="585" spans="1:1" ht="14.4">
      <c r="A585" s="89"/>
    </row>
    <row r="586" spans="1:1" ht="14.4">
      <c r="A586" s="89"/>
    </row>
    <row r="587" spans="1:1" ht="14.4">
      <c r="A587" s="89"/>
    </row>
    <row r="588" spans="1:1" ht="14.4">
      <c r="A588" s="89"/>
    </row>
    <row r="589" spans="1:1" ht="14.4">
      <c r="A589" s="89"/>
    </row>
    <row r="590" spans="1:1" ht="14.4">
      <c r="A590" s="89"/>
    </row>
    <row r="591" spans="1:1" ht="14.4">
      <c r="A591" s="89"/>
    </row>
    <row r="592" spans="1:1" ht="14.4">
      <c r="A592" s="89"/>
    </row>
    <row r="593" spans="1:1" ht="14.4">
      <c r="A593" s="89"/>
    </row>
    <row r="594" spans="1:1" ht="14.4">
      <c r="A594" s="89"/>
    </row>
    <row r="595" spans="1:1" ht="14.4">
      <c r="A595" s="89"/>
    </row>
    <row r="596" spans="1:1" ht="14.4">
      <c r="A596" s="89"/>
    </row>
    <row r="597" spans="1:1" ht="14.4">
      <c r="A597" s="89"/>
    </row>
    <row r="598" spans="1:1" ht="14.4">
      <c r="A598" s="89"/>
    </row>
    <row r="599" spans="1:1" ht="14.4">
      <c r="A599" s="89"/>
    </row>
    <row r="600" spans="1:1" ht="14.4">
      <c r="A600" s="89"/>
    </row>
    <row r="601" spans="1:1" ht="14.4">
      <c r="A601" s="89"/>
    </row>
    <row r="602" spans="1:1" ht="14.4">
      <c r="A602" s="89"/>
    </row>
    <row r="603" spans="1:1" ht="14.4">
      <c r="A603" s="89"/>
    </row>
    <row r="604" spans="1:1" ht="14.4">
      <c r="A604" s="89"/>
    </row>
    <row r="605" spans="1:1" ht="14.4">
      <c r="A605" s="89"/>
    </row>
    <row r="606" spans="1:1" ht="14.4">
      <c r="A606" s="89"/>
    </row>
    <row r="607" spans="1:1" ht="14.4">
      <c r="A607" s="89"/>
    </row>
    <row r="608" spans="1:1" ht="14.4">
      <c r="A608" s="89"/>
    </row>
    <row r="609" spans="1:1" ht="14.4">
      <c r="A609" s="89"/>
    </row>
    <row r="610" spans="1:1" ht="14.4">
      <c r="A610" s="89"/>
    </row>
    <row r="611" spans="1:1" ht="14.4">
      <c r="A611" s="89"/>
    </row>
    <row r="612" spans="1:1" ht="14.4">
      <c r="A612" s="89"/>
    </row>
    <row r="613" spans="1:1" ht="14.4">
      <c r="A613" s="89"/>
    </row>
    <row r="614" spans="1:1" ht="14.4">
      <c r="A614" s="89"/>
    </row>
    <row r="615" spans="1:1" ht="14.4">
      <c r="A615" s="89"/>
    </row>
    <row r="616" spans="1:1" ht="14.4">
      <c r="A616" s="89"/>
    </row>
    <row r="617" spans="1:1" ht="14.4">
      <c r="A617" s="89"/>
    </row>
    <row r="618" spans="1:1" ht="14.4">
      <c r="A618" s="89"/>
    </row>
    <row r="619" spans="1:1" ht="14.4">
      <c r="A619" s="89"/>
    </row>
    <row r="620" spans="1:1" ht="14.4">
      <c r="A620" s="89"/>
    </row>
    <row r="621" spans="1:1" ht="14.4">
      <c r="A621" s="89"/>
    </row>
    <row r="622" spans="1:1" ht="14.4">
      <c r="A622" s="89"/>
    </row>
    <row r="623" spans="1:1" ht="14.4">
      <c r="A623" s="89"/>
    </row>
    <row r="624" spans="1:1" ht="14.4">
      <c r="A624" s="89"/>
    </row>
    <row r="625" spans="1:1" ht="14.4">
      <c r="A625" s="89"/>
    </row>
    <row r="626" spans="1:1" ht="14.4">
      <c r="A626" s="89"/>
    </row>
    <row r="627" spans="1:1" ht="14.4">
      <c r="A627" s="89"/>
    </row>
    <row r="628" spans="1:1" ht="14.4">
      <c r="A628" s="89"/>
    </row>
    <row r="629" spans="1:1" ht="14.4">
      <c r="A629" s="89"/>
    </row>
    <row r="630" spans="1:1" ht="14.4">
      <c r="A630" s="89"/>
    </row>
    <row r="631" spans="1:1" ht="14.4">
      <c r="A631" s="89"/>
    </row>
    <row r="632" spans="1:1" ht="14.4">
      <c r="A632" s="89"/>
    </row>
    <row r="633" spans="1:1" ht="14.4">
      <c r="A633" s="89"/>
    </row>
    <row r="634" spans="1:1" ht="14.4">
      <c r="A634" s="89"/>
    </row>
    <row r="635" spans="1:1" ht="14.4">
      <c r="A635" s="89"/>
    </row>
    <row r="636" spans="1:1" ht="14.4">
      <c r="A636" s="89"/>
    </row>
    <row r="637" spans="1:1" ht="14.4">
      <c r="A637" s="89"/>
    </row>
    <row r="638" spans="1:1" ht="14.4">
      <c r="A638" s="89"/>
    </row>
    <row r="639" spans="1:1" ht="14.4">
      <c r="A639" s="89"/>
    </row>
    <row r="640" spans="1:1" ht="14.4">
      <c r="A640" s="89"/>
    </row>
    <row r="641" spans="1:1" ht="14.4">
      <c r="A641" s="89"/>
    </row>
    <row r="642" spans="1:1" ht="14.4">
      <c r="A642" s="89"/>
    </row>
    <row r="643" spans="1:1" ht="14.4">
      <c r="A643" s="89"/>
    </row>
    <row r="644" spans="1:1" ht="14.4">
      <c r="A644" s="89"/>
    </row>
    <row r="645" spans="1:1" ht="14.4">
      <c r="A645" s="89"/>
    </row>
    <row r="646" spans="1:1" ht="14.4">
      <c r="A646" s="89"/>
    </row>
    <row r="647" spans="1:1" ht="14.4">
      <c r="A647" s="89"/>
    </row>
    <row r="648" spans="1:1" ht="14.4">
      <c r="A648" s="89"/>
    </row>
    <row r="649" spans="1:1" ht="14.4">
      <c r="A649" s="89"/>
    </row>
    <row r="650" spans="1:1" ht="14.4">
      <c r="A650" s="89"/>
    </row>
    <row r="651" spans="1:1" ht="14.4">
      <c r="A651" s="89"/>
    </row>
    <row r="652" spans="1:1" ht="14.4">
      <c r="A652" s="89"/>
    </row>
    <row r="653" spans="1:1" ht="14.4">
      <c r="A653" s="89"/>
    </row>
    <row r="654" spans="1:1" ht="14.4">
      <c r="A654" s="89"/>
    </row>
    <row r="655" spans="1:1" ht="14.4">
      <c r="A655" s="89"/>
    </row>
    <row r="656" spans="1:1" ht="14.4">
      <c r="A656" s="89"/>
    </row>
    <row r="657" spans="1:1" ht="14.4">
      <c r="A657" s="89"/>
    </row>
    <row r="658" spans="1:1" ht="14.4">
      <c r="A658" s="89"/>
    </row>
    <row r="659" spans="1:1" ht="14.4">
      <c r="A659" s="89"/>
    </row>
    <row r="660" spans="1:1" ht="14.4">
      <c r="A660" s="89"/>
    </row>
    <row r="661" spans="1:1" ht="14.4">
      <c r="A661" s="89"/>
    </row>
    <row r="662" spans="1:1" ht="14.4">
      <c r="A662" s="89"/>
    </row>
    <row r="663" spans="1:1" ht="14.4">
      <c r="A663" s="89"/>
    </row>
    <row r="664" spans="1:1" ht="14.4">
      <c r="A664" s="89"/>
    </row>
    <row r="665" spans="1:1" ht="14.4">
      <c r="A665" s="89"/>
    </row>
    <row r="666" spans="1:1" ht="14.4">
      <c r="A666" s="89"/>
    </row>
    <row r="667" spans="1:1" ht="14.4">
      <c r="A667" s="89"/>
    </row>
    <row r="668" spans="1:1" ht="14.4">
      <c r="A668" s="89"/>
    </row>
    <row r="669" spans="1:1" ht="14.4">
      <c r="A669" s="89"/>
    </row>
    <row r="670" spans="1:1" ht="14.4">
      <c r="A670" s="89"/>
    </row>
    <row r="671" spans="1:1" ht="14.4">
      <c r="A671" s="89"/>
    </row>
    <row r="672" spans="1:1" ht="14.4">
      <c r="A672" s="89"/>
    </row>
    <row r="673" spans="1:1" ht="14.4">
      <c r="A673" s="89"/>
    </row>
    <row r="674" spans="1:1" ht="14.4">
      <c r="A674" s="89"/>
    </row>
    <row r="675" spans="1:1" ht="14.4">
      <c r="A675" s="89"/>
    </row>
    <row r="676" spans="1:1" ht="14.4">
      <c r="A676" s="89"/>
    </row>
    <row r="677" spans="1:1" ht="14.4">
      <c r="A677" s="89"/>
    </row>
    <row r="678" spans="1:1" ht="14.4">
      <c r="A678" s="89"/>
    </row>
    <row r="679" spans="1:1" ht="14.4">
      <c r="A679" s="89"/>
    </row>
    <row r="680" spans="1:1" ht="14.4">
      <c r="A680" s="89"/>
    </row>
    <row r="681" spans="1:1" ht="14.4">
      <c r="A681" s="89"/>
    </row>
    <row r="682" spans="1:1" ht="14.4">
      <c r="A682" s="89"/>
    </row>
    <row r="683" spans="1:1" ht="14.4">
      <c r="A683" s="89"/>
    </row>
    <row r="684" spans="1:1" ht="14.4">
      <c r="A684" s="89"/>
    </row>
    <row r="685" spans="1:1" ht="14.4">
      <c r="A685" s="89"/>
    </row>
    <row r="686" spans="1:1" ht="14.4">
      <c r="A686" s="89"/>
    </row>
    <row r="687" spans="1:1" ht="14.4">
      <c r="A687" s="89"/>
    </row>
    <row r="688" spans="1:1" ht="14.4">
      <c r="A688" s="89"/>
    </row>
    <row r="689" spans="1:1" ht="14.4">
      <c r="A689" s="89"/>
    </row>
    <row r="690" spans="1:1" ht="14.4">
      <c r="A690" s="89"/>
    </row>
    <row r="691" spans="1:1" ht="14.4">
      <c r="A691" s="89"/>
    </row>
    <row r="692" spans="1:1" ht="14.4">
      <c r="A692" s="89"/>
    </row>
    <row r="693" spans="1:1" ht="14.4">
      <c r="A693" s="89"/>
    </row>
    <row r="694" spans="1:1" ht="14.4">
      <c r="A694" s="89"/>
    </row>
    <row r="695" spans="1:1" ht="14.4">
      <c r="A695" s="89"/>
    </row>
    <row r="696" spans="1:1" ht="14.4">
      <c r="A696" s="89"/>
    </row>
    <row r="697" spans="1:1" ht="14.4">
      <c r="A697" s="89"/>
    </row>
    <row r="698" spans="1:1" ht="14.4">
      <c r="A698" s="89"/>
    </row>
    <row r="699" spans="1:1" ht="14.4">
      <c r="A699" s="89"/>
    </row>
    <row r="700" spans="1:1" ht="14.4">
      <c r="A700" s="89"/>
    </row>
    <row r="701" spans="1:1" ht="14.4">
      <c r="A701" s="89"/>
    </row>
    <row r="702" spans="1:1" ht="14.4">
      <c r="A702" s="89"/>
    </row>
    <row r="703" spans="1:1" ht="14.4">
      <c r="A703" s="89"/>
    </row>
    <row r="704" spans="1:1" ht="14.4">
      <c r="A704" s="89"/>
    </row>
    <row r="705" spans="1:1" ht="14.4">
      <c r="A705" s="89"/>
    </row>
    <row r="706" spans="1:1" ht="14.4">
      <c r="A706" s="89"/>
    </row>
    <row r="707" spans="1:1" ht="14.4">
      <c r="A707" s="89"/>
    </row>
    <row r="708" spans="1:1" ht="14.4">
      <c r="A708" s="89"/>
    </row>
    <row r="709" spans="1:1" ht="14.4">
      <c r="A709" s="89"/>
    </row>
    <row r="710" spans="1:1" ht="14.4">
      <c r="A710" s="89"/>
    </row>
    <row r="711" spans="1:1" ht="14.4">
      <c r="A711" s="89"/>
    </row>
    <row r="712" spans="1:1" ht="14.4">
      <c r="A712" s="89"/>
    </row>
    <row r="713" spans="1:1" ht="14.4">
      <c r="A713" s="89"/>
    </row>
    <row r="714" spans="1:1" ht="14.4">
      <c r="A714" s="89"/>
    </row>
    <row r="715" spans="1:1" ht="14.4">
      <c r="A715" s="89"/>
    </row>
    <row r="716" spans="1:1" ht="14.4">
      <c r="A716" s="89"/>
    </row>
    <row r="717" spans="1:1" ht="14.4">
      <c r="A717" s="89"/>
    </row>
    <row r="718" spans="1:1" ht="14.4">
      <c r="A718" s="89"/>
    </row>
    <row r="719" spans="1:1" ht="14.4">
      <c r="A719" s="89"/>
    </row>
    <row r="720" spans="1:1" ht="14.4">
      <c r="A720" s="89"/>
    </row>
    <row r="721" spans="1:1" ht="14.4">
      <c r="A721" s="89"/>
    </row>
    <row r="722" spans="1:1" ht="14.4">
      <c r="A722" s="89"/>
    </row>
    <row r="723" spans="1:1" ht="14.4">
      <c r="A723" s="89"/>
    </row>
    <row r="724" spans="1:1" ht="14.4">
      <c r="A724" s="89"/>
    </row>
    <row r="725" spans="1:1" ht="14.4">
      <c r="A725" s="89"/>
    </row>
    <row r="726" spans="1:1" ht="14.4">
      <c r="A726" s="89"/>
    </row>
    <row r="727" spans="1:1" ht="14.4">
      <c r="A727" s="89"/>
    </row>
    <row r="728" spans="1:1" ht="14.4">
      <c r="A728" s="89"/>
    </row>
    <row r="729" spans="1:1" ht="14.4">
      <c r="A729" s="89"/>
    </row>
    <row r="730" spans="1:1" ht="14.4">
      <c r="A730" s="89"/>
    </row>
    <row r="731" spans="1:1" ht="14.4">
      <c r="A731" s="89"/>
    </row>
    <row r="732" spans="1:1" ht="14.4">
      <c r="A732" s="89"/>
    </row>
    <row r="733" spans="1:1" ht="14.4">
      <c r="A733" s="89"/>
    </row>
    <row r="734" spans="1:1" ht="14.4">
      <c r="A734" s="89"/>
    </row>
    <row r="735" spans="1:1" ht="14.4">
      <c r="A735" s="89"/>
    </row>
    <row r="736" spans="1:1" ht="14.4">
      <c r="A736" s="89"/>
    </row>
    <row r="737" spans="1:1" ht="14.4">
      <c r="A737" s="89"/>
    </row>
    <row r="738" spans="1:1" ht="14.4">
      <c r="A738" s="89"/>
    </row>
    <row r="739" spans="1:1" ht="14.4">
      <c r="A739" s="89"/>
    </row>
    <row r="740" spans="1:1" ht="14.4">
      <c r="A740" s="89"/>
    </row>
    <row r="741" spans="1:1" ht="14.4">
      <c r="A741" s="89"/>
    </row>
    <row r="742" spans="1:1" ht="14.4">
      <c r="A742" s="89"/>
    </row>
    <row r="743" spans="1:1" ht="14.4">
      <c r="A743" s="89"/>
    </row>
    <row r="744" spans="1:1" ht="14.4">
      <c r="A744" s="89"/>
    </row>
    <row r="745" spans="1:1" ht="14.4">
      <c r="A745" s="89"/>
    </row>
    <row r="746" spans="1:1" ht="14.4">
      <c r="A746" s="89"/>
    </row>
    <row r="747" spans="1:1" ht="14.4">
      <c r="A747" s="89"/>
    </row>
    <row r="748" spans="1:1" ht="14.4">
      <c r="A748" s="89"/>
    </row>
    <row r="749" spans="1:1" ht="14.4">
      <c r="A749" s="89"/>
    </row>
    <row r="750" spans="1:1" ht="14.4">
      <c r="A750" s="89"/>
    </row>
    <row r="751" spans="1:1" ht="14.4">
      <c r="A751" s="89"/>
    </row>
    <row r="752" spans="1:1" ht="14.4">
      <c r="A752" s="89"/>
    </row>
    <row r="753" spans="1:1" ht="14.4">
      <c r="A753" s="89"/>
    </row>
    <row r="754" spans="1:1" ht="14.4">
      <c r="A754" s="89"/>
    </row>
    <row r="755" spans="1:1" ht="14.4">
      <c r="A755" s="89"/>
    </row>
    <row r="756" spans="1:1" ht="14.4">
      <c r="A756" s="89"/>
    </row>
    <row r="757" spans="1:1" ht="14.4">
      <c r="A757" s="89"/>
    </row>
    <row r="758" spans="1:1" ht="14.4">
      <c r="A758" s="89"/>
    </row>
    <row r="759" spans="1:1" ht="14.4">
      <c r="A759" s="89"/>
    </row>
    <row r="760" spans="1:1" ht="14.4">
      <c r="A760" s="89"/>
    </row>
    <row r="761" spans="1:1" ht="14.4">
      <c r="A761" s="89"/>
    </row>
    <row r="762" spans="1:1" ht="14.4">
      <c r="A762" s="89"/>
    </row>
    <row r="763" spans="1:1" ht="14.4">
      <c r="A763" s="89"/>
    </row>
    <row r="764" spans="1:1" ht="14.4">
      <c r="A764" s="89"/>
    </row>
    <row r="765" spans="1:1" ht="14.4">
      <c r="A765" s="89"/>
    </row>
    <row r="766" spans="1:1" ht="14.4">
      <c r="A766" s="89"/>
    </row>
    <row r="767" spans="1:1" ht="14.4">
      <c r="A767" s="89"/>
    </row>
    <row r="768" spans="1:1" ht="14.4">
      <c r="A768" s="89"/>
    </row>
    <row r="769" spans="1:1" ht="14.4">
      <c r="A769" s="89"/>
    </row>
    <row r="770" spans="1:1" ht="14.4">
      <c r="A770" s="89"/>
    </row>
    <row r="771" spans="1:1" ht="14.4">
      <c r="A771" s="89"/>
    </row>
    <row r="772" spans="1:1" ht="14.4">
      <c r="A772" s="89"/>
    </row>
    <row r="773" spans="1:1" ht="14.4">
      <c r="A773" s="89"/>
    </row>
    <row r="774" spans="1:1" ht="14.4">
      <c r="A774" s="89"/>
    </row>
    <row r="775" spans="1:1" ht="14.4">
      <c r="A775" s="89"/>
    </row>
    <row r="776" spans="1:1" ht="14.4">
      <c r="A776" s="89"/>
    </row>
    <row r="777" spans="1:1" ht="14.4">
      <c r="A777" s="89"/>
    </row>
    <row r="778" spans="1:1" ht="14.4">
      <c r="A778" s="89"/>
    </row>
    <row r="779" spans="1:1" ht="14.4">
      <c r="A779" s="89"/>
    </row>
    <row r="780" spans="1:1" ht="14.4">
      <c r="A780" s="89"/>
    </row>
    <row r="781" spans="1:1" ht="14.4">
      <c r="A781" s="89"/>
    </row>
    <row r="782" spans="1:1" ht="14.4">
      <c r="A782" s="89"/>
    </row>
    <row r="783" spans="1:1" ht="14.4">
      <c r="A783" s="89"/>
    </row>
    <row r="784" spans="1:1" ht="14.4">
      <c r="A784" s="89"/>
    </row>
    <row r="785" spans="1:1" ht="14.4">
      <c r="A785" s="89"/>
    </row>
    <row r="786" spans="1:1" ht="14.4">
      <c r="A786" s="89"/>
    </row>
    <row r="787" spans="1:1" ht="14.4">
      <c r="A787" s="89"/>
    </row>
    <row r="788" spans="1:1" ht="14.4">
      <c r="A788" s="89"/>
    </row>
    <row r="789" spans="1:1" ht="14.4">
      <c r="A789" s="89"/>
    </row>
    <row r="790" spans="1:1" ht="14.4">
      <c r="A790" s="89"/>
    </row>
    <row r="791" spans="1:1" ht="14.4">
      <c r="A791" s="89"/>
    </row>
    <row r="792" spans="1:1" ht="14.4">
      <c r="A792" s="89"/>
    </row>
    <row r="793" spans="1:1" ht="14.4">
      <c r="A793" s="89"/>
    </row>
    <row r="794" spans="1:1" ht="14.4">
      <c r="A794" s="89"/>
    </row>
    <row r="795" spans="1:1" ht="14.4">
      <c r="A795" s="89"/>
    </row>
    <row r="796" spans="1:1" ht="14.4">
      <c r="A796" s="89"/>
    </row>
    <row r="797" spans="1:1" ht="14.4">
      <c r="A797" s="89"/>
    </row>
    <row r="798" spans="1:1" ht="14.4">
      <c r="A798" s="89"/>
    </row>
    <row r="799" spans="1:1" ht="14.4">
      <c r="A799" s="89"/>
    </row>
    <row r="800" spans="1:1" ht="14.4">
      <c r="A800" s="89"/>
    </row>
    <row r="801" spans="1:1" ht="14.4">
      <c r="A801" s="89"/>
    </row>
    <row r="802" spans="1:1" ht="14.4">
      <c r="A802" s="89"/>
    </row>
    <row r="803" spans="1:1" ht="14.4">
      <c r="A803" s="89"/>
    </row>
    <row r="804" spans="1:1" ht="14.4">
      <c r="A804" s="89"/>
    </row>
    <row r="805" spans="1:1" ht="14.4">
      <c r="A805" s="89"/>
    </row>
    <row r="806" spans="1:1" ht="14.4">
      <c r="A806" s="89"/>
    </row>
    <row r="807" spans="1:1" ht="14.4">
      <c r="A807" s="89"/>
    </row>
    <row r="808" spans="1:1" ht="14.4">
      <c r="A808" s="89"/>
    </row>
    <row r="809" spans="1:1" ht="14.4">
      <c r="A809" s="89"/>
    </row>
    <row r="810" spans="1:1" ht="14.4">
      <c r="A810" s="89"/>
    </row>
    <row r="811" spans="1:1" ht="14.4">
      <c r="A811" s="89"/>
    </row>
    <row r="812" spans="1:1" ht="14.4">
      <c r="A812" s="89"/>
    </row>
    <row r="813" spans="1:1" ht="14.4">
      <c r="A813" s="89"/>
    </row>
    <row r="814" spans="1:1" ht="14.4">
      <c r="A814" s="89"/>
    </row>
    <row r="815" spans="1:1" ht="14.4">
      <c r="A815" s="89"/>
    </row>
    <row r="816" spans="1:1" ht="14.4">
      <c r="A816" s="89"/>
    </row>
    <row r="817" spans="1:1" ht="14.4">
      <c r="A817" s="89"/>
    </row>
    <row r="818" spans="1:1" ht="14.4">
      <c r="A818" s="89"/>
    </row>
    <row r="819" spans="1:1" ht="14.4">
      <c r="A819" s="89"/>
    </row>
    <row r="820" spans="1:1" ht="14.4">
      <c r="A820" s="89"/>
    </row>
    <row r="821" spans="1:1" ht="14.4">
      <c r="A821" s="89"/>
    </row>
    <row r="822" spans="1:1" ht="14.4">
      <c r="A822" s="89"/>
    </row>
    <row r="823" spans="1:1" ht="14.4">
      <c r="A823" s="89"/>
    </row>
    <row r="824" spans="1:1" ht="14.4">
      <c r="A824" s="89"/>
    </row>
    <row r="825" spans="1:1" ht="14.4">
      <c r="A825" s="89"/>
    </row>
    <row r="826" spans="1:1" ht="14.4">
      <c r="A826" s="89"/>
    </row>
    <row r="827" spans="1:1" ht="14.4">
      <c r="A827" s="89"/>
    </row>
    <row r="828" spans="1:1" ht="14.4">
      <c r="A828" s="89"/>
    </row>
    <row r="829" spans="1:1" ht="14.4">
      <c r="A829" s="89"/>
    </row>
    <row r="830" spans="1:1" ht="14.4">
      <c r="A830" s="89"/>
    </row>
    <row r="831" spans="1:1" ht="14.4">
      <c r="A831" s="89"/>
    </row>
    <row r="832" spans="1:1" ht="14.4">
      <c r="A832" s="89"/>
    </row>
    <row r="833" spans="1:1" ht="14.4">
      <c r="A833" s="89"/>
    </row>
    <row r="834" spans="1:1" ht="14.4">
      <c r="A834" s="89"/>
    </row>
    <row r="835" spans="1:1" ht="14.4">
      <c r="A835" s="89"/>
    </row>
    <row r="836" spans="1:1" ht="14.4">
      <c r="A836" s="89"/>
    </row>
    <row r="837" spans="1:1" ht="14.4">
      <c r="A837" s="89"/>
    </row>
    <row r="838" spans="1:1" ht="14.4">
      <c r="A838" s="89"/>
    </row>
    <row r="839" spans="1:1" ht="14.4">
      <c r="A839" s="89"/>
    </row>
    <row r="840" spans="1:1" ht="14.4">
      <c r="A840" s="89"/>
    </row>
    <row r="841" spans="1:1" ht="14.4">
      <c r="A841" s="89"/>
    </row>
    <row r="842" spans="1:1" ht="14.4">
      <c r="A842" s="89"/>
    </row>
    <row r="843" spans="1:1" ht="14.4">
      <c r="A843" s="89"/>
    </row>
    <row r="844" spans="1:1" ht="14.4">
      <c r="A844" s="89"/>
    </row>
    <row r="845" spans="1:1" ht="14.4">
      <c r="A845" s="89"/>
    </row>
    <row r="846" spans="1:1" ht="14.4">
      <c r="A846" s="89"/>
    </row>
    <row r="847" spans="1:1" ht="14.4">
      <c r="A847" s="89"/>
    </row>
    <row r="848" spans="1:1" ht="14.4">
      <c r="A848" s="89"/>
    </row>
    <row r="849" spans="1:1" ht="14.4">
      <c r="A849" s="89"/>
    </row>
    <row r="850" spans="1:1" ht="14.4">
      <c r="A850" s="89"/>
    </row>
    <row r="851" spans="1:1" ht="14.4">
      <c r="A851" s="89"/>
    </row>
    <row r="852" spans="1:1" ht="14.4">
      <c r="A852" s="89"/>
    </row>
    <row r="853" spans="1:1" ht="14.4">
      <c r="A853" s="89"/>
    </row>
    <row r="854" spans="1:1" ht="14.4">
      <c r="A854" s="89"/>
    </row>
    <row r="855" spans="1:1" ht="14.4">
      <c r="A855" s="89"/>
    </row>
    <row r="856" spans="1:1" ht="14.4">
      <c r="A856" s="89"/>
    </row>
    <row r="857" spans="1:1" ht="14.4">
      <c r="A857" s="89"/>
    </row>
    <row r="858" spans="1:1" ht="14.4">
      <c r="A858" s="89"/>
    </row>
    <row r="859" spans="1:1" ht="14.4">
      <c r="A859" s="89"/>
    </row>
    <row r="860" spans="1:1" ht="14.4">
      <c r="A860" s="89"/>
    </row>
    <row r="861" spans="1:1" ht="14.4">
      <c r="A861" s="89"/>
    </row>
    <row r="862" spans="1:1" ht="14.4">
      <c r="A862" s="89"/>
    </row>
    <row r="863" spans="1:1" ht="14.4">
      <c r="A863" s="89"/>
    </row>
    <row r="864" spans="1:1" ht="14.4">
      <c r="A864" s="89"/>
    </row>
    <row r="865" spans="1:1" ht="14.4">
      <c r="A865" s="89"/>
    </row>
    <row r="866" spans="1:1" ht="14.4">
      <c r="A866" s="89"/>
    </row>
    <row r="867" spans="1:1" ht="14.4">
      <c r="A867" s="89"/>
    </row>
    <row r="868" spans="1:1" ht="14.4">
      <c r="A868" s="89"/>
    </row>
    <row r="869" spans="1:1" ht="14.4">
      <c r="A869" s="89"/>
    </row>
    <row r="870" spans="1:1" ht="14.4">
      <c r="A870" s="89"/>
    </row>
    <row r="871" spans="1:1" ht="14.4">
      <c r="A871" s="89"/>
    </row>
    <row r="872" spans="1:1" ht="14.4">
      <c r="A872" s="89"/>
    </row>
    <row r="873" spans="1:1" ht="14.4">
      <c r="A873" s="89"/>
    </row>
    <row r="874" spans="1:1" ht="14.4">
      <c r="A874" s="89"/>
    </row>
    <row r="875" spans="1:1" ht="14.4">
      <c r="A875" s="89"/>
    </row>
    <row r="876" spans="1:1" ht="14.4">
      <c r="A876" s="89"/>
    </row>
    <row r="877" spans="1:1" ht="14.4">
      <c r="A877" s="89"/>
    </row>
    <row r="878" spans="1:1" ht="14.4">
      <c r="A878" s="89"/>
    </row>
    <row r="879" spans="1:1" ht="14.4">
      <c r="A879" s="89"/>
    </row>
    <row r="880" spans="1:1" ht="14.4">
      <c r="A880" s="89"/>
    </row>
    <row r="881" spans="1:1" ht="14.4">
      <c r="A881" s="89"/>
    </row>
    <row r="882" spans="1:1" ht="14.4">
      <c r="A882" s="89"/>
    </row>
    <row r="883" spans="1:1" ht="14.4">
      <c r="A883" s="89"/>
    </row>
    <row r="884" spans="1:1" ht="14.4">
      <c r="A884" s="89"/>
    </row>
    <row r="885" spans="1:1" ht="14.4">
      <c r="A885" s="89"/>
    </row>
    <row r="886" spans="1:1" ht="14.4">
      <c r="A886" s="89"/>
    </row>
    <row r="887" spans="1:1" ht="14.4">
      <c r="A887" s="89"/>
    </row>
    <row r="888" spans="1:1" ht="14.4">
      <c r="A888" s="89"/>
    </row>
    <row r="889" spans="1:1" ht="14.4">
      <c r="A889" s="89"/>
    </row>
    <row r="890" spans="1:1" ht="14.4">
      <c r="A890" s="89"/>
    </row>
    <row r="891" spans="1:1" ht="14.4">
      <c r="A891" s="89"/>
    </row>
    <row r="892" spans="1:1" ht="14.4">
      <c r="A892" s="89"/>
    </row>
    <row r="893" spans="1:1" ht="14.4">
      <c r="A893" s="89"/>
    </row>
    <row r="894" spans="1:1" ht="14.4">
      <c r="A894" s="89"/>
    </row>
    <row r="895" spans="1:1" ht="14.4">
      <c r="A895" s="89"/>
    </row>
    <row r="896" spans="1:1" ht="14.4">
      <c r="A896" s="89"/>
    </row>
    <row r="897" spans="1:1" ht="14.4">
      <c r="A897" s="89"/>
    </row>
    <row r="898" spans="1:1" ht="14.4">
      <c r="A898" s="89"/>
    </row>
    <row r="899" spans="1:1" ht="14.4">
      <c r="A899" s="89"/>
    </row>
    <row r="900" spans="1:1" ht="14.4">
      <c r="A900" s="89"/>
    </row>
    <row r="901" spans="1:1" ht="14.4">
      <c r="A901" s="89"/>
    </row>
    <row r="902" spans="1:1" ht="14.4">
      <c r="A902" s="89"/>
    </row>
    <row r="903" spans="1:1" ht="14.4">
      <c r="A903" s="89"/>
    </row>
    <row r="904" spans="1:1" ht="14.4">
      <c r="A904" s="89"/>
    </row>
    <row r="905" spans="1:1" ht="14.4">
      <c r="A905" s="89"/>
    </row>
    <row r="906" spans="1:1" ht="14.4">
      <c r="A906" s="89"/>
    </row>
    <row r="907" spans="1:1" ht="14.4">
      <c r="A907" s="89"/>
    </row>
    <row r="908" spans="1:1" ht="14.4">
      <c r="A908" s="89"/>
    </row>
    <row r="909" spans="1:1" ht="14.4">
      <c r="A909" s="89"/>
    </row>
    <row r="910" spans="1:1" ht="14.4">
      <c r="A910" s="89"/>
    </row>
    <row r="911" spans="1:1" ht="14.4">
      <c r="A911" s="89"/>
    </row>
    <row r="912" spans="1:1" ht="14.4">
      <c r="A912" s="89"/>
    </row>
    <row r="913" spans="1:1" ht="14.4">
      <c r="A913" s="89"/>
    </row>
    <row r="914" spans="1:1" ht="14.4">
      <c r="A914" s="89"/>
    </row>
    <row r="915" spans="1:1" ht="14.4">
      <c r="A915" s="89"/>
    </row>
    <row r="916" spans="1:1" ht="14.4">
      <c r="A916" s="89"/>
    </row>
    <row r="917" spans="1:1" ht="14.4">
      <c r="A917" s="89"/>
    </row>
    <row r="918" spans="1:1" ht="14.4">
      <c r="A918" s="89"/>
    </row>
    <row r="919" spans="1:1" ht="14.4">
      <c r="A919" s="89"/>
    </row>
    <row r="920" spans="1:1" ht="14.4">
      <c r="A920" s="89"/>
    </row>
    <row r="921" spans="1:1" ht="14.4">
      <c r="A921" s="89"/>
    </row>
    <row r="922" spans="1:1" ht="14.4">
      <c r="A922" s="89"/>
    </row>
    <row r="923" spans="1:1" ht="14.4">
      <c r="A923" s="89"/>
    </row>
    <row r="924" spans="1:1" ht="14.4">
      <c r="A924" s="89"/>
    </row>
    <row r="925" spans="1:1" ht="14.4">
      <c r="A925" s="89"/>
    </row>
    <row r="926" spans="1:1" ht="14.4">
      <c r="A926" s="89"/>
    </row>
    <row r="927" spans="1:1" ht="14.4">
      <c r="A927" s="89"/>
    </row>
    <row r="928" spans="1:1" ht="14.4">
      <c r="A928" s="89"/>
    </row>
    <row r="929" spans="1:1" ht="14.4">
      <c r="A929" s="89"/>
    </row>
    <row r="930" spans="1:1" ht="14.4">
      <c r="A930" s="89"/>
    </row>
    <row r="931" spans="1:1" ht="14.4">
      <c r="A931" s="89"/>
    </row>
    <row r="932" spans="1:1" ht="14.4">
      <c r="A932" s="89"/>
    </row>
    <row r="933" spans="1:1" ht="14.4">
      <c r="A933" s="89"/>
    </row>
    <row r="934" spans="1:1" ht="14.4">
      <c r="A934" s="89"/>
    </row>
    <row r="935" spans="1:1" ht="14.4">
      <c r="A935" s="89"/>
    </row>
    <row r="936" spans="1:1" ht="14.4">
      <c r="A936" s="89"/>
    </row>
    <row r="937" spans="1:1" ht="14.4">
      <c r="A937" s="89"/>
    </row>
    <row r="938" spans="1:1" ht="14.4">
      <c r="A938" s="89"/>
    </row>
    <row r="939" spans="1:1" ht="14.4">
      <c r="A939" s="89"/>
    </row>
    <row r="940" spans="1:1" ht="14.4">
      <c r="A940" s="89"/>
    </row>
    <row r="941" spans="1:1" ht="14.4">
      <c r="A941" s="89"/>
    </row>
    <row r="942" spans="1:1" ht="14.4">
      <c r="A942" s="89"/>
    </row>
    <row r="943" spans="1:1" ht="14.4">
      <c r="A943" s="89"/>
    </row>
    <row r="944" spans="1:1" ht="14.4">
      <c r="A944" s="89"/>
    </row>
    <row r="945" spans="1:1" ht="14.4">
      <c r="A945" s="89"/>
    </row>
    <row r="946" spans="1:1" ht="14.4">
      <c r="A946" s="89"/>
    </row>
    <row r="947" spans="1:1" ht="14.4">
      <c r="A947" s="89"/>
    </row>
    <row r="948" spans="1:1" ht="14.4">
      <c r="A948" s="89"/>
    </row>
    <row r="949" spans="1:1" ht="14.4">
      <c r="A949" s="89"/>
    </row>
    <row r="950" spans="1:1" ht="14.4">
      <c r="A950" s="89"/>
    </row>
    <row r="951" spans="1:1" ht="14.4">
      <c r="A951" s="89"/>
    </row>
    <row r="952" spans="1:1" ht="14.4">
      <c r="A952" s="89"/>
    </row>
    <row r="953" spans="1:1" ht="14.4">
      <c r="A953" s="89"/>
    </row>
    <row r="954" spans="1:1" ht="14.4">
      <c r="A954" s="89"/>
    </row>
    <row r="955" spans="1:1" ht="14.4">
      <c r="A955" s="89"/>
    </row>
    <row r="956" spans="1:1" ht="14.4">
      <c r="A956" s="89"/>
    </row>
    <row r="957" spans="1:1" ht="14.4">
      <c r="A957" s="89"/>
    </row>
    <row r="958" spans="1:1" ht="14.4">
      <c r="A958" s="89"/>
    </row>
    <row r="959" spans="1:1" ht="14.4">
      <c r="A959" s="89"/>
    </row>
    <row r="960" spans="1:1" ht="14.4">
      <c r="A960" s="89"/>
    </row>
    <row r="961" spans="1:1" ht="14.4">
      <c r="A961" s="89"/>
    </row>
    <row r="962" spans="1:1" ht="14.4">
      <c r="A962" s="89"/>
    </row>
    <row r="963" spans="1:1" ht="14.4">
      <c r="A963" s="89"/>
    </row>
    <row r="964" spans="1:1" ht="14.4">
      <c r="A964" s="89"/>
    </row>
    <row r="965" spans="1:1" ht="14.4">
      <c r="A965" s="89"/>
    </row>
    <row r="966" spans="1:1" ht="14.4">
      <c r="A966" s="89"/>
    </row>
    <row r="967" spans="1:1" ht="14.4">
      <c r="A967" s="89"/>
    </row>
    <row r="968" spans="1:1" ht="14.4">
      <c r="A968" s="89"/>
    </row>
    <row r="969" spans="1:1" ht="14.4">
      <c r="A969" s="89"/>
    </row>
  </sheetData>
  <mergeCells count="19">
    <mergeCell ref="J5:J10"/>
    <mergeCell ref="J11:J16"/>
    <mergeCell ref="J17:J18"/>
    <mergeCell ref="J19:J20"/>
    <mergeCell ref="J22:J30"/>
    <mergeCell ref="J31:J36"/>
    <mergeCell ref="J37:J40"/>
    <mergeCell ref="J41:J43"/>
    <mergeCell ref="J44:J45"/>
    <mergeCell ref="J46:J47"/>
    <mergeCell ref="A1:J2"/>
    <mergeCell ref="A3:A4"/>
    <mergeCell ref="B3:B4"/>
    <mergeCell ref="C3:C4"/>
    <mergeCell ref="D3:D4"/>
    <mergeCell ref="E3:E4"/>
    <mergeCell ref="F3:F4"/>
    <mergeCell ref="G3:I3"/>
    <mergeCell ref="J3:J4"/>
  </mergeCells>
  <printOptions horizontalCentered="1"/>
  <pageMargins left="0.25" right="0.25" top="0.23187080368495019" bottom="0.43061720684347893" header="0" footer="0"/>
  <pageSetup paperSize="9" pageOrder="overThenDown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K1001"/>
  <sheetViews>
    <sheetView workbookViewId="0"/>
  </sheetViews>
  <sheetFormatPr defaultColWidth="14.44140625" defaultRowHeight="15" customHeight="1"/>
  <cols>
    <col min="1" max="1" width="4.109375" customWidth="1"/>
    <col min="2" max="2" width="22.109375" customWidth="1"/>
    <col min="8" max="8" width="18.5546875" customWidth="1"/>
    <col min="11" max="11" width="29.88671875" customWidth="1"/>
  </cols>
  <sheetData>
    <row r="1" spans="1:11" ht="14.4">
      <c r="A1" s="683" t="s">
        <v>865</v>
      </c>
      <c r="B1" s="671"/>
      <c r="C1" s="671"/>
      <c r="D1" s="671"/>
      <c r="E1" s="671"/>
      <c r="F1" s="671"/>
      <c r="G1" s="671"/>
      <c r="H1" s="671"/>
      <c r="I1" s="671"/>
      <c r="J1" s="672"/>
    </row>
    <row r="2" spans="1:11" ht="14.4">
      <c r="A2" s="675"/>
      <c r="B2" s="676"/>
      <c r="C2" s="676"/>
      <c r="D2" s="676"/>
      <c r="E2" s="676"/>
      <c r="F2" s="676"/>
      <c r="G2" s="676"/>
      <c r="H2" s="676"/>
      <c r="I2" s="676"/>
      <c r="J2" s="677"/>
    </row>
    <row r="3" spans="1:11" ht="15.6">
      <c r="A3" s="684"/>
      <c r="B3" s="685" t="s">
        <v>815</v>
      </c>
      <c r="C3" s="685" t="s">
        <v>42</v>
      </c>
      <c r="D3" s="685" t="s">
        <v>541</v>
      </c>
      <c r="E3" s="685" t="s">
        <v>816</v>
      </c>
      <c r="F3" s="685" t="s">
        <v>817</v>
      </c>
      <c r="G3" s="686" t="s">
        <v>44</v>
      </c>
      <c r="H3" s="656"/>
      <c r="I3" s="657"/>
      <c r="J3" s="685" t="s">
        <v>48</v>
      </c>
    </row>
    <row r="4" spans="1:11" ht="15.6">
      <c r="A4" s="646"/>
      <c r="B4" s="646"/>
      <c r="C4" s="646"/>
      <c r="D4" s="646"/>
      <c r="E4" s="646"/>
      <c r="F4" s="646"/>
      <c r="G4" s="142" t="s">
        <v>654</v>
      </c>
      <c r="H4" s="142" t="s">
        <v>655</v>
      </c>
      <c r="I4" s="142" t="s">
        <v>656</v>
      </c>
      <c r="J4" s="646"/>
    </row>
    <row r="5" spans="1:11" ht="15.6">
      <c r="A5" s="143">
        <v>1</v>
      </c>
      <c r="B5" s="144" t="s">
        <v>605</v>
      </c>
      <c r="C5" s="144" t="s">
        <v>120</v>
      </c>
      <c r="D5" s="263">
        <f>F5/1.2</f>
        <v>35097</v>
      </c>
      <c r="E5" s="263">
        <f t="shared" ref="E5:E39" si="0">D5*0.2</f>
        <v>7019.4000000000005</v>
      </c>
      <c r="F5" s="263">
        <v>42116.4</v>
      </c>
      <c r="G5" s="144" t="s">
        <v>141</v>
      </c>
      <c r="H5" s="144" t="s">
        <v>142</v>
      </c>
      <c r="I5" s="144" t="s">
        <v>143</v>
      </c>
      <c r="J5" s="697" t="s">
        <v>455</v>
      </c>
      <c r="K5" s="33" t="str">
        <f t="shared" ref="K5:K39" si="1">CONCATENATE(G5,","," ",H5,"."," ",LEFT(I5,1))</f>
        <v>AGAOID, EDISON. S</v>
      </c>
    </row>
    <row r="6" spans="1:11" ht="15.6">
      <c r="A6" s="143">
        <v>2</v>
      </c>
      <c r="B6" s="144" t="s">
        <v>605</v>
      </c>
      <c r="C6" s="144" t="s">
        <v>120</v>
      </c>
      <c r="D6" s="263">
        <f>D5</f>
        <v>35097</v>
      </c>
      <c r="E6" s="263">
        <f t="shared" si="0"/>
        <v>7019.4000000000005</v>
      </c>
      <c r="F6" s="263">
        <v>42116.4</v>
      </c>
      <c r="G6" s="144" t="s">
        <v>336</v>
      </c>
      <c r="H6" s="144" t="s">
        <v>337</v>
      </c>
      <c r="I6" s="144" t="s">
        <v>787</v>
      </c>
      <c r="J6" s="646"/>
      <c r="K6" s="33" t="str">
        <f t="shared" si="1"/>
        <v>BAQUIRAN, MAR ELVISON. A</v>
      </c>
    </row>
    <row r="7" spans="1:11" ht="15.6">
      <c r="A7" s="143">
        <v>3</v>
      </c>
      <c r="B7" s="144" t="s">
        <v>724</v>
      </c>
      <c r="C7" s="144" t="s">
        <v>120</v>
      </c>
      <c r="D7" s="263">
        <f t="shared" ref="D7:D39" si="2">F7/1.2</f>
        <v>35097</v>
      </c>
      <c r="E7" s="263">
        <f t="shared" si="0"/>
        <v>7019.4000000000005</v>
      </c>
      <c r="F7" s="263">
        <v>42116.4</v>
      </c>
      <c r="G7" s="144" t="s">
        <v>296</v>
      </c>
      <c r="H7" s="144" t="s">
        <v>297</v>
      </c>
      <c r="I7" s="144" t="s">
        <v>298</v>
      </c>
      <c r="J7" s="693" t="s">
        <v>299</v>
      </c>
      <c r="K7" s="33" t="str">
        <f t="shared" si="1"/>
        <v>CASUGA, RICA. V</v>
      </c>
    </row>
    <row r="8" spans="1:11" ht="15.6">
      <c r="A8" s="143">
        <v>4</v>
      </c>
      <c r="B8" s="144" t="s">
        <v>754</v>
      </c>
      <c r="C8" s="148">
        <v>45597</v>
      </c>
      <c r="D8" s="263">
        <f t="shared" si="2"/>
        <v>25439</v>
      </c>
      <c r="E8" s="263">
        <f t="shared" si="0"/>
        <v>5087.8</v>
      </c>
      <c r="F8" s="263">
        <v>30526.799999999999</v>
      </c>
      <c r="G8" s="144" t="s">
        <v>134</v>
      </c>
      <c r="H8" s="144" t="s">
        <v>135</v>
      </c>
      <c r="I8" s="144" t="s">
        <v>136</v>
      </c>
      <c r="J8" s="662"/>
      <c r="K8" s="33" t="str">
        <f t="shared" si="1"/>
        <v>BUENO, CHRISTINE JOYCE. V</v>
      </c>
    </row>
    <row r="9" spans="1:11" ht="15.6">
      <c r="A9" s="143">
        <v>5</v>
      </c>
      <c r="B9" s="144" t="s">
        <v>754</v>
      </c>
      <c r="C9" s="148">
        <v>45597</v>
      </c>
      <c r="D9" s="263">
        <f t="shared" si="2"/>
        <v>25439</v>
      </c>
      <c r="E9" s="263">
        <f t="shared" si="0"/>
        <v>5087.8</v>
      </c>
      <c r="F9" s="263">
        <v>30526.799999999999</v>
      </c>
      <c r="G9" s="144" t="s">
        <v>375</v>
      </c>
      <c r="H9" s="144" t="s">
        <v>376</v>
      </c>
      <c r="I9" s="144" t="s">
        <v>377</v>
      </c>
      <c r="J9" s="662"/>
      <c r="K9" s="33" t="str">
        <f t="shared" si="1"/>
        <v>DAWIDEO, SAMANTHA. P</v>
      </c>
    </row>
    <row r="10" spans="1:11" ht="15.6">
      <c r="A10" s="143">
        <v>6</v>
      </c>
      <c r="B10" s="144" t="s">
        <v>754</v>
      </c>
      <c r="C10" s="148">
        <v>45597</v>
      </c>
      <c r="D10" s="263">
        <f t="shared" si="2"/>
        <v>25439</v>
      </c>
      <c r="E10" s="263">
        <f t="shared" si="0"/>
        <v>5087.8</v>
      </c>
      <c r="F10" s="263">
        <v>30526.799999999999</v>
      </c>
      <c r="G10" s="144" t="s">
        <v>99</v>
      </c>
      <c r="H10" s="144" t="s">
        <v>370</v>
      </c>
      <c r="I10" s="144" t="s">
        <v>371</v>
      </c>
      <c r="J10" s="662"/>
      <c r="K10" s="33" t="str">
        <f t="shared" si="1"/>
        <v>DEL ROSARIO, JONATHAN. F</v>
      </c>
    </row>
    <row r="11" spans="1:11" ht="15.6">
      <c r="A11" s="143">
        <v>7</v>
      </c>
      <c r="B11" s="144" t="s">
        <v>754</v>
      </c>
      <c r="C11" s="148">
        <v>45597</v>
      </c>
      <c r="D11" s="263">
        <f t="shared" si="2"/>
        <v>25439</v>
      </c>
      <c r="E11" s="263">
        <f t="shared" si="0"/>
        <v>5087.8</v>
      </c>
      <c r="F11" s="263">
        <v>30526.799999999999</v>
      </c>
      <c r="G11" s="144" t="s">
        <v>366</v>
      </c>
      <c r="H11" s="144" t="s">
        <v>367</v>
      </c>
      <c r="I11" s="144" t="s">
        <v>89</v>
      </c>
      <c r="J11" s="662"/>
      <c r="K11" s="33" t="str">
        <f t="shared" si="1"/>
        <v>SAGAYDORO, SHERYL. N</v>
      </c>
    </row>
    <row r="12" spans="1:11" ht="15.6">
      <c r="A12" s="143">
        <v>8</v>
      </c>
      <c r="B12" s="144" t="s">
        <v>754</v>
      </c>
      <c r="C12" s="148">
        <v>45597</v>
      </c>
      <c r="D12" s="263">
        <f t="shared" si="2"/>
        <v>25439</v>
      </c>
      <c r="E12" s="263">
        <f t="shared" si="0"/>
        <v>5087.8</v>
      </c>
      <c r="F12" s="263">
        <v>30526.799999999999</v>
      </c>
      <c r="G12" s="144" t="s">
        <v>363</v>
      </c>
      <c r="H12" s="144" t="s">
        <v>364</v>
      </c>
      <c r="I12" s="144" t="s">
        <v>365</v>
      </c>
      <c r="J12" s="646"/>
      <c r="K12" s="33" t="str">
        <f t="shared" si="1"/>
        <v>VALDEZ, MARIA KRISTINE. T</v>
      </c>
    </row>
    <row r="13" spans="1:11" ht="15.6">
      <c r="A13" s="143">
        <v>9</v>
      </c>
      <c r="B13" s="144" t="s">
        <v>724</v>
      </c>
      <c r="C13" s="144" t="s">
        <v>120</v>
      </c>
      <c r="D13" s="263">
        <f t="shared" si="2"/>
        <v>35097</v>
      </c>
      <c r="E13" s="263">
        <f t="shared" si="0"/>
        <v>7019.4000000000005</v>
      </c>
      <c r="F13" s="263">
        <v>42116.4</v>
      </c>
      <c r="G13" s="144" t="s">
        <v>128</v>
      </c>
      <c r="H13" s="144" t="s">
        <v>129</v>
      </c>
      <c r="I13" s="144" t="s">
        <v>130</v>
      </c>
      <c r="J13" s="694" t="s">
        <v>825</v>
      </c>
      <c r="K13" s="33" t="str">
        <f t="shared" si="1"/>
        <v>AMMASI, JAYFER. T</v>
      </c>
    </row>
    <row r="14" spans="1:11" ht="15.6">
      <c r="A14" s="143">
        <v>10</v>
      </c>
      <c r="B14" s="144" t="s">
        <v>724</v>
      </c>
      <c r="C14" s="144" t="s">
        <v>120</v>
      </c>
      <c r="D14" s="263">
        <f t="shared" si="2"/>
        <v>35097</v>
      </c>
      <c r="E14" s="263">
        <f t="shared" si="0"/>
        <v>7019.4000000000005</v>
      </c>
      <c r="F14" s="263">
        <v>42116.4</v>
      </c>
      <c r="G14" s="144" t="s">
        <v>309</v>
      </c>
      <c r="H14" s="144" t="s">
        <v>310</v>
      </c>
      <c r="I14" s="144" t="s">
        <v>311</v>
      </c>
      <c r="J14" s="646"/>
      <c r="K14" s="33" t="str">
        <f t="shared" si="1"/>
        <v>ANAPI, DEEJAY. G</v>
      </c>
    </row>
    <row r="15" spans="1:11" ht="15.6">
      <c r="A15" s="143">
        <v>11</v>
      </c>
      <c r="B15" s="144" t="s">
        <v>724</v>
      </c>
      <c r="C15" s="144" t="s">
        <v>120</v>
      </c>
      <c r="D15" s="263">
        <f t="shared" si="2"/>
        <v>35097</v>
      </c>
      <c r="E15" s="263">
        <f t="shared" si="0"/>
        <v>7019.4000000000005</v>
      </c>
      <c r="F15" s="263">
        <v>42116.4</v>
      </c>
      <c r="G15" s="144" t="s">
        <v>101</v>
      </c>
      <c r="H15" s="144" t="s">
        <v>304</v>
      </c>
      <c r="I15" s="144" t="s">
        <v>305</v>
      </c>
      <c r="J15" s="695" t="s">
        <v>379</v>
      </c>
      <c r="K15" s="33" t="str">
        <f t="shared" si="1"/>
        <v>CALAYAN, KIMBERLY ANN. B</v>
      </c>
    </row>
    <row r="16" spans="1:11" ht="15.6">
      <c r="A16" s="143">
        <v>12</v>
      </c>
      <c r="B16" s="144" t="s">
        <v>754</v>
      </c>
      <c r="C16" s="148">
        <v>45597</v>
      </c>
      <c r="D16" s="263">
        <f t="shared" si="2"/>
        <v>25439</v>
      </c>
      <c r="E16" s="263">
        <f t="shared" si="0"/>
        <v>5087.8</v>
      </c>
      <c r="F16" s="263">
        <v>30526.799999999999</v>
      </c>
      <c r="G16" s="144" t="s">
        <v>849</v>
      </c>
      <c r="H16" s="144" t="s">
        <v>850</v>
      </c>
      <c r="I16" s="144" t="s">
        <v>851</v>
      </c>
      <c r="J16" s="646"/>
      <c r="K16" s="33" t="str">
        <f t="shared" si="1"/>
        <v>FIDEL, DONNA ANDREA. D</v>
      </c>
    </row>
    <row r="17" spans="1:11" ht="16.2">
      <c r="A17" s="143">
        <v>13</v>
      </c>
      <c r="B17" s="144" t="s">
        <v>274</v>
      </c>
      <c r="C17" s="144" t="s">
        <v>275</v>
      </c>
      <c r="D17" s="263">
        <f t="shared" si="2"/>
        <v>38150</v>
      </c>
      <c r="E17" s="263">
        <f t="shared" si="0"/>
        <v>7630</v>
      </c>
      <c r="F17" s="267">
        <v>45780</v>
      </c>
      <c r="G17" s="144" t="s">
        <v>111</v>
      </c>
      <c r="H17" s="144" t="s">
        <v>112</v>
      </c>
      <c r="I17" s="144" t="s">
        <v>101</v>
      </c>
      <c r="J17" s="268" t="s">
        <v>567</v>
      </c>
      <c r="K17" s="33" t="str">
        <f t="shared" si="1"/>
        <v>BATANG, JOHNY. C</v>
      </c>
    </row>
    <row r="18" spans="1:11" ht="15.6">
      <c r="A18" s="143">
        <v>14</v>
      </c>
      <c r="B18" s="144" t="s">
        <v>245</v>
      </c>
      <c r="C18" s="144" t="s">
        <v>98</v>
      </c>
      <c r="D18" s="263">
        <f t="shared" si="2"/>
        <v>49835</v>
      </c>
      <c r="E18" s="263">
        <f t="shared" si="0"/>
        <v>9967</v>
      </c>
      <c r="F18" s="263">
        <v>59802</v>
      </c>
      <c r="G18" s="144" t="s">
        <v>114</v>
      </c>
      <c r="H18" s="144" t="s">
        <v>115</v>
      </c>
      <c r="I18" s="144" t="s">
        <v>116</v>
      </c>
      <c r="J18" s="696" t="s">
        <v>279</v>
      </c>
      <c r="K18" s="33" t="str">
        <f t="shared" si="1"/>
        <v>ELCHICO, JOEY MARK. D</v>
      </c>
    </row>
    <row r="19" spans="1:11" ht="16.2">
      <c r="A19" s="143">
        <v>15</v>
      </c>
      <c r="B19" s="144" t="s">
        <v>274</v>
      </c>
      <c r="C19" s="144" t="s">
        <v>275</v>
      </c>
      <c r="D19" s="263">
        <f t="shared" si="2"/>
        <v>38150</v>
      </c>
      <c r="E19" s="263">
        <f t="shared" si="0"/>
        <v>7630</v>
      </c>
      <c r="F19" s="267">
        <v>45780</v>
      </c>
      <c r="G19" s="144" t="s">
        <v>276</v>
      </c>
      <c r="H19" s="144" t="s">
        <v>277</v>
      </c>
      <c r="I19" s="144" t="s">
        <v>278</v>
      </c>
      <c r="J19" s="662"/>
      <c r="K19" s="33" t="str">
        <f t="shared" si="1"/>
        <v>CEPEDA, CYRILL SHANE. T</v>
      </c>
    </row>
    <row r="20" spans="1:11" ht="16.2" hidden="1">
      <c r="A20" s="143">
        <v>15</v>
      </c>
      <c r="B20" s="150" t="s">
        <v>461</v>
      </c>
      <c r="C20" s="148">
        <v>45627</v>
      </c>
      <c r="D20" s="263">
        <f t="shared" si="2"/>
        <v>27608</v>
      </c>
      <c r="E20" s="263">
        <f t="shared" si="0"/>
        <v>5521.6</v>
      </c>
      <c r="F20" s="267">
        <v>33129.599999999999</v>
      </c>
      <c r="G20" s="144" t="s">
        <v>866</v>
      </c>
      <c r="H20" s="144" t="s">
        <v>867</v>
      </c>
      <c r="I20" s="144" t="s">
        <v>868</v>
      </c>
      <c r="J20" s="662"/>
      <c r="K20" s="33" t="str">
        <f t="shared" si="1"/>
        <v>LEAÑO, ALEEN GLEEN. J</v>
      </c>
    </row>
    <row r="21" spans="1:11" ht="16.2">
      <c r="A21" s="143">
        <v>16</v>
      </c>
      <c r="B21" s="144" t="s">
        <v>274</v>
      </c>
      <c r="C21" s="144" t="s">
        <v>275</v>
      </c>
      <c r="D21" s="263">
        <f t="shared" si="2"/>
        <v>38150</v>
      </c>
      <c r="E21" s="263">
        <f t="shared" si="0"/>
        <v>7630</v>
      </c>
      <c r="F21" s="267">
        <v>45780</v>
      </c>
      <c r="G21" s="144" t="s">
        <v>300</v>
      </c>
      <c r="H21" s="144" t="s">
        <v>301</v>
      </c>
      <c r="I21" s="144" t="s">
        <v>302</v>
      </c>
      <c r="J21" s="662"/>
      <c r="K21" s="33" t="str">
        <f t="shared" si="1"/>
        <v>GUIMMAYEN, NEIL KRISTOPHER. C</v>
      </c>
    </row>
    <row r="22" spans="1:11" ht="15.6">
      <c r="A22" s="143">
        <v>17</v>
      </c>
      <c r="B22" s="144" t="s">
        <v>605</v>
      </c>
      <c r="C22" s="144" t="s">
        <v>120</v>
      </c>
      <c r="D22" s="263">
        <f t="shared" si="2"/>
        <v>35097</v>
      </c>
      <c r="E22" s="263">
        <f t="shared" si="0"/>
        <v>7019.4000000000005</v>
      </c>
      <c r="F22" s="263">
        <v>42116.4</v>
      </c>
      <c r="G22" s="144" t="s">
        <v>869</v>
      </c>
      <c r="H22" s="144" t="s">
        <v>607</v>
      </c>
      <c r="I22" s="144" t="s">
        <v>608</v>
      </c>
      <c r="J22" s="662"/>
      <c r="K22" s="33" t="str">
        <f t="shared" si="1"/>
        <v>CALALO , IAN MARCO. C</v>
      </c>
    </row>
    <row r="23" spans="1:11" ht="15.6">
      <c r="A23" s="143">
        <v>18</v>
      </c>
      <c r="B23" s="144" t="s">
        <v>605</v>
      </c>
      <c r="C23" s="144" t="s">
        <v>120</v>
      </c>
      <c r="D23" s="263">
        <f t="shared" si="2"/>
        <v>35097</v>
      </c>
      <c r="E23" s="263">
        <f t="shared" si="0"/>
        <v>7019.4000000000005</v>
      </c>
      <c r="F23" s="263">
        <v>42116.4</v>
      </c>
      <c r="G23" s="144" t="s">
        <v>322</v>
      </c>
      <c r="H23" s="144" t="s">
        <v>323</v>
      </c>
      <c r="I23" s="144" t="s">
        <v>615</v>
      </c>
      <c r="J23" s="662"/>
      <c r="K23" s="33" t="str">
        <f t="shared" si="1"/>
        <v>CATINOY, JANET. T</v>
      </c>
    </row>
    <row r="24" spans="1:11" ht="15.6">
      <c r="A24" s="143">
        <v>19</v>
      </c>
      <c r="B24" s="144" t="s">
        <v>724</v>
      </c>
      <c r="C24" s="144" t="s">
        <v>120</v>
      </c>
      <c r="D24" s="263">
        <f t="shared" si="2"/>
        <v>35097</v>
      </c>
      <c r="E24" s="263">
        <f t="shared" si="0"/>
        <v>7019.4000000000005</v>
      </c>
      <c r="F24" s="263">
        <v>42116.4</v>
      </c>
      <c r="G24" s="144" t="s">
        <v>315</v>
      </c>
      <c r="H24" s="144" t="s">
        <v>316</v>
      </c>
      <c r="I24" s="144" t="s">
        <v>317</v>
      </c>
      <c r="J24" s="662"/>
      <c r="K24" s="33" t="str">
        <f t="shared" si="1"/>
        <v>GALOLO, LEAH. G</v>
      </c>
    </row>
    <row r="25" spans="1:11" ht="15.6">
      <c r="A25" s="143">
        <v>20</v>
      </c>
      <c r="B25" s="144" t="s">
        <v>724</v>
      </c>
      <c r="C25" s="144" t="s">
        <v>120</v>
      </c>
      <c r="D25" s="263">
        <f t="shared" si="2"/>
        <v>35097</v>
      </c>
      <c r="E25" s="263">
        <f t="shared" si="0"/>
        <v>7019.4000000000005</v>
      </c>
      <c r="F25" s="263">
        <v>42116.4</v>
      </c>
      <c r="G25" s="144" t="s">
        <v>560</v>
      </c>
      <c r="H25" s="144" t="s">
        <v>561</v>
      </c>
      <c r="I25" s="144" t="s">
        <v>562</v>
      </c>
      <c r="J25" s="662"/>
      <c r="K25" s="33" t="str">
        <f t="shared" si="1"/>
        <v>MALVAS, RITZ ANDREI. I</v>
      </c>
    </row>
    <row r="26" spans="1:11" ht="15.6" hidden="1">
      <c r="A26" s="143">
        <v>21</v>
      </c>
      <c r="B26" s="150" t="s">
        <v>870</v>
      </c>
      <c r="C26" s="148">
        <v>45597</v>
      </c>
      <c r="D26" s="263">
        <f t="shared" si="2"/>
        <v>25439</v>
      </c>
      <c r="E26" s="263">
        <f t="shared" si="0"/>
        <v>5087.8</v>
      </c>
      <c r="F26" s="263">
        <v>30526.799999999999</v>
      </c>
      <c r="G26" s="144" t="s">
        <v>336</v>
      </c>
      <c r="H26" s="144" t="s">
        <v>337</v>
      </c>
      <c r="I26" s="144" t="s">
        <v>695</v>
      </c>
      <c r="J26" s="646"/>
      <c r="K26" s="33" t="str">
        <f t="shared" si="1"/>
        <v>BAQUIRAN, MAR ELVISON. A</v>
      </c>
    </row>
    <row r="27" spans="1:11" ht="15.6">
      <c r="A27" s="143">
        <v>21</v>
      </c>
      <c r="B27" s="286" t="s">
        <v>751</v>
      </c>
      <c r="C27" s="286" t="s">
        <v>98</v>
      </c>
      <c r="D27" s="287">
        <f t="shared" si="2"/>
        <v>49835</v>
      </c>
      <c r="E27" s="287">
        <f t="shared" si="0"/>
        <v>9967</v>
      </c>
      <c r="F27" s="287">
        <v>59802</v>
      </c>
      <c r="G27" s="286" t="s">
        <v>622</v>
      </c>
      <c r="H27" s="286" t="s">
        <v>623</v>
      </c>
      <c r="I27" s="286" t="s">
        <v>624</v>
      </c>
      <c r="J27" s="687" t="s">
        <v>258</v>
      </c>
      <c r="K27" s="33" t="str">
        <f t="shared" si="1"/>
        <v>BAGUILAT, EVENCE MICHAEL. C</v>
      </c>
    </row>
    <row r="28" spans="1:11" ht="16.2">
      <c r="A28" s="143">
        <v>22</v>
      </c>
      <c r="B28" s="144" t="s">
        <v>621</v>
      </c>
      <c r="C28" s="144" t="s">
        <v>275</v>
      </c>
      <c r="D28" s="263">
        <f t="shared" si="2"/>
        <v>38150</v>
      </c>
      <c r="E28" s="263">
        <f t="shared" si="0"/>
        <v>7630</v>
      </c>
      <c r="F28" s="267">
        <v>45780</v>
      </c>
      <c r="G28" s="144" t="s">
        <v>286</v>
      </c>
      <c r="H28" s="144" t="s">
        <v>287</v>
      </c>
      <c r="I28" s="144" t="s">
        <v>288</v>
      </c>
      <c r="J28" s="662"/>
      <c r="K28" s="33" t="str">
        <f t="shared" si="1"/>
        <v>MADDELA, KARL STEVEN. A</v>
      </c>
    </row>
    <row r="29" spans="1:11" ht="16.2">
      <c r="A29" s="143">
        <v>23</v>
      </c>
      <c r="B29" s="144" t="s">
        <v>621</v>
      </c>
      <c r="C29" s="144" t="s">
        <v>275</v>
      </c>
      <c r="D29" s="263">
        <f t="shared" si="2"/>
        <v>38150</v>
      </c>
      <c r="E29" s="263">
        <f t="shared" si="0"/>
        <v>7630</v>
      </c>
      <c r="F29" s="267">
        <v>45780</v>
      </c>
      <c r="G29" s="144" t="s">
        <v>260</v>
      </c>
      <c r="H29" s="144" t="s">
        <v>261</v>
      </c>
      <c r="I29" s="144" t="s">
        <v>262</v>
      </c>
      <c r="J29" s="662"/>
      <c r="K29" s="33" t="str">
        <f t="shared" si="1"/>
        <v>RECOLIZADO, JAYMAR. C</v>
      </c>
    </row>
    <row r="30" spans="1:11" ht="16.2">
      <c r="A30" s="143">
        <v>24</v>
      </c>
      <c r="B30" s="144" t="s">
        <v>139</v>
      </c>
      <c r="C30" s="148">
        <v>45627</v>
      </c>
      <c r="D30" s="263">
        <f t="shared" si="2"/>
        <v>27608</v>
      </c>
      <c r="E30" s="263">
        <f t="shared" si="0"/>
        <v>5521.6</v>
      </c>
      <c r="F30" s="267">
        <v>33129.599999999999</v>
      </c>
      <c r="G30" s="144" t="s">
        <v>163</v>
      </c>
      <c r="H30" s="144" t="s">
        <v>353</v>
      </c>
      <c r="I30" s="144" t="s">
        <v>354</v>
      </c>
      <c r="J30" s="662"/>
      <c r="K30" s="33" t="str">
        <f t="shared" si="1"/>
        <v>ABAD, DIETHER. A</v>
      </c>
    </row>
    <row r="31" spans="1:11" ht="16.2">
      <c r="A31" s="143">
        <v>25</v>
      </c>
      <c r="B31" s="144" t="s">
        <v>139</v>
      </c>
      <c r="C31" s="149">
        <v>45627</v>
      </c>
      <c r="D31" s="263">
        <f t="shared" si="2"/>
        <v>27608</v>
      </c>
      <c r="E31" s="263">
        <f t="shared" si="0"/>
        <v>5521.6</v>
      </c>
      <c r="F31" s="267">
        <v>33129.599999999999</v>
      </c>
      <c r="G31" s="150" t="s">
        <v>291</v>
      </c>
      <c r="H31" s="150" t="s">
        <v>292</v>
      </c>
      <c r="I31" s="150" t="s">
        <v>293</v>
      </c>
      <c r="J31" s="662"/>
      <c r="K31" s="33" t="str">
        <f t="shared" si="1"/>
        <v>TOMAS, BRYAN. H</v>
      </c>
    </row>
    <row r="32" spans="1:11" ht="15.6">
      <c r="A32" s="143">
        <v>26</v>
      </c>
      <c r="B32" s="144" t="s">
        <v>754</v>
      </c>
      <c r="C32" s="148">
        <v>45597</v>
      </c>
      <c r="D32" s="263">
        <f t="shared" si="2"/>
        <v>25439</v>
      </c>
      <c r="E32" s="263">
        <f t="shared" si="0"/>
        <v>5087.8</v>
      </c>
      <c r="F32" s="263">
        <v>30526.799999999999</v>
      </c>
      <c r="G32" s="144" t="s">
        <v>327</v>
      </c>
      <c r="H32" s="144" t="s">
        <v>328</v>
      </c>
      <c r="I32" s="144" t="s">
        <v>329</v>
      </c>
      <c r="J32" s="646"/>
      <c r="K32" s="33" t="str">
        <f t="shared" si="1"/>
        <v>GARCIA, JEANNE SHANNON. O</v>
      </c>
    </row>
    <row r="33" spans="1:11" ht="16.2">
      <c r="A33" s="143">
        <v>27</v>
      </c>
      <c r="B33" s="144" t="s">
        <v>274</v>
      </c>
      <c r="C33" s="144" t="s">
        <v>275</v>
      </c>
      <c r="D33" s="263">
        <f t="shared" si="2"/>
        <v>38150</v>
      </c>
      <c r="E33" s="263">
        <f t="shared" si="0"/>
        <v>7630</v>
      </c>
      <c r="F33" s="267">
        <v>45780</v>
      </c>
      <c r="G33" s="144" t="s">
        <v>282</v>
      </c>
      <c r="H33" s="144" t="s">
        <v>283</v>
      </c>
      <c r="I33" s="144" t="s">
        <v>199</v>
      </c>
      <c r="J33" s="699" t="s">
        <v>284</v>
      </c>
      <c r="K33" s="33" t="str">
        <f t="shared" si="1"/>
        <v>LANGCAY, MICHAEL ANGELO. R</v>
      </c>
    </row>
    <row r="34" spans="1:11" ht="16.2">
      <c r="A34" s="143">
        <v>28</v>
      </c>
      <c r="B34" s="144" t="s">
        <v>461</v>
      </c>
      <c r="C34" s="148">
        <v>45627</v>
      </c>
      <c r="D34" s="263">
        <f t="shared" si="2"/>
        <v>27608</v>
      </c>
      <c r="E34" s="263">
        <f t="shared" si="0"/>
        <v>5521.6</v>
      </c>
      <c r="F34" s="267">
        <v>33129.599999999999</v>
      </c>
      <c r="G34" s="144" t="s">
        <v>341</v>
      </c>
      <c r="H34" s="144" t="s">
        <v>342</v>
      </c>
      <c r="I34" s="144" t="s">
        <v>645</v>
      </c>
      <c r="J34" s="662"/>
      <c r="K34" s="33" t="str">
        <f t="shared" si="1"/>
        <v>JOSE, DAN MARK. R</v>
      </c>
    </row>
    <row r="35" spans="1:11" ht="16.2">
      <c r="A35" s="143">
        <v>29</v>
      </c>
      <c r="B35" s="288" t="s">
        <v>827</v>
      </c>
      <c r="C35" s="280">
        <v>45383</v>
      </c>
      <c r="D35" s="263">
        <f t="shared" si="2"/>
        <v>14993</v>
      </c>
      <c r="E35" s="263">
        <f t="shared" si="0"/>
        <v>2998.6000000000004</v>
      </c>
      <c r="F35" s="267">
        <v>17991.599999999999</v>
      </c>
      <c r="G35" s="279" t="s">
        <v>63</v>
      </c>
      <c r="H35" s="279" t="s">
        <v>230</v>
      </c>
      <c r="I35" s="279" t="s">
        <v>517</v>
      </c>
      <c r="J35" s="646"/>
      <c r="K35" s="33" t="str">
        <f t="shared" si="1"/>
        <v>TUMALIUAN, MARK JOHN. C</v>
      </c>
    </row>
    <row r="36" spans="1:11" ht="16.2">
      <c r="A36" s="143">
        <v>30</v>
      </c>
      <c r="B36" s="144" t="s">
        <v>860</v>
      </c>
      <c r="C36" s="279" t="s">
        <v>861</v>
      </c>
      <c r="D36" s="263">
        <f t="shared" si="2"/>
        <v>45203</v>
      </c>
      <c r="E36" s="263">
        <f t="shared" si="0"/>
        <v>9040.6</v>
      </c>
      <c r="F36" s="267">
        <v>54243.6</v>
      </c>
      <c r="G36" s="279" t="s">
        <v>61</v>
      </c>
      <c r="H36" s="279" t="s">
        <v>269</v>
      </c>
      <c r="I36" s="279" t="s">
        <v>270</v>
      </c>
      <c r="J36" s="689" t="s">
        <v>272</v>
      </c>
      <c r="K36" s="33" t="str">
        <f t="shared" si="1"/>
        <v>JIMENEZ, JEI ARISTON. C</v>
      </c>
    </row>
    <row r="37" spans="1:11" ht="15.6">
      <c r="A37" s="143">
        <v>31</v>
      </c>
      <c r="B37" s="144" t="s">
        <v>730</v>
      </c>
      <c r="C37" s="280">
        <v>45597</v>
      </c>
      <c r="D37" s="263">
        <f t="shared" si="2"/>
        <v>25439</v>
      </c>
      <c r="E37" s="263">
        <f t="shared" si="0"/>
        <v>5087.8</v>
      </c>
      <c r="F37" s="263">
        <v>30526.799999999999</v>
      </c>
      <c r="G37" s="279" t="s">
        <v>336</v>
      </c>
      <c r="H37" s="279" t="s">
        <v>381</v>
      </c>
      <c r="I37" s="279" t="s">
        <v>382</v>
      </c>
      <c r="J37" s="662"/>
      <c r="K37" s="33" t="str">
        <f t="shared" si="1"/>
        <v>BAQUIRAN, JULIUS CEZAR. C</v>
      </c>
    </row>
    <row r="38" spans="1:11" ht="15.6">
      <c r="A38" s="143">
        <v>32</v>
      </c>
      <c r="B38" s="144" t="s">
        <v>730</v>
      </c>
      <c r="C38" s="280">
        <v>45597</v>
      </c>
      <c r="D38" s="263">
        <f t="shared" si="2"/>
        <v>25439</v>
      </c>
      <c r="E38" s="263">
        <f t="shared" si="0"/>
        <v>5087.8</v>
      </c>
      <c r="F38" s="263">
        <v>30526.799999999999</v>
      </c>
      <c r="G38" s="279" t="s">
        <v>386</v>
      </c>
      <c r="H38" s="279" t="s">
        <v>707</v>
      </c>
      <c r="I38" s="279" t="s">
        <v>388</v>
      </c>
      <c r="J38" s="646"/>
      <c r="K38" s="33" t="str">
        <f t="shared" si="1"/>
        <v>SANTOS, IVAN PAUL. M</v>
      </c>
    </row>
    <row r="39" spans="1:11" ht="15.6">
      <c r="A39" s="143">
        <v>33</v>
      </c>
      <c r="B39" s="144" t="s">
        <v>754</v>
      </c>
      <c r="C39" s="280">
        <v>45597</v>
      </c>
      <c r="D39" s="263">
        <f t="shared" si="2"/>
        <v>25439</v>
      </c>
      <c r="E39" s="263">
        <f t="shared" si="0"/>
        <v>5087.8</v>
      </c>
      <c r="F39" s="263">
        <v>30526.799999999999</v>
      </c>
      <c r="G39" s="279" t="s">
        <v>859</v>
      </c>
      <c r="H39" s="279" t="s">
        <v>847</v>
      </c>
      <c r="I39" s="279" t="s">
        <v>848</v>
      </c>
      <c r="J39" s="289" t="s">
        <v>863</v>
      </c>
      <c r="K39" s="33" t="str">
        <f t="shared" si="1"/>
        <v>CADIENTE, ULYSSES NIÑO. M</v>
      </c>
    </row>
    <row r="40" spans="1:11" ht="14.4">
      <c r="A40" s="89"/>
    </row>
    <row r="41" spans="1:11" ht="14.4">
      <c r="A41" s="700"/>
      <c r="B41" s="649"/>
      <c r="C41" s="649"/>
      <c r="D41" s="649"/>
      <c r="E41" s="649"/>
      <c r="F41" s="649"/>
      <c r="G41" s="649"/>
      <c r="H41" s="649"/>
      <c r="I41" s="649"/>
      <c r="J41" s="649"/>
    </row>
    <row r="42" spans="1:11" ht="15" customHeight="1">
      <c r="A42" s="649"/>
      <c r="B42" s="649"/>
      <c r="C42" s="649"/>
      <c r="D42" s="649"/>
      <c r="E42" s="649"/>
      <c r="F42" s="649"/>
      <c r="G42" s="649"/>
      <c r="H42" s="649"/>
      <c r="I42" s="649"/>
      <c r="J42" s="649"/>
    </row>
    <row r="43" spans="1:11" ht="15.6">
      <c r="A43" s="701"/>
      <c r="B43" s="698"/>
      <c r="C43" s="698"/>
      <c r="D43" s="698"/>
      <c r="E43" s="698"/>
      <c r="F43" s="698"/>
      <c r="G43" s="698"/>
      <c r="H43" s="649"/>
      <c r="I43" s="649"/>
      <c r="J43" s="702"/>
    </row>
    <row r="44" spans="1:11" ht="15.6">
      <c r="A44" s="649"/>
      <c r="B44" s="649"/>
      <c r="C44" s="649"/>
      <c r="D44" s="649"/>
      <c r="E44" s="649"/>
      <c r="F44" s="649"/>
      <c r="G44" s="290"/>
      <c r="H44" s="290"/>
      <c r="I44" s="290"/>
      <c r="J44" s="649"/>
    </row>
    <row r="45" spans="1:11" ht="15.6">
      <c r="A45" s="89"/>
      <c r="J45" s="151"/>
    </row>
    <row r="46" spans="1:11" ht="15.6">
      <c r="A46" s="89"/>
      <c r="B46" s="139"/>
      <c r="C46" s="291"/>
      <c r="D46" s="292"/>
      <c r="E46" s="292"/>
      <c r="F46" s="292"/>
      <c r="G46" s="139"/>
      <c r="H46" s="139"/>
      <c r="I46" s="139"/>
      <c r="J46" s="704"/>
    </row>
    <row r="47" spans="1:11" ht="15.6">
      <c r="A47" s="89"/>
      <c r="B47" s="139"/>
      <c r="C47" s="139"/>
      <c r="D47" s="292"/>
      <c r="E47" s="292"/>
      <c r="F47" s="292"/>
      <c r="G47" s="139"/>
      <c r="H47" s="139"/>
      <c r="I47" s="139"/>
      <c r="J47" s="649"/>
    </row>
    <row r="48" spans="1:11" ht="15.6">
      <c r="A48" s="89"/>
      <c r="B48" s="139"/>
      <c r="C48" s="291"/>
      <c r="D48" s="292"/>
      <c r="E48" s="292"/>
      <c r="F48" s="292"/>
      <c r="G48" s="139"/>
      <c r="H48" s="139"/>
      <c r="I48" s="139"/>
      <c r="J48" s="649"/>
    </row>
    <row r="49" spans="1:10" ht="15.6">
      <c r="A49" s="89"/>
      <c r="B49" s="139"/>
      <c r="C49" s="291"/>
      <c r="D49" s="292"/>
      <c r="E49" s="292"/>
      <c r="F49" s="292"/>
      <c r="G49" s="139"/>
      <c r="H49" s="139"/>
      <c r="I49" s="139"/>
      <c r="J49" s="649"/>
    </row>
    <row r="50" spans="1:10" ht="15.6">
      <c r="A50" s="89"/>
      <c r="B50" s="139"/>
      <c r="C50" s="291"/>
      <c r="D50" s="292"/>
      <c r="E50" s="292"/>
      <c r="F50" s="292"/>
      <c r="G50" s="139"/>
      <c r="H50" s="139"/>
      <c r="I50" s="139"/>
      <c r="J50" s="649"/>
    </row>
    <row r="51" spans="1:10" ht="15.6">
      <c r="A51" s="89"/>
      <c r="B51" s="139"/>
      <c r="C51" s="291"/>
      <c r="D51" s="292"/>
      <c r="E51" s="292"/>
      <c r="F51" s="292"/>
      <c r="G51" s="139"/>
      <c r="H51" s="139"/>
      <c r="I51" s="139"/>
      <c r="J51" s="649"/>
    </row>
    <row r="52" spans="1:10" ht="15.6">
      <c r="A52" s="89"/>
      <c r="B52" s="139"/>
      <c r="C52" s="139"/>
      <c r="D52" s="292"/>
      <c r="E52" s="292"/>
      <c r="F52" s="292"/>
      <c r="G52" s="139"/>
      <c r="H52" s="139"/>
      <c r="I52" s="139"/>
      <c r="J52" s="704"/>
    </row>
    <row r="53" spans="1:10" ht="15.6">
      <c r="A53" s="89"/>
      <c r="B53" s="139"/>
      <c r="C53" s="139"/>
      <c r="D53" s="292"/>
      <c r="E53" s="292"/>
      <c r="F53" s="292"/>
      <c r="G53" s="139"/>
      <c r="H53" s="139"/>
      <c r="I53" s="139"/>
      <c r="J53" s="649"/>
    </row>
    <row r="54" spans="1:10" ht="15.6">
      <c r="A54" s="89"/>
      <c r="B54" s="139"/>
      <c r="C54" s="291"/>
      <c r="D54" s="292"/>
      <c r="E54" s="292"/>
      <c r="F54" s="292"/>
      <c r="G54" s="139"/>
      <c r="H54" s="139"/>
      <c r="I54" s="139"/>
      <c r="J54" s="704"/>
    </row>
    <row r="55" spans="1:10" ht="15.6">
      <c r="A55" s="89"/>
      <c r="B55" s="139"/>
      <c r="C55" s="139"/>
      <c r="D55" s="292"/>
      <c r="E55" s="292"/>
      <c r="F55" s="292"/>
      <c r="G55" s="139"/>
      <c r="H55" s="139"/>
      <c r="I55" s="139"/>
      <c r="J55" s="649"/>
    </row>
    <row r="56" spans="1:10" ht="16.2">
      <c r="A56" s="89"/>
      <c r="B56" s="139"/>
      <c r="C56" s="139"/>
      <c r="D56" s="292"/>
      <c r="E56" s="292"/>
      <c r="F56" s="293"/>
      <c r="G56" s="139"/>
      <c r="H56" s="139"/>
      <c r="I56" s="139"/>
      <c r="J56" s="151"/>
    </row>
    <row r="57" spans="1:10" ht="15.6">
      <c r="A57" s="89"/>
      <c r="B57" s="139"/>
      <c r="C57" s="139"/>
      <c r="D57" s="292"/>
      <c r="E57" s="292"/>
      <c r="F57" s="292"/>
      <c r="G57" s="139"/>
      <c r="H57" s="139"/>
      <c r="I57" s="139"/>
      <c r="J57" s="704"/>
    </row>
    <row r="58" spans="1:10" ht="16.2">
      <c r="A58" s="89"/>
      <c r="B58" s="139"/>
      <c r="C58" s="139"/>
      <c r="D58" s="292"/>
      <c r="E58" s="292"/>
      <c r="F58" s="293"/>
      <c r="G58" s="139"/>
      <c r="H58" s="139"/>
      <c r="I58" s="139"/>
      <c r="J58" s="649"/>
    </row>
    <row r="59" spans="1:10" ht="16.2">
      <c r="A59" s="89"/>
      <c r="B59" s="294"/>
      <c r="C59" s="291"/>
      <c r="D59" s="292"/>
      <c r="E59" s="292"/>
      <c r="F59" s="293"/>
      <c r="G59" s="139"/>
      <c r="H59" s="139"/>
      <c r="I59" s="139"/>
      <c r="J59" s="649"/>
    </row>
    <row r="60" spans="1:10" ht="15.6">
      <c r="A60" s="89"/>
      <c r="B60" s="139"/>
      <c r="C60" s="139"/>
      <c r="D60" s="292"/>
      <c r="E60" s="292"/>
      <c r="F60" s="292"/>
      <c r="G60" s="139"/>
      <c r="H60" s="139"/>
      <c r="I60" s="139"/>
      <c r="J60" s="649"/>
    </row>
    <row r="61" spans="1:10" ht="16.2">
      <c r="A61" s="89"/>
      <c r="B61" s="139"/>
      <c r="C61" s="139"/>
      <c r="D61" s="292"/>
      <c r="E61" s="292"/>
      <c r="F61" s="293"/>
      <c r="G61" s="139"/>
      <c r="H61" s="139"/>
      <c r="I61" s="139"/>
      <c r="J61" s="649"/>
    </row>
    <row r="62" spans="1:10" ht="15.6">
      <c r="A62" s="89"/>
      <c r="B62" s="139"/>
      <c r="C62" s="139"/>
      <c r="D62" s="292"/>
      <c r="E62" s="292"/>
      <c r="F62" s="292"/>
      <c r="G62" s="139"/>
      <c r="H62" s="139"/>
      <c r="I62" s="139"/>
      <c r="J62" s="649"/>
    </row>
    <row r="63" spans="1:10" ht="15.6">
      <c r="A63" s="89"/>
      <c r="B63" s="139"/>
      <c r="C63" s="139"/>
      <c r="D63" s="292"/>
      <c r="E63" s="292"/>
      <c r="F63" s="292"/>
      <c r="G63" s="139"/>
      <c r="H63" s="139"/>
      <c r="I63" s="139"/>
      <c r="J63" s="649"/>
    </row>
    <row r="64" spans="1:10" ht="15.6">
      <c r="A64" s="89"/>
      <c r="B64" s="139"/>
      <c r="C64" s="139"/>
      <c r="D64" s="292"/>
      <c r="E64" s="292"/>
      <c r="F64" s="292"/>
      <c r="G64" s="139"/>
      <c r="H64" s="139"/>
      <c r="I64" s="139"/>
      <c r="J64" s="649"/>
    </row>
    <row r="65" spans="1:10" ht="15.6">
      <c r="A65" s="89"/>
      <c r="B65" s="294"/>
      <c r="C65" s="291"/>
      <c r="D65" s="292"/>
      <c r="E65" s="292"/>
      <c r="F65" s="292"/>
      <c r="G65" s="139"/>
      <c r="H65" s="139"/>
      <c r="I65" s="139"/>
      <c r="J65" s="649"/>
    </row>
    <row r="66" spans="1:10" ht="15.6">
      <c r="A66" s="89"/>
      <c r="B66" s="139"/>
      <c r="C66" s="139"/>
      <c r="D66" s="292"/>
      <c r="E66" s="292"/>
      <c r="F66" s="292"/>
      <c r="G66" s="139"/>
      <c r="H66" s="139"/>
      <c r="I66" s="139"/>
      <c r="J66" s="704"/>
    </row>
    <row r="67" spans="1:10" ht="16.2">
      <c r="A67" s="89"/>
      <c r="B67" s="139"/>
      <c r="C67" s="295"/>
      <c r="D67" s="292"/>
      <c r="E67" s="292"/>
      <c r="F67" s="293"/>
      <c r="G67" s="294"/>
      <c r="H67" s="294"/>
      <c r="I67" s="294"/>
      <c r="J67" s="649"/>
    </row>
    <row r="68" spans="1:10" ht="16.2">
      <c r="A68" s="89"/>
      <c r="B68" s="139"/>
      <c r="C68" s="139"/>
      <c r="D68" s="292"/>
      <c r="E68" s="292"/>
      <c r="F68" s="293"/>
      <c r="G68" s="139"/>
      <c r="H68" s="139"/>
      <c r="I68" s="139"/>
      <c r="J68" s="649"/>
    </row>
    <row r="69" spans="1:10" ht="15.6">
      <c r="A69" s="89"/>
      <c r="B69" s="139"/>
      <c r="C69" s="291"/>
      <c r="D69" s="292"/>
      <c r="E69" s="292"/>
      <c r="F69" s="292"/>
      <c r="G69" s="139"/>
      <c r="H69" s="139"/>
      <c r="I69" s="139"/>
      <c r="J69" s="649"/>
    </row>
    <row r="70" spans="1:10" ht="16.2">
      <c r="A70" s="89"/>
      <c r="B70" s="139"/>
      <c r="C70" s="139"/>
      <c r="D70" s="292"/>
      <c r="E70" s="292"/>
      <c r="F70" s="293"/>
      <c r="G70" s="139"/>
      <c r="H70" s="139"/>
      <c r="I70" s="139"/>
      <c r="J70" s="649"/>
    </row>
    <row r="71" spans="1:10" ht="16.2">
      <c r="A71" s="89"/>
      <c r="B71" s="139"/>
      <c r="C71" s="291"/>
      <c r="D71" s="292"/>
      <c r="E71" s="292"/>
      <c r="F71" s="293"/>
      <c r="G71" s="139"/>
      <c r="H71" s="139"/>
      <c r="I71" s="139"/>
      <c r="J71" s="649"/>
    </row>
    <row r="72" spans="1:10" ht="16.2">
      <c r="A72" s="89"/>
      <c r="B72" s="139"/>
      <c r="C72" s="139"/>
      <c r="D72" s="292"/>
      <c r="E72" s="292"/>
      <c r="F72" s="293"/>
      <c r="G72" s="139"/>
      <c r="H72" s="139"/>
      <c r="I72" s="139"/>
      <c r="J72" s="703"/>
    </row>
    <row r="73" spans="1:10" ht="16.2">
      <c r="A73" s="89"/>
      <c r="B73" s="139"/>
      <c r="C73" s="291"/>
      <c r="D73" s="292"/>
      <c r="E73" s="292"/>
      <c r="F73" s="293"/>
      <c r="G73" s="139"/>
      <c r="H73" s="139"/>
      <c r="I73" s="139"/>
      <c r="J73" s="649"/>
    </row>
    <row r="74" spans="1:10" ht="16.2">
      <c r="A74" s="89"/>
      <c r="B74" s="204"/>
      <c r="C74" s="296"/>
      <c r="D74" s="292"/>
      <c r="E74" s="292"/>
      <c r="F74" s="293"/>
      <c r="G74" s="297"/>
      <c r="H74" s="297"/>
      <c r="I74" s="297"/>
      <c r="J74" s="649"/>
    </row>
    <row r="75" spans="1:10" ht="16.2">
      <c r="A75" s="89"/>
      <c r="B75" s="204"/>
      <c r="C75" s="297"/>
      <c r="D75" s="292"/>
      <c r="E75" s="292"/>
      <c r="F75" s="293"/>
      <c r="G75" s="297"/>
      <c r="H75" s="297"/>
      <c r="I75" s="297"/>
      <c r="J75" s="703"/>
    </row>
    <row r="76" spans="1:10" ht="15.6">
      <c r="A76" s="89"/>
      <c r="B76" s="204"/>
      <c r="C76" s="296"/>
      <c r="D76" s="292"/>
      <c r="E76" s="292"/>
      <c r="F76" s="292"/>
      <c r="G76" s="297"/>
      <c r="H76" s="297"/>
      <c r="I76" s="297"/>
      <c r="J76" s="649"/>
    </row>
    <row r="77" spans="1:10" ht="15.6">
      <c r="A77" s="89"/>
      <c r="B77" s="204"/>
      <c r="C77" s="296"/>
      <c r="D77" s="292"/>
      <c r="E77" s="292"/>
      <c r="F77" s="292"/>
      <c r="G77" s="297"/>
      <c r="H77" s="297"/>
      <c r="I77" s="297"/>
      <c r="J77" s="649"/>
    </row>
    <row r="78" spans="1:10" ht="15.6">
      <c r="A78" s="89"/>
      <c r="B78" s="204"/>
      <c r="C78" s="296"/>
      <c r="D78" s="292"/>
      <c r="E78" s="292"/>
      <c r="F78" s="292"/>
      <c r="G78" s="297"/>
      <c r="H78" s="297"/>
      <c r="I78" s="297"/>
      <c r="J78" s="298"/>
    </row>
    <row r="79" spans="1:10" ht="14.4">
      <c r="A79" s="89"/>
    </row>
    <row r="80" spans="1:10" ht="14.4">
      <c r="A80" s="89"/>
    </row>
    <row r="81" spans="1:1" ht="14.4">
      <c r="A81" s="89"/>
    </row>
    <row r="82" spans="1:1" ht="14.4">
      <c r="A82" s="89"/>
    </row>
    <row r="83" spans="1:1" ht="14.4">
      <c r="A83" s="89"/>
    </row>
    <row r="84" spans="1:1" ht="14.4">
      <c r="A84" s="89"/>
    </row>
    <row r="85" spans="1:1" ht="14.4">
      <c r="A85" s="89"/>
    </row>
    <row r="86" spans="1:1" ht="14.4">
      <c r="A86" s="89"/>
    </row>
    <row r="87" spans="1:1" ht="14.4">
      <c r="A87" s="89"/>
    </row>
    <row r="88" spans="1:1" ht="14.4">
      <c r="A88" s="89"/>
    </row>
    <row r="89" spans="1:1" ht="14.4">
      <c r="A89" s="89"/>
    </row>
    <row r="90" spans="1:1" ht="14.4">
      <c r="A90" s="89"/>
    </row>
    <row r="91" spans="1:1" ht="14.4">
      <c r="A91" s="89"/>
    </row>
    <row r="92" spans="1:1" ht="14.4">
      <c r="A92" s="89"/>
    </row>
    <row r="93" spans="1:1" ht="14.4">
      <c r="A93" s="89"/>
    </row>
    <row r="94" spans="1:1" ht="14.4">
      <c r="A94" s="89"/>
    </row>
    <row r="95" spans="1:1" ht="14.4">
      <c r="A95" s="89"/>
    </row>
    <row r="96" spans="1:1" ht="14.4">
      <c r="A96" s="89"/>
    </row>
    <row r="97" spans="1:1" ht="14.4">
      <c r="A97" s="89"/>
    </row>
    <row r="98" spans="1:1" ht="14.4">
      <c r="A98" s="89"/>
    </row>
    <row r="99" spans="1:1" ht="14.4">
      <c r="A99" s="89"/>
    </row>
    <row r="100" spans="1:1" ht="14.4">
      <c r="A100" s="89"/>
    </row>
    <row r="101" spans="1:1" ht="14.4">
      <c r="A101" s="89"/>
    </row>
    <row r="102" spans="1:1" ht="14.4">
      <c r="A102" s="89"/>
    </row>
    <row r="103" spans="1:1" ht="14.4">
      <c r="A103" s="89"/>
    </row>
    <row r="104" spans="1:1" ht="14.4">
      <c r="A104" s="89"/>
    </row>
    <row r="105" spans="1:1" ht="14.4">
      <c r="A105" s="89"/>
    </row>
    <row r="106" spans="1:1" ht="14.4">
      <c r="A106" s="89"/>
    </row>
    <row r="107" spans="1:1" ht="14.4">
      <c r="A107" s="89"/>
    </row>
    <row r="108" spans="1:1" ht="14.4">
      <c r="A108" s="89"/>
    </row>
    <row r="109" spans="1:1" ht="14.4">
      <c r="A109" s="89"/>
    </row>
    <row r="110" spans="1:1" ht="14.4">
      <c r="A110" s="89"/>
    </row>
    <row r="111" spans="1:1" ht="14.4">
      <c r="A111" s="89"/>
    </row>
    <row r="112" spans="1:1" ht="14.4">
      <c r="A112" s="89"/>
    </row>
    <row r="113" spans="1:1" ht="14.4">
      <c r="A113" s="89"/>
    </row>
    <row r="114" spans="1:1" ht="14.4">
      <c r="A114" s="89"/>
    </row>
    <row r="115" spans="1:1" ht="14.4">
      <c r="A115" s="89"/>
    </row>
    <row r="116" spans="1:1" ht="14.4">
      <c r="A116" s="89"/>
    </row>
    <row r="117" spans="1:1" ht="14.4">
      <c r="A117" s="89"/>
    </row>
    <row r="118" spans="1:1" ht="14.4">
      <c r="A118" s="89"/>
    </row>
    <row r="119" spans="1:1" ht="14.4">
      <c r="A119" s="89"/>
    </row>
    <row r="120" spans="1:1" ht="14.4">
      <c r="A120" s="89"/>
    </row>
    <row r="121" spans="1:1" ht="14.4">
      <c r="A121" s="89"/>
    </row>
    <row r="122" spans="1:1" ht="14.4">
      <c r="A122" s="89"/>
    </row>
    <row r="123" spans="1:1" ht="14.4">
      <c r="A123" s="89"/>
    </row>
    <row r="124" spans="1:1" ht="14.4">
      <c r="A124" s="89"/>
    </row>
    <row r="125" spans="1:1" ht="14.4">
      <c r="A125" s="89"/>
    </row>
    <row r="126" spans="1:1" ht="14.4">
      <c r="A126" s="89"/>
    </row>
    <row r="127" spans="1:1" ht="14.4">
      <c r="A127" s="89"/>
    </row>
    <row r="128" spans="1:1" ht="14.4">
      <c r="A128" s="89"/>
    </row>
    <row r="129" spans="1:1" ht="14.4">
      <c r="A129" s="89"/>
    </row>
    <row r="130" spans="1:1" ht="14.4">
      <c r="A130" s="89"/>
    </row>
    <row r="131" spans="1:1" ht="14.4">
      <c r="A131" s="89"/>
    </row>
    <row r="132" spans="1:1" ht="14.4">
      <c r="A132" s="89"/>
    </row>
    <row r="133" spans="1:1" ht="14.4">
      <c r="A133" s="89"/>
    </row>
    <row r="134" spans="1:1" ht="14.4">
      <c r="A134" s="89"/>
    </row>
    <row r="135" spans="1:1" ht="14.4">
      <c r="A135" s="89"/>
    </row>
    <row r="136" spans="1:1" ht="14.4">
      <c r="A136" s="89"/>
    </row>
    <row r="137" spans="1:1" ht="14.4">
      <c r="A137" s="89"/>
    </row>
    <row r="138" spans="1:1" ht="14.4">
      <c r="A138" s="89"/>
    </row>
    <row r="139" spans="1:1" ht="14.4">
      <c r="A139" s="89"/>
    </row>
    <row r="140" spans="1:1" ht="14.4">
      <c r="A140" s="89"/>
    </row>
    <row r="141" spans="1:1" ht="14.4">
      <c r="A141" s="89"/>
    </row>
    <row r="142" spans="1:1" ht="14.4">
      <c r="A142" s="89"/>
    </row>
    <row r="143" spans="1:1" ht="14.4">
      <c r="A143" s="89"/>
    </row>
    <row r="144" spans="1:1" ht="14.4">
      <c r="A144" s="89"/>
    </row>
    <row r="145" spans="1:1" ht="14.4">
      <c r="A145" s="89"/>
    </row>
    <row r="146" spans="1:1" ht="14.4">
      <c r="A146" s="89"/>
    </row>
    <row r="147" spans="1:1" ht="14.4">
      <c r="A147" s="89"/>
    </row>
    <row r="148" spans="1:1" ht="14.4">
      <c r="A148" s="89"/>
    </row>
    <row r="149" spans="1:1" ht="14.4">
      <c r="A149" s="89"/>
    </row>
    <row r="150" spans="1:1" ht="14.4">
      <c r="A150" s="89"/>
    </row>
    <row r="151" spans="1:1" ht="14.4">
      <c r="A151" s="89"/>
    </row>
    <row r="152" spans="1:1" ht="14.4">
      <c r="A152" s="89"/>
    </row>
    <row r="153" spans="1:1" ht="14.4">
      <c r="A153" s="89"/>
    </row>
    <row r="154" spans="1:1" ht="14.4">
      <c r="A154" s="89"/>
    </row>
    <row r="155" spans="1:1" ht="14.4">
      <c r="A155" s="89"/>
    </row>
    <row r="156" spans="1:1" ht="14.4">
      <c r="A156" s="89"/>
    </row>
    <row r="157" spans="1:1" ht="14.4">
      <c r="A157" s="89"/>
    </row>
    <row r="158" spans="1:1" ht="14.4">
      <c r="A158" s="89"/>
    </row>
    <row r="159" spans="1:1" ht="14.4">
      <c r="A159" s="89"/>
    </row>
    <row r="160" spans="1:1" ht="14.4">
      <c r="A160" s="89"/>
    </row>
    <row r="161" spans="1:1" ht="14.4">
      <c r="A161" s="89"/>
    </row>
    <row r="162" spans="1:1" ht="14.4">
      <c r="A162" s="89"/>
    </row>
    <row r="163" spans="1:1" ht="14.4">
      <c r="A163" s="89"/>
    </row>
    <row r="164" spans="1:1" ht="14.4">
      <c r="A164" s="89"/>
    </row>
    <row r="165" spans="1:1" ht="14.4">
      <c r="A165" s="89"/>
    </row>
    <row r="166" spans="1:1" ht="14.4">
      <c r="A166" s="89"/>
    </row>
    <row r="167" spans="1:1" ht="14.4">
      <c r="A167" s="89"/>
    </row>
    <row r="168" spans="1:1" ht="14.4">
      <c r="A168" s="89"/>
    </row>
    <row r="169" spans="1:1" ht="14.4">
      <c r="A169" s="89"/>
    </row>
    <row r="170" spans="1:1" ht="14.4">
      <c r="A170" s="89"/>
    </row>
    <row r="171" spans="1:1" ht="14.4">
      <c r="A171" s="89"/>
    </row>
    <row r="172" spans="1:1" ht="14.4">
      <c r="A172" s="89"/>
    </row>
    <row r="173" spans="1:1" ht="14.4">
      <c r="A173" s="89"/>
    </row>
    <row r="174" spans="1:1" ht="14.4">
      <c r="A174" s="89"/>
    </row>
    <row r="175" spans="1:1" ht="14.4">
      <c r="A175" s="89"/>
    </row>
    <row r="176" spans="1:1" ht="14.4">
      <c r="A176" s="89"/>
    </row>
    <row r="177" spans="1:1" ht="14.4">
      <c r="A177" s="89"/>
    </row>
    <row r="178" spans="1:1" ht="14.4">
      <c r="A178" s="89"/>
    </row>
    <row r="179" spans="1:1" ht="14.4">
      <c r="A179" s="89"/>
    </row>
    <row r="180" spans="1:1" ht="14.4">
      <c r="A180" s="89"/>
    </row>
    <row r="181" spans="1:1" ht="14.4">
      <c r="A181" s="89"/>
    </row>
    <row r="182" spans="1:1" ht="14.4">
      <c r="A182" s="89"/>
    </row>
    <row r="183" spans="1:1" ht="14.4">
      <c r="A183" s="89"/>
    </row>
    <row r="184" spans="1:1" ht="14.4">
      <c r="A184" s="89"/>
    </row>
    <row r="185" spans="1:1" ht="14.4">
      <c r="A185" s="89"/>
    </row>
    <row r="186" spans="1:1" ht="14.4">
      <c r="A186" s="89"/>
    </row>
    <row r="187" spans="1:1" ht="14.4">
      <c r="A187" s="89"/>
    </row>
    <row r="188" spans="1:1" ht="14.4">
      <c r="A188" s="89"/>
    </row>
    <row r="189" spans="1:1" ht="14.4">
      <c r="A189" s="89"/>
    </row>
    <row r="190" spans="1:1" ht="14.4">
      <c r="A190" s="89"/>
    </row>
    <row r="191" spans="1:1" ht="14.4">
      <c r="A191" s="89"/>
    </row>
    <row r="192" spans="1:1" ht="14.4">
      <c r="A192" s="89"/>
    </row>
    <row r="193" spans="1:1" ht="14.4">
      <c r="A193" s="89"/>
    </row>
    <row r="194" spans="1:1" ht="14.4">
      <c r="A194" s="89"/>
    </row>
    <row r="195" spans="1:1" ht="14.4">
      <c r="A195" s="89"/>
    </row>
    <row r="196" spans="1:1" ht="14.4">
      <c r="A196" s="89"/>
    </row>
    <row r="197" spans="1:1" ht="14.4">
      <c r="A197" s="89"/>
    </row>
    <row r="198" spans="1:1" ht="14.4">
      <c r="A198" s="89"/>
    </row>
    <row r="199" spans="1:1" ht="14.4">
      <c r="A199" s="89"/>
    </row>
    <row r="200" spans="1:1" ht="14.4">
      <c r="A200" s="89"/>
    </row>
    <row r="201" spans="1:1" ht="14.4">
      <c r="A201" s="89"/>
    </row>
    <row r="202" spans="1:1" ht="14.4">
      <c r="A202" s="89"/>
    </row>
    <row r="203" spans="1:1" ht="14.4">
      <c r="A203" s="89"/>
    </row>
    <row r="204" spans="1:1" ht="14.4">
      <c r="A204" s="89"/>
    </row>
    <row r="205" spans="1:1" ht="14.4">
      <c r="A205" s="89"/>
    </row>
    <row r="206" spans="1:1" ht="14.4">
      <c r="A206" s="89"/>
    </row>
    <row r="207" spans="1:1" ht="14.4">
      <c r="A207" s="89"/>
    </row>
    <row r="208" spans="1:1" ht="14.4">
      <c r="A208" s="89"/>
    </row>
    <row r="209" spans="1:1" ht="14.4">
      <c r="A209" s="89"/>
    </row>
    <row r="210" spans="1:1" ht="14.4">
      <c r="A210" s="89"/>
    </row>
    <row r="211" spans="1:1" ht="14.4">
      <c r="A211" s="89"/>
    </row>
    <row r="212" spans="1:1" ht="14.4">
      <c r="A212" s="89"/>
    </row>
    <row r="213" spans="1:1" ht="14.4">
      <c r="A213" s="89"/>
    </row>
    <row r="214" spans="1:1" ht="14.4">
      <c r="A214" s="89"/>
    </row>
    <row r="215" spans="1:1" ht="14.4">
      <c r="A215" s="89"/>
    </row>
    <row r="216" spans="1:1" ht="14.4">
      <c r="A216" s="89"/>
    </row>
    <row r="217" spans="1:1" ht="14.4">
      <c r="A217" s="89"/>
    </row>
    <row r="218" spans="1:1" ht="14.4">
      <c r="A218" s="89"/>
    </row>
    <row r="219" spans="1:1" ht="14.4">
      <c r="A219" s="89"/>
    </row>
    <row r="220" spans="1:1" ht="14.4">
      <c r="A220" s="89"/>
    </row>
    <row r="221" spans="1:1" ht="14.4">
      <c r="A221" s="89"/>
    </row>
    <row r="222" spans="1:1" ht="14.4">
      <c r="A222" s="89"/>
    </row>
    <row r="223" spans="1:1" ht="14.4">
      <c r="A223" s="89"/>
    </row>
    <row r="224" spans="1:1" ht="14.4">
      <c r="A224" s="89"/>
    </row>
    <row r="225" spans="1:1" ht="14.4">
      <c r="A225" s="89"/>
    </row>
    <row r="226" spans="1:1" ht="14.4">
      <c r="A226" s="89"/>
    </row>
    <row r="227" spans="1:1" ht="14.4">
      <c r="A227" s="89"/>
    </row>
    <row r="228" spans="1:1" ht="14.4">
      <c r="A228" s="89"/>
    </row>
    <row r="229" spans="1:1" ht="14.4">
      <c r="A229" s="89"/>
    </row>
    <row r="230" spans="1:1" ht="14.4">
      <c r="A230" s="89"/>
    </row>
    <row r="231" spans="1:1" ht="14.4">
      <c r="A231" s="89"/>
    </row>
    <row r="232" spans="1:1" ht="14.4">
      <c r="A232" s="89"/>
    </row>
    <row r="233" spans="1:1" ht="14.4">
      <c r="A233" s="89"/>
    </row>
    <row r="234" spans="1:1" ht="14.4">
      <c r="A234" s="89"/>
    </row>
    <row r="235" spans="1:1" ht="14.4">
      <c r="A235" s="89"/>
    </row>
    <row r="236" spans="1:1" ht="14.4">
      <c r="A236" s="89"/>
    </row>
    <row r="237" spans="1:1" ht="14.4">
      <c r="A237" s="89"/>
    </row>
    <row r="238" spans="1:1" ht="14.4">
      <c r="A238" s="89"/>
    </row>
    <row r="239" spans="1:1" ht="14.4">
      <c r="A239" s="89"/>
    </row>
    <row r="240" spans="1:1" ht="14.4">
      <c r="A240" s="89"/>
    </row>
    <row r="241" spans="1:1" ht="14.4">
      <c r="A241" s="89"/>
    </row>
    <row r="242" spans="1:1" ht="14.4">
      <c r="A242" s="89"/>
    </row>
    <row r="243" spans="1:1" ht="14.4">
      <c r="A243" s="89"/>
    </row>
    <row r="244" spans="1:1" ht="14.4">
      <c r="A244" s="89"/>
    </row>
    <row r="245" spans="1:1" ht="14.4">
      <c r="A245" s="89"/>
    </row>
    <row r="246" spans="1:1" ht="14.4">
      <c r="A246" s="89"/>
    </row>
    <row r="247" spans="1:1" ht="14.4">
      <c r="A247" s="89"/>
    </row>
    <row r="248" spans="1:1" ht="14.4">
      <c r="A248" s="89"/>
    </row>
    <row r="249" spans="1:1" ht="14.4">
      <c r="A249" s="89"/>
    </row>
    <row r="250" spans="1:1" ht="14.4">
      <c r="A250" s="89"/>
    </row>
    <row r="251" spans="1:1" ht="14.4">
      <c r="A251" s="89"/>
    </row>
    <row r="252" spans="1:1" ht="14.4">
      <c r="A252" s="89"/>
    </row>
    <row r="253" spans="1:1" ht="14.4">
      <c r="A253" s="89"/>
    </row>
    <row r="254" spans="1:1" ht="14.4">
      <c r="A254" s="89"/>
    </row>
    <row r="255" spans="1:1" ht="14.4">
      <c r="A255" s="89"/>
    </row>
    <row r="256" spans="1:1" ht="14.4">
      <c r="A256" s="89"/>
    </row>
    <row r="257" spans="1:1" ht="14.4">
      <c r="A257" s="89"/>
    </row>
    <row r="258" spans="1:1" ht="14.4">
      <c r="A258" s="89"/>
    </row>
    <row r="259" spans="1:1" ht="14.4">
      <c r="A259" s="89"/>
    </row>
    <row r="260" spans="1:1" ht="14.4">
      <c r="A260" s="89"/>
    </row>
    <row r="261" spans="1:1" ht="14.4">
      <c r="A261" s="89"/>
    </row>
    <row r="262" spans="1:1" ht="14.4">
      <c r="A262" s="89"/>
    </row>
    <row r="263" spans="1:1" ht="14.4">
      <c r="A263" s="89"/>
    </row>
    <row r="264" spans="1:1" ht="14.4">
      <c r="A264" s="89"/>
    </row>
    <row r="265" spans="1:1" ht="14.4">
      <c r="A265" s="89"/>
    </row>
    <row r="266" spans="1:1" ht="14.4">
      <c r="A266" s="89"/>
    </row>
    <row r="267" spans="1:1" ht="14.4">
      <c r="A267" s="89"/>
    </row>
    <row r="268" spans="1:1" ht="14.4">
      <c r="A268" s="89"/>
    </row>
    <row r="269" spans="1:1" ht="14.4">
      <c r="A269" s="89"/>
    </row>
    <row r="270" spans="1:1" ht="14.4">
      <c r="A270" s="89"/>
    </row>
    <row r="271" spans="1:1" ht="14.4">
      <c r="A271" s="89"/>
    </row>
    <row r="272" spans="1:1" ht="14.4">
      <c r="A272" s="89"/>
    </row>
    <row r="273" spans="1:1" ht="14.4">
      <c r="A273" s="89"/>
    </row>
    <row r="274" spans="1:1" ht="14.4">
      <c r="A274" s="89"/>
    </row>
    <row r="275" spans="1:1" ht="14.4">
      <c r="A275" s="89"/>
    </row>
    <row r="276" spans="1:1" ht="14.4">
      <c r="A276" s="89"/>
    </row>
    <row r="277" spans="1:1" ht="14.4">
      <c r="A277" s="89"/>
    </row>
    <row r="278" spans="1:1" ht="14.4">
      <c r="A278" s="89"/>
    </row>
    <row r="279" spans="1:1" ht="14.4">
      <c r="A279" s="89"/>
    </row>
    <row r="280" spans="1:1" ht="14.4">
      <c r="A280" s="89"/>
    </row>
    <row r="281" spans="1:1" ht="14.4">
      <c r="A281" s="89"/>
    </row>
    <row r="282" spans="1:1" ht="14.4">
      <c r="A282" s="89"/>
    </row>
    <row r="283" spans="1:1" ht="14.4">
      <c r="A283" s="89"/>
    </row>
    <row r="284" spans="1:1" ht="14.4">
      <c r="A284" s="89"/>
    </row>
    <row r="285" spans="1:1" ht="14.4">
      <c r="A285" s="89"/>
    </row>
    <row r="286" spans="1:1" ht="14.4">
      <c r="A286" s="89"/>
    </row>
    <row r="287" spans="1:1" ht="14.4">
      <c r="A287" s="89"/>
    </row>
    <row r="288" spans="1:1" ht="14.4">
      <c r="A288" s="89"/>
    </row>
    <row r="289" spans="1:1" ht="14.4">
      <c r="A289" s="89"/>
    </row>
    <row r="290" spans="1:1" ht="14.4">
      <c r="A290" s="89"/>
    </row>
    <row r="291" spans="1:1" ht="14.4">
      <c r="A291" s="89"/>
    </row>
    <row r="292" spans="1:1" ht="14.4">
      <c r="A292" s="89"/>
    </row>
    <row r="293" spans="1:1" ht="14.4">
      <c r="A293" s="89"/>
    </row>
    <row r="294" spans="1:1" ht="14.4">
      <c r="A294" s="89"/>
    </row>
    <row r="295" spans="1:1" ht="14.4">
      <c r="A295" s="89"/>
    </row>
    <row r="296" spans="1:1" ht="14.4">
      <c r="A296" s="89"/>
    </row>
    <row r="297" spans="1:1" ht="14.4">
      <c r="A297" s="89"/>
    </row>
    <row r="298" spans="1:1" ht="14.4">
      <c r="A298" s="89"/>
    </row>
    <row r="299" spans="1:1" ht="14.4">
      <c r="A299" s="89"/>
    </row>
    <row r="300" spans="1:1" ht="14.4">
      <c r="A300" s="89"/>
    </row>
    <row r="301" spans="1:1" ht="14.4">
      <c r="A301" s="89"/>
    </row>
    <row r="302" spans="1:1" ht="14.4">
      <c r="A302" s="89"/>
    </row>
    <row r="303" spans="1:1" ht="14.4">
      <c r="A303" s="89"/>
    </row>
    <row r="304" spans="1:1" ht="14.4">
      <c r="A304" s="89"/>
    </row>
    <row r="305" spans="1:1" ht="14.4">
      <c r="A305" s="89"/>
    </row>
    <row r="306" spans="1:1" ht="14.4">
      <c r="A306" s="89"/>
    </row>
    <row r="307" spans="1:1" ht="14.4">
      <c r="A307" s="89"/>
    </row>
    <row r="308" spans="1:1" ht="14.4">
      <c r="A308" s="89"/>
    </row>
    <row r="309" spans="1:1" ht="14.4">
      <c r="A309" s="89"/>
    </row>
    <row r="310" spans="1:1" ht="14.4">
      <c r="A310" s="89"/>
    </row>
    <row r="311" spans="1:1" ht="14.4">
      <c r="A311" s="89"/>
    </row>
    <row r="312" spans="1:1" ht="14.4">
      <c r="A312" s="89"/>
    </row>
    <row r="313" spans="1:1" ht="14.4">
      <c r="A313" s="89"/>
    </row>
    <row r="314" spans="1:1" ht="14.4">
      <c r="A314" s="89"/>
    </row>
    <row r="315" spans="1:1" ht="14.4">
      <c r="A315" s="89"/>
    </row>
    <row r="316" spans="1:1" ht="14.4">
      <c r="A316" s="89"/>
    </row>
    <row r="317" spans="1:1" ht="14.4">
      <c r="A317" s="89"/>
    </row>
    <row r="318" spans="1:1" ht="14.4">
      <c r="A318" s="89"/>
    </row>
    <row r="319" spans="1:1" ht="14.4">
      <c r="A319" s="89"/>
    </row>
    <row r="320" spans="1:1" ht="14.4">
      <c r="A320" s="89"/>
    </row>
    <row r="321" spans="1:1" ht="14.4">
      <c r="A321" s="89"/>
    </row>
    <row r="322" spans="1:1" ht="14.4">
      <c r="A322" s="89"/>
    </row>
    <row r="323" spans="1:1" ht="14.4">
      <c r="A323" s="89"/>
    </row>
    <row r="324" spans="1:1" ht="14.4">
      <c r="A324" s="89"/>
    </row>
    <row r="325" spans="1:1" ht="14.4">
      <c r="A325" s="89"/>
    </row>
    <row r="326" spans="1:1" ht="14.4">
      <c r="A326" s="89"/>
    </row>
    <row r="327" spans="1:1" ht="14.4">
      <c r="A327" s="89"/>
    </row>
    <row r="328" spans="1:1" ht="14.4">
      <c r="A328" s="89"/>
    </row>
    <row r="329" spans="1:1" ht="14.4">
      <c r="A329" s="89"/>
    </row>
    <row r="330" spans="1:1" ht="14.4">
      <c r="A330" s="89"/>
    </row>
    <row r="331" spans="1:1" ht="14.4">
      <c r="A331" s="89"/>
    </row>
    <row r="332" spans="1:1" ht="14.4">
      <c r="A332" s="89"/>
    </row>
    <row r="333" spans="1:1" ht="14.4">
      <c r="A333" s="89"/>
    </row>
    <row r="334" spans="1:1" ht="14.4">
      <c r="A334" s="89"/>
    </row>
    <row r="335" spans="1:1" ht="14.4">
      <c r="A335" s="89"/>
    </row>
    <row r="336" spans="1:1" ht="14.4">
      <c r="A336" s="89"/>
    </row>
    <row r="337" spans="1:1" ht="14.4">
      <c r="A337" s="89"/>
    </row>
    <row r="338" spans="1:1" ht="14.4">
      <c r="A338" s="89"/>
    </row>
    <row r="339" spans="1:1" ht="14.4">
      <c r="A339" s="89"/>
    </row>
    <row r="340" spans="1:1" ht="14.4">
      <c r="A340" s="89"/>
    </row>
    <row r="341" spans="1:1" ht="14.4">
      <c r="A341" s="89"/>
    </row>
    <row r="342" spans="1:1" ht="14.4">
      <c r="A342" s="89"/>
    </row>
    <row r="343" spans="1:1" ht="14.4">
      <c r="A343" s="89"/>
    </row>
    <row r="344" spans="1:1" ht="14.4">
      <c r="A344" s="89"/>
    </row>
    <row r="345" spans="1:1" ht="14.4">
      <c r="A345" s="89"/>
    </row>
    <row r="346" spans="1:1" ht="14.4">
      <c r="A346" s="89"/>
    </row>
    <row r="347" spans="1:1" ht="14.4">
      <c r="A347" s="89"/>
    </row>
    <row r="348" spans="1:1" ht="14.4">
      <c r="A348" s="89"/>
    </row>
    <row r="349" spans="1:1" ht="14.4">
      <c r="A349" s="89"/>
    </row>
    <row r="350" spans="1:1" ht="14.4">
      <c r="A350" s="89"/>
    </row>
    <row r="351" spans="1:1" ht="14.4">
      <c r="A351" s="89"/>
    </row>
    <row r="352" spans="1:1" ht="14.4">
      <c r="A352" s="89"/>
    </row>
    <row r="353" spans="1:1" ht="14.4">
      <c r="A353" s="89"/>
    </row>
    <row r="354" spans="1:1" ht="14.4">
      <c r="A354" s="89"/>
    </row>
    <row r="355" spans="1:1" ht="14.4">
      <c r="A355" s="89"/>
    </row>
    <row r="356" spans="1:1" ht="14.4">
      <c r="A356" s="89"/>
    </row>
    <row r="357" spans="1:1" ht="14.4">
      <c r="A357" s="89"/>
    </row>
    <row r="358" spans="1:1" ht="14.4">
      <c r="A358" s="89"/>
    </row>
    <row r="359" spans="1:1" ht="14.4">
      <c r="A359" s="89"/>
    </row>
    <row r="360" spans="1:1" ht="14.4">
      <c r="A360" s="89"/>
    </row>
    <row r="361" spans="1:1" ht="14.4">
      <c r="A361" s="89"/>
    </row>
    <row r="362" spans="1:1" ht="14.4">
      <c r="A362" s="89"/>
    </row>
    <row r="363" spans="1:1" ht="14.4">
      <c r="A363" s="89"/>
    </row>
    <row r="364" spans="1:1" ht="14.4">
      <c r="A364" s="89"/>
    </row>
    <row r="365" spans="1:1" ht="14.4">
      <c r="A365" s="89"/>
    </row>
    <row r="366" spans="1:1" ht="14.4">
      <c r="A366" s="89"/>
    </row>
    <row r="367" spans="1:1" ht="14.4">
      <c r="A367" s="89"/>
    </row>
    <row r="368" spans="1:1" ht="14.4">
      <c r="A368" s="89"/>
    </row>
    <row r="369" spans="1:1" ht="14.4">
      <c r="A369" s="89"/>
    </row>
    <row r="370" spans="1:1" ht="14.4">
      <c r="A370" s="89"/>
    </row>
    <row r="371" spans="1:1" ht="14.4">
      <c r="A371" s="89"/>
    </row>
    <row r="372" spans="1:1" ht="14.4">
      <c r="A372" s="89"/>
    </row>
    <row r="373" spans="1:1" ht="14.4">
      <c r="A373" s="89"/>
    </row>
    <row r="374" spans="1:1" ht="14.4">
      <c r="A374" s="89"/>
    </row>
    <row r="375" spans="1:1" ht="14.4">
      <c r="A375" s="89"/>
    </row>
    <row r="376" spans="1:1" ht="14.4">
      <c r="A376" s="89"/>
    </row>
    <row r="377" spans="1:1" ht="14.4">
      <c r="A377" s="89"/>
    </row>
    <row r="378" spans="1:1" ht="14.4">
      <c r="A378" s="89"/>
    </row>
    <row r="379" spans="1:1" ht="14.4">
      <c r="A379" s="89"/>
    </row>
    <row r="380" spans="1:1" ht="14.4">
      <c r="A380" s="89"/>
    </row>
    <row r="381" spans="1:1" ht="14.4">
      <c r="A381" s="89"/>
    </row>
    <row r="382" spans="1:1" ht="14.4">
      <c r="A382" s="89"/>
    </row>
    <row r="383" spans="1:1" ht="14.4">
      <c r="A383" s="89"/>
    </row>
    <row r="384" spans="1:1" ht="14.4">
      <c r="A384" s="89"/>
    </row>
    <row r="385" spans="1:1" ht="14.4">
      <c r="A385" s="89"/>
    </row>
    <row r="386" spans="1:1" ht="14.4">
      <c r="A386" s="89"/>
    </row>
    <row r="387" spans="1:1" ht="14.4">
      <c r="A387" s="89"/>
    </row>
    <row r="388" spans="1:1" ht="14.4">
      <c r="A388" s="89"/>
    </row>
    <row r="389" spans="1:1" ht="14.4">
      <c r="A389" s="89"/>
    </row>
    <row r="390" spans="1:1" ht="14.4">
      <c r="A390" s="89"/>
    </row>
    <row r="391" spans="1:1" ht="14.4">
      <c r="A391" s="89"/>
    </row>
    <row r="392" spans="1:1" ht="14.4">
      <c r="A392" s="89"/>
    </row>
    <row r="393" spans="1:1" ht="14.4">
      <c r="A393" s="89"/>
    </row>
    <row r="394" spans="1:1" ht="14.4">
      <c r="A394" s="89"/>
    </row>
    <row r="395" spans="1:1" ht="14.4">
      <c r="A395" s="89"/>
    </row>
    <row r="396" spans="1:1" ht="14.4">
      <c r="A396" s="89"/>
    </row>
    <row r="397" spans="1:1" ht="14.4">
      <c r="A397" s="89"/>
    </row>
    <row r="398" spans="1:1" ht="14.4">
      <c r="A398" s="89"/>
    </row>
    <row r="399" spans="1:1" ht="14.4">
      <c r="A399" s="89"/>
    </row>
    <row r="400" spans="1:1" ht="14.4">
      <c r="A400" s="89"/>
    </row>
    <row r="401" spans="1:1" ht="14.4">
      <c r="A401" s="89"/>
    </row>
    <row r="402" spans="1:1" ht="14.4">
      <c r="A402" s="89"/>
    </row>
    <row r="403" spans="1:1" ht="14.4">
      <c r="A403" s="89"/>
    </row>
    <row r="404" spans="1:1" ht="14.4">
      <c r="A404" s="89"/>
    </row>
    <row r="405" spans="1:1" ht="14.4">
      <c r="A405" s="89"/>
    </row>
    <row r="406" spans="1:1" ht="14.4">
      <c r="A406" s="89"/>
    </row>
    <row r="407" spans="1:1" ht="14.4">
      <c r="A407" s="89"/>
    </row>
    <row r="408" spans="1:1" ht="14.4">
      <c r="A408" s="89"/>
    </row>
    <row r="409" spans="1:1" ht="14.4">
      <c r="A409" s="89"/>
    </row>
    <row r="410" spans="1:1" ht="14.4">
      <c r="A410" s="89"/>
    </row>
    <row r="411" spans="1:1" ht="14.4">
      <c r="A411" s="89"/>
    </row>
    <row r="412" spans="1:1" ht="14.4">
      <c r="A412" s="89"/>
    </row>
    <row r="413" spans="1:1" ht="14.4">
      <c r="A413" s="89"/>
    </row>
    <row r="414" spans="1:1" ht="14.4">
      <c r="A414" s="89"/>
    </row>
    <row r="415" spans="1:1" ht="14.4">
      <c r="A415" s="89"/>
    </row>
    <row r="416" spans="1:1" ht="14.4">
      <c r="A416" s="89"/>
    </row>
    <row r="417" spans="1:1" ht="14.4">
      <c r="A417" s="89"/>
    </row>
    <row r="418" spans="1:1" ht="14.4">
      <c r="A418" s="89"/>
    </row>
    <row r="419" spans="1:1" ht="14.4">
      <c r="A419" s="89"/>
    </row>
    <row r="420" spans="1:1" ht="14.4">
      <c r="A420" s="89"/>
    </row>
    <row r="421" spans="1:1" ht="14.4">
      <c r="A421" s="89"/>
    </row>
    <row r="422" spans="1:1" ht="14.4">
      <c r="A422" s="89"/>
    </row>
    <row r="423" spans="1:1" ht="14.4">
      <c r="A423" s="89"/>
    </row>
    <row r="424" spans="1:1" ht="14.4">
      <c r="A424" s="89"/>
    </row>
    <row r="425" spans="1:1" ht="14.4">
      <c r="A425" s="89"/>
    </row>
    <row r="426" spans="1:1" ht="14.4">
      <c r="A426" s="89"/>
    </row>
    <row r="427" spans="1:1" ht="14.4">
      <c r="A427" s="89"/>
    </row>
    <row r="428" spans="1:1" ht="14.4">
      <c r="A428" s="89"/>
    </row>
    <row r="429" spans="1:1" ht="14.4">
      <c r="A429" s="89"/>
    </row>
    <row r="430" spans="1:1" ht="14.4">
      <c r="A430" s="89"/>
    </row>
    <row r="431" spans="1:1" ht="14.4">
      <c r="A431" s="89"/>
    </row>
    <row r="432" spans="1:1" ht="14.4">
      <c r="A432" s="89"/>
    </row>
    <row r="433" spans="1:1" ht="14.4">
      <c r="A433" s="89"/>
    </row>
    <row r="434" spans="1:1" ht="14.4">
      <c r="A434" s="89"/>
    </row>
    <row r="435" spans="1:1" ht="14.4">
      <c r="A435" s="89"/>
    </row>
    <row r="436" spans="1:1" ht="14.4">
      <c r="A436" s="89"/>
    </row>
    <row r="437" spans="1:1" ht="14.4">
      <c r="A437" s="89"/>
    </row>
    <row r="438" spans="1:1" ht="14.4">
      <c r="A438" s="89"/>
    </row>
    <row r="439" spans="1:1" ht="14.4">
      <c r="A439" s="89"/>
    </row>
    <row r="440" spans="1:1" ht="14.4">
      <c r="A440" s="89"/>
    </row>
    <row r="441" spans="1:1" ht="14.4">
      <c r="A441" s="89"/>
    </row>
    <row r="442" spans="1:1" ht="14.4">
      <c r="A442" s="89"/>
    </row>
    <row r="443" spans="1:1" ht="14.4">
      <c r="A443" s="89"/>
    </row>
    <row r="444" spans="1:1" ht="14.4">
      <c r="A444" s="89"/>
    </row>
    <row r="445" spans="1:1" ht="14.4">
      <c r="A445" s="89"/>
    </row>
    <row r="446" spans="1:1" ht="14.4">
      <c r="A446" s="89"/>
    </row>
    <row r="447" spans="1:1" ht="14.4">
      <c r="A447" s="89"/>
    </row>
    <row r="448" spans="1:1" ht="14.4">
      <c r="A448" s="89"/>
    </row>
    <row r="449" spans="1:1" ht="14.4">
      <c r="A449" s="89"/>
    </row>
    <row r="450" spans="1:1" ht="14.4">
      <c r="A450" s="89"/>
    </row>
    <row r="451" spans="1:1" ht="14.4">
      <c r="A451" s="89"/>
    </row>
    <row r="452" spans="1:1" ht="14.4">
      <c r="A452" s="89"/>
    </row>
    <row r="453" spans="1:1" ht="14.4">
      <c r="A453" s="89"/>
    </row>
    <row r="454" spans="1:1" ht="14.4">
      <c r="A454" s="89"/>
    </row>
    <row r="455" spans="1:1" ht="14.4">
      <c r="A455" s="89"/>
    </row>
    <row r="456" spans="1:1" ht="14.4">
      <c r="A456" s="89"/>
    </row>
    <row r="457" spans="1:1" ht="14.4">
      <c r="A457" s="89"/>
    </row>
    <row r="458" spans="1:1" ht="14.4">
      <c r="A458" s="89"/>
    </row>
    <row r="459" spans="1:1" ht="14.4">
      <c r="A459" s="89"/>
    </row>
    <row r="460" spans="1:1" ht="14.4">
      <c r="A460" s="89"/>
    </row>
    <row r="461" spans="1:1" ht="14.4">
      <c r="A461" s="89"/>
    </row>
    <row r="462" spans="1:1" ht="14.4">
      <c r="A462" s="89"/>
    </row>
    <row r="463" spans="1:1" ht="14.4">
      <c r="A463" s="89"/>
    </row>
    <row r="464" spans="1:1" ht="14.4">
      <c r="A464" s="89"/>
    </row>
    <row r="465" spans="1:1" ht="14.4">
      <c r="A465" s="89"/>
    </row>
    <row r="466" spans="1:1" ht="14.4">
      <c r="A466" s="89"/>
    </row>
    <row r="467" spans="1:1" ht="14.4">
      <c r="A467" s="89"/>
    </row>
    <row r="468" spans="1:1" ht="14.4">
      <c r="A468" s="89"/>
    </row>
    <row r="469" spans="1:1" ht="14.4">
      <c r="A469" s="89"/>
    </row>
    <row r="470" spans="1:1" ht="14.4">
      <c r="A470" s="89"/>
    </row>
    <row r="471" spans="1:1" ht="14.4">
      <c r="A471" s="89"/>
    </row>
    <row r="472" spans="1:1" ht="14.4">
      <c r="A472" s="89"/>
    </row>
    <row r="473" spans="1:1" ht="14.4">
      <c r="A473" s="89"/>
    </row>
    <row r="474" spans="1:1" ht="14.4">
      <c r="A474" s="89"/>
    </row>
    <row r="475" spans="1:1" ht="14.4">
      <c r="A475" s="89"/>
    </row>
    <row r="476" spans="1:1" ht="14.4">
      <c r="A476" s="89"/>
    </row>
    <row r="477" spans="1:1" ht="14.4">
      <c r="A477" s="89"/>
    </row>
    <row r="478" spans="1:1" ht="14.4">
      <c r="A478" s="89"/>
    </row>
    <row r="479" spans="1:1" ht="14.4">
      <c r="A479" s="89"/>
    </row>
    <row r="480" spans="1:1" ht="14.4">
      <c r="A480" s="89"/>
    </row>
    <row r="481" spans="1:1" ht="14.4">
      <c r="A481" s="89"/>
    </row>
    <row r="482" spans="1:1" ht="14.4">
      <c r="A482" s="89"/>
    </row>
    <row r="483" spans="1:1" ht="14.4">
      <c r="A483" s="89"/>
    </row>
    <row r="484" spans="1:1" ht="14.4">
      <c r="A484" s="89"/>
    </row>
    <row r="485" spans="1:1" ht="14.4">
      <c r="A485" s="89"/>
    </row>
    <row r="486" spans="1:1" ht="14.4">
      <c r="A486" s="89"/>
    </row>
    <row r="487" spans="1:1" ht="14.4">
      <c r="A487" s="89"/>
    </row>
    <row r="488" spans="1:1" ht="14.4">
      <c r="A488" s="89"/>
    </row>
    <row r="489" spans="1:1" ht="14.4">
      <c r="A489" s="89"/>
    </row>
    <row r="490" spans="1:1" ht="14.4">
      <c r="A490" s="89"/>
    </row>
    <row r="491" spans="1:1" ht="14.4">
      <c r="A491" s="89"/>
    </row>
    <row r="492" spans="1:1" ht="14.4">
      <c r="A492" s="89"/>
    </row>
    <row r="493" spans="1:1" ht="14.4">
      <c r="A493" s="89"/>
    </row>
    <row r="494" spans="1:1" ht="14.4">
      <c r="A494" s="89"/>
    </row>
    <row r="495" spans="1:1" ht="14.4">
      <c r="A495" s="89"/>
    </row>
    <row r="496" spans="1:1" ht="14.4">
      <c r="A496" s="89"/>
    </row>
    <row r="497" spans="1:1" ht="14.4">
      <c r="A497" s="89"/>
    </row>
    <row r="498" spans="1:1" ht="14.4">
      <c r="A498" s="89"/>
    </row>
    <row r="499" spans="1:1" ht="14.4">
      <c r="A499" s="89"/>
    </row>
    <row r="500" spans="1:1" ht="14.4">
      <c r="A500" s="89"/>
    </row>
    <row r="501" spans="1:1" ht="14.4">
      <c r="A501" s="89"/>
    </row>
    <row r="502" spans="1:1" ht="14.4">
      <c r="A502" s="89"/>
    </row>
    <row r="503" spans="1:1" ht="14.4">
      <c r="A503" s="89"/>
    </row>
    <row r="504" spans="1:1" ht="14.4">
      <c r="A504" s="89"/>
    </row>
    <row r="505" spans="1:1" ht="14.4">
      <c r="A505" s="89"/>
    </row>
    <row r="506" spans="1:1" ht="14.4">
      <c r="A506" s="89"/>
    </row>
    <row r="507" spans="1:1" ht="14.4">
      <c r="A507" s="89"/>
    </row>
    <row r="508" spans="1:1" ht="14.4">
      <c r="A508" s="89"/>
    </row>
    <row r="509" spans="1:1" ht="14.4">
      <c r="A509" s="89"/>
    </row>
    <row r="510" spans="1:1" ht="14.4">
      <c r="A510" s="89"/>
    </row>
    <row r="511" spans="1:1" ht="14.4">
      <c r="A511" s="89"/>
    </row>
    <row r="512" spans="1:1" ht="14.4">
      <c r="A512" s="89"/>
    </row>
    <row r="513" spans="1:1" ht="14.4">
      <c r="A513" s="89"/>
    </row>
    <row r="514" spans="1:1" ht="14.4">
      <c r="A514" s="89"/>
    </row>
    <row r="515" spans="1:1" ht="14.4">
      <c r="A515" s="89"/>
    </row>
    <row r="516" spans="1:1" ht="14.4">
      <c r="A516" s="89"/>
    </row>
    <row r="517" spans="1:1" ht="14.4">
      <c r="A517" s="89"/>
    </row>
    <row r="518" spans="1:1" ht="14.4">
      <c r="A518" s="89"/>
    </row>
    <row r="519" spans="1:1" ht="14.4">
      <c r="A519" s="89"/>
    </row>
    <row r="520" spans="1:1" ht="14.4">
      <c r="A520" s="89"/>
    </row>
    <row r="521" spans="1:1" ht="14.4">
      <c r="A521" s="89"/>
    </row>
    <row r="522" spans="1:1" ht="14.4">
      <c r="A522" s="89"/>
    </row>
    <row r="523" spans="1:1" ht="14.4">
      <c r="A523" s="89"/>
    </row>
    <row r="524" spans="1:1" ht="14.4">
      <c r="A524" s="89"/>
    </row>
    <row r="525" spans="1:1" ht="14.4">
      <c r="A525" s="89"/>
    </row>
    <row r="526" spans="1:1" ht="14.4">
      <c r="A526" s="89"/>
    </row>
    <row r="527" spans="1:1" ht="14.4">
      <c r="A527" s="89"/>
    </row>
    <row r="528" spans="1:1" ht="14.4">
      <c r="A528" s="89"/>
    </row>
    <row r="529" spans="1:1" ht="14.4">
      <c r="A529" s="89"/>
    </row>
    <row r="530" spans="1:1" ht="14.4">
      <c r="A530" s="89"/>
    </row>
    <row r="531" spans="1:1" ht="14.4">
      <c r="A531" s="89"/>
    </row>
    <row r="532" spans="1:1" ht="14.4">
      <c r="A532" s="89"/>
    </row>
    <row r="533" spans="1:1" ht="14.4">
      <c r="A533" s="89"/>
    </row>
    <row r="534" spans="1:1" ht="14.4">
      <c r="A534" s="89"/>
    </row>
    <row r="535" spans="1:1" ht="14.4">
      <c r="A535" s="89"/>
    </row>
    <row r="536" spans="1:1" ht="14.4">
      <c r="A536" s="89"/>
    </row>
    <row r="537" spans="1:1" ht="14.4">
      <c r="A537" s="89"/>
    </row>
    <row r="538" spans="1:1" ht="14.4">
      <c r="A538" s="89"/>
    </row>
    <row r="539" spans="1:1" ht="14.4">
      <c r="A539" s="89"/>
    </row>
    <row r="540" spans="1:1" ht="14.4">
      <c r="A540" s="89"/>
    </row>
    <row r="541" spans="1:1" ht="14.4">
      <c r="A541" s="89"/>
    </row>
    <row r="542" spans="1:1" ht="14.4">
      <c r="A542" s="89"/>
    </row>
    <row r="543" spans="1:1" ht="14.4">
      <c r="A543" s="89"/>
    </row>
    <row r="544" spans="1:1" ht="14.4">
      <c r="A544" s="89"/>
    </row>
    <row r="545" spans="1:1" ht="14.4">
      <c r="A545" s="89"/>
    </row>
    <row r="546" spans="1:1" ht="14.4">
      <c r="A546" s="89"/>
    </row>
    <row r="547" spans="1:1" ht="14.4">
      <c r="A547" s="89"/>
    </row>
    <row r="548" spans="1:1" ht="14.4">
      <c r="A548" s="89"/>
    </row>
    <row r="549" spans="1:1" ht="14.4">
      <c r="A549" s="89"/>
    </row>
    <row r="550" spans="1:1" ht="14.4">
      <c r="A550" s="89"/>
    </row>
    <row r="551" spans="1:1" ht="14.4">
      <c r="A551" s="89"/>
    </row>
    <row r="552" spans="1:1" ht="14.4">
      <c r="A552" s="89"/>
    </row>
    <row r="553" spans="1:1" ht="14.4">
      <c r="A553" s="89"/>
    </row>
    <row r="554" spans="1:1" ht="14.4">
      <c r="A554" s="89"/>
    </row>
    <row r="555" spans="1:1" ht="14.4">
      <c r="A555" s="89"/>
    </row>
    <row r="556" spans="1:1" ht="14.4">
      <c r="A556" s="89"/>
    </row>
    <row r="557" spans="1:1" ht="14.4">
      <c r="A557" s="89"/>
    </row>
    <row r="558" spans="1:1" ht="14.4">
      <c r="A558" s="89"/>
    </row>
    <row r="559" spans="1:1" ht="14.4">
      <c r="A559" s="89"/>
    </row>
    <row r="560" spans="1:1" ht="14.4">
      <c r="A560" s="89"/>
    </row>
    <row r="561" spans="1:1" ht="14.4">
      <c r="A561" s="89"/>
    </row>
    <row r="562" spans="1:1" ht="14.4">
      <c r="A562" s="89"/>
    </row>
    <row r="563" spans="1:1" ht="14.4">
      <c r="A563" s="89"/>
    </row>
    <row r="564" spans="1:1" ht="14.4">
      <c r="A564" s="89"/>
    </row>
    <row r="565" spans="1:1" ht="14.4">
      <c r="A565" s="89"/>
    </row>
    <row r="566" spans="1:1" ht="14.4">
      <c r="A566" s="89"/>
    </row>
    <row r="567" spans="1:1" ht="14.4">
      <c r="A567" s="89"/>
    </row>
    <row r="568" spans="1:1" ht="14.4">
      <c r="A568" s="89"/>
    </row>
    <row r="569" spans="1:1" ht="14.4">
      <c r="A569" s="89"/>
    </row>
    <row r="570" spans="1:1" ht="14.4">
      <c r="A570" s="89"/>
    </row>
    <row r="571" spans="1:1" ht="14.4">
      <c r="A571" s="89"/>
    </row>
    <row r="572" spans="1:1" ht="14.4">
      <c r="A572" s="89"/>
    </row>
    <row r="573" spans="1:1" ht="14.4">
      <c r="A573" s="89"/>
    </row>
    <row r="574" spans="1:1" ht="14.4">
      <c r="A574" s="89"/>
    </row>
    <row r="575" spans="1:1" ht="14.4">
      <c r="A575" s="89"/>
    </row>
    <row r="576" spans="1:1" ht="14.4">
      <c r="A576" s="89"/>
    </row>
    <row r="577" spans="1:1" ht="14.4">
      <c r="A577" s="89"/>
    </row>
    <row r="578" spans="1:1" ht="14.4">
      <c r="A578" s="89"/>
    </row>
    <row r="579" spans="1:1" ht="14.4">
      <c r="A579" s="89"/>
    </row>
    <row r="580" spans="1:1" ht="14.4">
      <c r="A580" s="89"/>
    </row>
    <row r="581" spans="1:1" ht="14.4">
      <c r="A581" s="89"/>
    </row>
    <row r="582" spans="1:1" ht="14.4">
      <c r="A582" s="89"/>
    </row>
    <row r="583" spans="1:1" ht="14.4">
      <c r="A583" s="89"/>
    </row>
    <row r="584" spans="1:1" ht="14.4">
      <c r="A584" s="89"/>
    </row>
    <row r="585" spans="1:1" ht="14.4">
      <c r="A585" s="89"/>
    </row>
    <row r="586" spans="1:1" ht="14.4">
      <c r="A586" s="89"/>
    </row>
    <row r="587" spans="1:1" ht="14.4">
      <c r="A587" s="89"/>
    </row>
    <row r="588" spans="1:1" ht="14.4">
      <c r="A588" s="89"/>
    </row>
    <row r="589" spans="1:1" ht="14.4">
      <c r="A589" s="89"/>
    </row>
    <row r="590" spans="1:1" ht="14.4">
      <c r="A590" s="89"/>
    </row>
    <row r="591" spans="1:1" ht="14.4">
      <c r="A591" s="89"/>
    </row>
    <row r="592" spans="1:1" ht="14.4">
      <c r="A592" s="89"/>
    </row>
    <row r="593" spans="1:1" ht="14.4">
      <c r="A593" s="89"/>
    </row>
    <row r="594" spans="1:1" ht="14.4">
      <c r="A594" s="89"/>
    </row>
    <row r="595" spans="1:1" ht="14.4">
      <c r="A595" s="89"/>
    </row>
    <row r="596" spans="1:1" ht="14.4">
      <c r="A596" s="89"/>
    </row>
    <row r="597" spans="1:1" ht="14.4">
      <c r="A597" s="89"/>
    </row>
    <row r="598" spans="1:1" ht="14.4">
      <c r="A598" s="89"/>
    </row>
    <row r="599" spans="1:1" ht="14.4">
      <c r="A599" s="89"/>
    </row>
    <row r="600" spans="1:1" ht="14.4">
      <c r="A600" s="89"/>
    </row>
    <row r="601" spans="1:1" ht="14.4">
      <c r="A601" s="89"/>
    </row>
    <row r="602" spans="1:1" ht="14.4">
      <c r="A602" s="89"/>
    </row>
    <row r="603" spans="1:1" ht="14.4">
      <c r="A603" s="89"/>
    </row>
    <row r="604" spans="1:1" ht="14.4">
      <c r="A604" s="89"/>
    </row>
    <row r="605" spans="1:1" ht="14.4">
      <c r="A605" s="89"/>
    </row>
    <row r="606" spans="1:1" ht="14.4">
      <c r="A606" s="89"/>
    </row>
    <row r="607" spans="1:1" ht="14.4">
      <c r="A607" s="89"/>
    </row>
    <row r="608" spans="1:1" ht="14.4">
      <c r="A608" s="89"/>
    </row>
    <row r="609" spans="1:1" ht="14.4">
      <c r="A609" s="89"/>
    </row>
    <row r="610" spans="1:1" ht="14.4">
      <c r="A610" s="89"/>
    </row>
    <row r="611" spans="1:1" ht="14.4">
      <c r="A611" s="89"/>
    </row>
    <row r="612" spans="1:1" ht="14.4">
      <c r="A612" s="89"/>
    </row>
    <row r="613" spans="1:1" ht="14.4">
      <c r="A613" s="89"/>
    </row>
    <row r="614" spans="1:1" ht="14.4">
      <c r="A614" s="89"/>
    </row>
    <row r="615" spans="1:1" ht="14.4">
      <c r="A615" s="89"/>
    </row>
    <row r="616" spans="1:1" ht="14.4">
      <c r="A616" s="89"/>
    </row>
    <row r="617" spans="1:1" ht="14.4">
      <c r="A617" s="89"/>
    </row>
    <row r="618" spans="1:1" ht="14.4">
      <c r="A618" s="89"/>
    </row>
    <row r="619" spans="1:1" ht="14.4">
      <c r="A619" s="89"/>
    </row>
    <row r="620" spans="1:1" ht="14.4">
      <c r="A620" s="89"/>
    </row>
    <row r="621" spans="1:1" ht="14.4">
      <c r="A621" s="89"/>
    </row>
    <row r="622" spans="1:1" ht="14.4">
      <c r="A622" s="89"/>
    </row>
    <row r="623" spans="1:1" ht="14.4">
      <c r="A623" s="89"/>
    </row>
    <row r="624" spans="1:1" ht="14.4">
      <c r="A624" s="89"/>
    </row>
    <row r="625" spans="1:1" ht="14.4">
      <c r="A625" s="89"/>
    </row>
    <row r="626" spans="1:1" ht="14.4">
      <c r="A626" s="89"/>
    </row>
    <row r="627" spans="1:1" ht="14.4">
      <c r="A627" s="89"/>
    </row>
    <row r="628" spans="1:1" ht="14.4">
      <c r="A628" s="89"/>
    </row>
    <row r="629" spans="1:1" ht="14.4">
      <c r="A629" s="89"/>
    </row>
    <row r="630" spans="1:1" ht="14.4">
      <c r="A630" s="89"/>
    </row>
    <row r="631" spans="1:1" ht="14.4">
      <c r="A631" s="89"/>
    </row>
    <row r="632" spans="1:1" ht="14.4">
      <c r="A632" s="89"/>
    </row>
    <row r="633" spans="1:1" ht="14.4">
      <c r="A633" s="89"/>
    </row>
    <row r="634" spans="1:1" ht="14.4">
      <c r="A634" s="89"/>
    </row>
    <row r="635" spans="1:1" ht="14.4">
      <c r="A635" s="89"/>
    </row>
    <row r="636" spans="1:1" ht="14.4">
      <c r="A636" s="89"/>
    </row>
    <row r="637" spans="1:1" ht="14.4">
      <c r="A637" s="89"/>
    </row>
    <row r="638" spans="1:1" ht="14.4">
      <c r="A638" s="89"/>
    </row>
    <row r="639" spans="1:1" ht="14.4">
      <c r="A639" s="89"/>
    </row>
    <row r="640" spans="1:1" ht="14.4">
      <c r="A640" s="89"/>
    </row>
    <row r="641" spans="1:1" ht="14.4">
      <c r="A641" s="89"/>
    </row>
    <row r="642" spans="1:1" ht="14.4">
      <c r="A642" s="89"/>
    </row>
    <row r="643" spans="1:1" ht="14.4">
      <c r="A643" s="89"/>
    </row>
    <row r="644" spans="1:1" ht="14.4">
      <c r="A644" s="89"/>
    </row>
    <row r="645" spans="1:1" ht="14.4">
      <c r="A645" s="89"/>
    </row>
    <row r="646" spans="1:1" ht="14.4">
      <c r="A646" s="89"/>
    </row>
    <row r="647" spans="1:1" ht="14.4">
      <c r="A647" s="89"/>
    </row>
    <row r="648" spans="1:1" ht="14.4">
      <c r="A648" s="89"/>
    </row>
    <row r="649" spans="1:1" ht="14.4">
      <c r="A649" s="89"/>
    </row>
    <row r="650" spans="1:1" ht="14.4">
      <c r="A650" s="89"/>
    </row>
    <row r="651" spans="1:1" ht="14.4">
      <c r="A651" s="89"/>
    </row>
    <row r="652" spans="1:1" ht="14.4">
      <c r="A652" s="89"/>
    </row>
    <row r="653" spans="1:1" ht="14.4">
      <c r="A653" s="89"/>
    </row>
    <row r="654" spans="1:1" ht="14.4">
      <c r="A654" s="89"/>
    </row>
    <row r="655" spans="1:1" ht="14.4">
      <c r="A655" s="89"/>
    </row>
    <row r="656" spans="1:1" ht="14.4">
      <c r="A656" s="89"/>
    </row>
    <row r="657" spans="1:1" ht="14.4">
      <c r="A657" s="89"/>
    </row>
    <row r="658" spans="1:1" ht="14.4">
      <c r="A658" s="89"/>
    </row>
    <row r="659" spans="1:1" ht="14.4">
      <c r="A659" s="89"/>
    </row>
    <row r="660" spans="1:1" ht="14.4">
      <c r="A660" s="89"/>
    </row>
    <row r="661" spans="1:1" ht="14.4">
      <c r="A661" s="89"/>
    </row>
    <row r="662" spans="1:1" ht="14.4">
      <c r="A662" s="89"/>
    </row>
    <row r="663" spans="1:1" ht="14.4">
      <c r="A663" s="89"/>
    </row>
    <row r="664" spans="1:1" ht="14.4">
      <c r="A664" s="89"/>
    </row>
    <row r="665" spans="1:1" ht="14.4">
      <c r="A665" s="89"/>
    </row>
    <row r="666" spans="1:1" ht="14.4">
      <c r="A666" s="89"/>
    </row>
    <row r="667" spans="1:1" ht="14.4">
      <c r="A667" s="89"/>
    </row>
    <row r="668" spans="1:1" ht="14.4">
      <c r="A668" s="89"/>
    </row>
    <row r="669" spans="1:1" ht="14.4">
      <c r="A669" s="89"/>
    </row>
    <row r="670" spans="1:1" ht="14.4">
      <c r="A670" s="89"/>
    </row>
    <row r="671" spans="1:1" ht="14.4">
      <c r="A671" s="89"/>
    </row>
    <row r="672" spans="1:1" ht="14.4">
      <c r="A672" s="89"/>
    </row>
    <row r="673" spans="1:1" ht="14.4">
      <c r="A673" s="89"/>
    </row>
    <row r="674" spans="1:1" ht="14.4">
      <c r="A674" s="89"/>
    </row>
    <row r="675" spans="1:1" ht="14.4">
      <c r="A675" s="89"/>
    </row>
    <row r="676" spans="1:1" ht="14.4">
      <c r="A676" s="89"/>
    </row>
    <row r="677" spans="1:1" ht="14.4">
      <c r="A677" s="89"/>
    </row>
    <row r="678" spans="1:1" ht="14.4">
      <c r="A678" s="89"/>
    </row>
    <row r="679" spans="1:1" ht="14.4">
      <c r="A679" s="89"/>
    </row>
    <row r="680" spans="1:1" ht="14.4">
      <c r="A680" s="89"/>
    </row>
    <row r="681" spans="1:1" ht="14.4">
      <c r="A681" s="89"/>
    </row>
    <row r="682" spans="1:1" ht="14.4">
      <c r="A682" s="89"/>
    </row>
    <row r="683" spans="1:1" ht="14.4">
      <c r="A683" s="89"/>
    </row>
    <row r="684" spans="1:1" ht="14.4">
      <c r="A684" s="89"/>
    </row>
    <row r="685" spans="1:1" ht="14.4">
      <c r="A685" s="89"/>
    </row>
    <row r="686" spans="1:1" ht="14.4">
      <c r="A686" s="89"/>
    </row>
    <row r="687" spans="1:1" ht="14.4">
      <c r="A687" s="89"/>
    </row>
    <row r="688" spans="1:1" ht="14.4">
      <c r="A688" s="89"/>
    </row>
    <row r="689" spans="1:1" ht="14.4">
      <c r="A689" s="89"/>
    </row>
    <row r="690" spans="1:1" ht="14.4">
      <c r="A690" s="89"/>
    </row>
    <row r="691" spans="1:1" ht="14.4">
      <c r="A691" s="89"/>
    </row>
    <row r="692" spans="1:1" ht="14.4">
      <c r="A692" s="89"/>
    </row>
    <row r="693" spans="1:1" ht="14.4">
      <c r="A693" s="89"/>
    </row>
    <row r="694" spans="1:1" ht="14.4">
      <c r="A694" s="89"/>
    </row>
    <row r="695" spans="1:1" ht="14.4">
      <c r="A695" s="89"/>
    </row>
    <row r="696" spans="1:1" ht="14.4">
      <c r="A696" s="89"/>
    </row>
    <row r="697" spans="1:1" ht="14.4">
      <c r="A697" s="89"/>
    </row>
    <row r="698" spans="1:1" ht="14.4">
      <c r="A698" s="89"/>
    </row>
    <row r="699" spans="1:1" ht="14.4">
      <c r="A699" s="89"/>
    </row>
    <row r="700" spans="1:1" ht="14.4">
      <c r="A700" s="89"/>
    </row>
    <row r="701" spans="1:1" ht="14.4">
      <c r="A701" s="89"/>
    </row>
    <row r="702" spans="1:1" ht="14.4">
      <c r="A702" s="89"/>
    </row>
    <row r="703" spans="1:1" ht="14.4">
      <c r="A703" s="89"/>
    </row>
    <row r="704" spans="1:1" ht="14.4">
      <c r="A704" s="89"/>
    </row>
    <row r="705" spans="1:1" ht="14.4">
      <c r="A705" s="89"/>
    </row>
    <row r="706" spans="1:1" ht="14.4">
      <c r="A706" s="89"/>
    </row>
    <row r="707" spans="1:1" ht="14.4">
      <c r="A707" s="89"/>
    </row>
    <row r="708" spans="1:1" ht="14.4">
      <c r="A708" s="89"/>
    </row>
    <row r="709" spans="1:1" ht="14.4">
      <c r="A709" s="89"/>
    </row>
    <row r="710" spans="1:1" ht="14.4">
      <c r="A710" s="89"/>
    </row>
    <row r="711" spans="1:1" ht="14.4">
      <c r="A711" s="89"/>
    </row>
    <row r="712" spans="1:1" ht="14.4">
      <c r="A712" s="89"/>
    </row>
    <row r="713" spans="1:1" ht="14.4">
      <c r="A713" s="89"/>
    </row>
    <row r="714" spans="1:1" ht="14.4">
      <c r="A714" s="89"/>
    </row>
    <row r="715" spans="1:1" ht="14.4">
      <c r="A715" s="89"/>
    </row>
    <row r="716" spans="1:1" ht="14.4">
      <c r="A716" s="89"/>
    </row>
    <row r="717" spans="1:1" ht="14.4">
      <c r="A717" s="89"/>
    </row>
    <row r="718" spans="1:1" ht="14.4">
      <c r="A718" s="89"/>
    </row>
    <row r="719" spans="1:1" ht="14.4">
      <c r="A719" s="89"/>
    </row>
    <row r="720" spans="1:1" ht="14.4">
      <c r="A720" s="89"/>
    </row>
    <row r="721" spans="1:1" ht="14.4">
      <c r="A721" s="89"/>
    </row>
    <row r="722" spans="1:1" ht="14.4">
      <c r="A722" s="89"/>
    </row>
    <row r="723" spans="1:1" ht="14.4">
      <c r="A723" s="89"/>
    </row>
    <row r="724" spans="1:1" ht="14.4">
      <c r="A724" s="89"/>
    </row>
    <row r="725" spans="1:1" ht="14.4">
      <c r="A725" s="89"/>
    </row>
    <row r="726" spans="1:1" ht="14.4">
      <c r="A726" s="89"/>
    </row>
    <row r="727" spans="1:1" ht="14.4">
      <c r="A727" s="89"/>
    </row>
    <row r="728" spans="1:1" ht="14.4">
      <c r="A728" s="89"/>
    </row>
    <row r="729" spans="1:1" ht="14.4">
      <c r="A729" s="89"/>
    </row>
    <row r="730" spans="1:1" ht="14.4">
      <c r="A730" s="89"/>
    </row>
    <row r="731" spans="1:1" ht="14.4">
      <c r="A731" s="89"/>
    </row>
    <row r="732" spans="1:1" ht="14.4">
      <c r="A732" s="89"/>
    </row>
    <row r="733" spans="1:1" ht="14.4">
      <c r="A733" s="89"/>
    </row>
    <row r="734" spans="1:1" ht="14.4">
      <c r="A734" s="89"/>
    </row>
    <row r="735" spans="1:1" ht="14.4">
      <c r="A735" s="89"/>
    </row>
    <row r="736" spans="1:1" ht="14.4">
      <c r="A736" s="89"/>
    </row>
    <row r="737" spans="1:1" ht="14.4">
      <c r="A737" s="89"/>
    </row>
    <row r="738" spans="1:1" ht="14.4">
      <c r="A738" s="89"/>
    </row>
    <row r="739" spans="1:1" ht="14.4">
      <c r="A739" s="89"/>
    </row>
    <row r="740" spans="1:1" ht="14.4">
      <c r="A740" s="89"/>
    </row>
    <row r="741" spans="1:1" ht="14.4">
      <c r="A741" s="89"/>
    </row>
    <row r="742" spans="1:1" ht="14.4">
      <c r="A742" s="89"/>
    </row>
    <row r="743" spans="1:1" ht="14.4">
      <c r="A743" s="89"/>
    </row>
    <row r="744" spans="1:1" ht="14.4">
      <c r="A744" s="89"/>
    </row>
    <row r="745" spans="1:1" ht="14.4">
      <c r="A745" s="89"/>
    </row>
    <row r="746" spans="1:1" ht="14.4">
      <c r="A746" s="89"/>
    </row>
    <row r="747" spans="1:1" ht="14.4">
      <c r="A747" s="89"/>
    </row>
    <row r="748" spans="1:1" ht="14.4">
      <c r="A748" s="89"/>
    </row>
    <row r="749" spans="1:1" ht="14.4">
      <c r="A749" s="89"/>
    </row>
    <row r="750" spans="1:1" ht="14.4">
      <c r="A750" s="89"/>
    </row>
    <row r="751" spans="1:1" ht="14.4">
      <c r="A751" s="89"/>
    </row>
    <row r="752" spans="1:1" ht="14.4">
      <c r="A752" s="89"/>
    </row>
    <row r="753" spans="1:1" ht="14.4">
      <c r="A753" s="89"/>
    </row>
    <row r="754" spans="1:1" ht="14.4">
      <c r="A754" s="89"/>
    </row>
    <row r="755" spans="1:1" ht="14.4">
      <c r="A755" s="89"/>
    </row>
    <row r="756" spans="1:1" ht="14.4">
      <c r="A756" s="89"/>
    </row>
    <row r="757" spans="1:1" ht="14.4">
      <c r="A757" s="89"/>
    </row>
    <row r="758" spans="1:1" ht="14.4">
      <c r="A758" s="89"/>
    </row>
    <row r="759" spans="1:1" ht="14.4">
      <c r="A759" s="89"/>
    </row>
    <row r="760" spans="1:1" ht="14.4">
      <c r="A760" s="89"/>
    </row>
    <row r="761" spans="1:1" ht="14.4">
      <c r="A761" s="89"/>
    </row>
    <row r="762" spans="1:1" ht="14.4">
      <c r="A762" s="89"/>
    </row>
    <row r="763" spans="1:1" ht="14.4">
      <c r="A763" s="89"/>
    </row>
    <row r="764" spans="1:1" ht="14.4">
      <c r="A764" s="89"/>
    </row>
    <row r="765" spans="1:1" ht="14.4">
      <c r="A765" s="89"/>
    </row>
    <row r="766" spans="1:1" ht="14.4">
      <c r="A766" s="89"/>
    </row>
    <row r="767" spans="1:1" ht="14.4">
      <c r="A767" s="89"/>
    </row>
    <row r="768" spans="1:1" ht="14.4">
      <c r="A768" s="89"/>
    </row>
    <row r="769" spans="1:1" ht="14.4">
      <c r="A769" s="89"/>
    </row>
    <row r="770" spans="1:1" ht="14.4">
      <c r="A770" s="89"/>
    </row>
    <row r="771" spans="1:1" ht="14.4">
      <c r="A771" s="89"/>
    </row>
    <row r="772" spans="1:1" ht="14.4">
      <c r="A772" s="89"/>
    </row>
    <row r="773" spans="1:1" ht="14.4">
      <c r="A773" s="89"/>
    </row>
    <row r="774" spans="1:1" ht="14.4">
      <c r="A774" s="89"/>
    </row>
    <row r="775" spans="1:1" ht="14.4">
      <c r="A775" s="89"/>
    </row>
    <row r="776" spans="1:1" ht="14.4">
      <c r="A776" s="89"/>
    </row>
    <row r="777" spans="1:1" ht="14.4">
      <c r="A777" s="89"/>
    </row>
    <row r="778" spans="1:1" ht="14.4">
      <c r="A778" s="89"/>
    </row>
    <row r="779" spans="1:1" ht="14.4">
      <c r="A779" s="89"/>
    </row>
    <row r="780" spans="1:1" ht="14.4">
      <c r="A780" s="89"/>
    </row>
    <row r="781" spans="1:1" ht="14.4">
      <c r="A781" s="89"/>
    </row>
    <row r="782" spans="1:1" ht="14.4">
      <c r="A782" s="89"/>
    </row>
    <row r="783" spans="1:1" ht="14.4">
      <c r="A783" s="89"/>
    </row>
    <row r="784" spans="1:1" ht="14.4">
      <c r="A784" s="89"/>
    </row>
    <row r="785" spans="1:1" ht="14.4">
      <c r="A785" s="89"/>
    </row>
    <row r="786" spans="1:1" ht="14.4">
      <c r="A786" s="89"/>
    </row>
    <row r="787" spans="1:1" ht="14.4">
      <c r="A787" s="89"/>
    </row>
    <row r="788" spans="1:1" ht="14.4">
      <c r="A788" s="89"/>
    </row>
    <row r="789" spans="1:1" ht="14.4">
      <c r="A789" s="89"/>
    </row>
    <row r="790" spans="1:1" ht="14.4">
      <c r="A790" s="89"/>
    </row>
    <row r="791" spans="1:1" ht="14.4">
      <c r="A791" s="89"/>
    </row>
    <row r="792" spans="1:1" ht="14.4">
      <c r="A792" s="89"/>
    </row>
    <row r="793" spans="1:1" ht="14.4">
      <c r="A793" s="89"/>
    </row>
    <row r="794" spans="1:1" ht="14.4">
      <c r="A794" s="89"/>
    </row>
    <row r="795" spans="1:1" ht="14.4">
      <c r="A795" s="89"/>
    </row>
    <row r="796" spans="1:1" ht="14.4">
      <c r="A796" s="89"/>
    </row>
    <row r="797" spans="1:1" ht="14.4">
      <c r="A797" s="89"/>
    </row>
    <row r="798" spans="1:1" ht="14.4">
      <c r="A798" s="89"/>
    </row>
    <row r="799" spans="1:1" ht="14.4">
      <c r="A799" s="89"/>
    </row>
    <row r="800" spans="1:1" ht="14.4">
      <c r="A800" s="89"/>
    </row>
    <row r="801" spans="1:1" ht="14.4">
      <c r="A801" s="89"/>
    </row>
    <row r="802" spans="1:1" ht="14.4">
      <c r="A802" s="89"/>
    </row>
    <row r="803" spans="1:1" ht="14.4">
      <c r="A803" s="89"/>
    </row>
    <row r="804" spans="1:1" ht="14.4">
      <c r="A804" s="89"/>
    </row>
    <row r="805" spans="1:1" ht="14.4">
      <c r="A805" s="89"/>
    </row>
    <row r="806" spans="1:1" ht="14.4">
      <c r="A806" s="89"/>
    </row>
    <row r="807" spans="1:1" ht="14.4">
      <c r="A807" s="89"/>
    </row>
    <row r="808" spans="1:1" ht="14.4">
      <c r="A808" s="89"/>
    </row>
    <row r="809" spans="1:1" ht="14.4">
      <c r="A809" s="89"/>
    </row>
    <row r="810" spans="1:1" ht="14.4">
      <c r="A810" s="89"/>
    </row>
    <row r="811" spans="1:1" ht="14.4">
      <c r="A811" s="89"/>
    </row>
    <row r="812" spans="1:1" ht="14.4">
      <c r="A812" s="89"/>
    </row>
    <row r="813" spans="1:1" ht="14.4">
      <c r="A813" s="89"/>
    </row>
    <row r="814" spans="1:1" ht="14.4">
      <c r="A814" s="89"/>
    </row>
    <row r="815" spans="1:1" ht="14.4">
      <c r="A815" s="89"/>
    </row>
    <row r="816" spans="1:1" ht="14.4">
      <c r="A816" s="89"/>
    </row>
    <row r="817" spans="1:1" ht="14.4">
      <c r="A817" s="89"/>
    </row>
    <row r="818" spans="1:1" ht="14.4">
      <c r="A818" s="89"/>
    </row>
    <row r="819" spans="1:1" ht="14.4">
      <c r="A819" s="89"/>
    </row>
    <row r="820" spans="1:1" ht="14.4">
      <c r="A820" s="89"/>
    </row>
    <row r="821" spans="1:1" ht="14.4">
      <c r="A821" s="89"/>
    </row>
    <row r="822" spans="1:1" ht="14.4">
      <c r="A822" s="89"/>
    </row>
    <row r="823" spans="1:1" ht="14.4">
      <c r="A823" s="89"/>
    </row>
    <row r="824" spans="1:1" ht="14.4">
      <c r="A824" s="89"/>
    </row>
    <row r="825" spans="1:1" ht="14.4">
      <c r="A825" s="89"/>
    </row>
    <row r="826" spans="1:1" ht="14.4">
      <c r="A826" s="89"/>
    </row>
    <row r="827" spans="1:1" ht="14.4">
      <c r="A827" s="89"/>
    </row>
    <row r="828" spans="1:1" ht="14.4">
      <c r="A828" s="89"/>
    </row>
    <row r="829" spans="1:1" ht="14.4">
      <c r="A829" s="89"/>
    </row>
    <row r="830" spans="1:1" ht="14.4">
      <c r="A830" s="89"/>
    </row>
    <row r="831" spans="1:1" ht="14.4">
      <c r="A831" s="89"/>
    </row>
    <row r="832" spans="1:1" ht="14.4">
      <c r="A832" s="89"/>
    </row>
    <row r="833" spans="1:1" ht="14.4">
      <c r="A833" s="89"/>
    </row>
    <row r="834" spans="1:1" ht="14.4">
      <c r="A834" s="89"/>
    </row>
    <row r="835" spans="1:1" ht="14.4">
      <c r="A835" s="89"/>
    </row>
    <row r="836" spans="1:1" ht="14.4">
      <c r="A836" s="89"/>
    </row>
    <row r="837" spans="1:1" ht="14.4">
      <c r="A837" s="89"/>
    </row>
    <row r="838" spans="1:1" ht="14.4">
      <c r="A838" s="89"/>
    </row>
    <row r="839" spans="1:1" ht="14.4">
      <c r="A839" s="89"/>
    </row>
    <row r="840" spans="1:1" ht="14.4">
      <c r="A840" s="89"/>
    </row>
    <row r="841" spans="1:1" ht="14.4">
      <c r="A841" s="89"/>
    </row>
    <row r="842" spans="1:1" ht="14.4">
      <c r="A842" s="89"/>
    </row>
    <row r="843" spans="1:1" ht="14.4">
      <c r="A843" s="89"/>
    </row>
    <row r="844" spans="1:1" ht="14.4">
      <c r="A844" s="89"/>
    </row>
    <row r="845" spans="1:1" ht="14.4">
      <c r="A845" s="89"/>
    </row>
    <row r="846" spans="1:1" ht="14.4">
      <c r="A846" s="89"/>
    </row>
    <row r="847" spans="1:1" ht="14.4">
      <c r="A847" s="89"/>
    </row>
    <row r="848" spans="1:1" ht="14.4">
      <c r="A848" s="89"/>
    </row>
    <row r="849" spans="1:1" ht="14.4">
      <c r="A849" s="89"/>
    </row>
    <row r="850" spans="1:1" ht="14.4">
      <c r="A850" s="89"/>
    </row>
    <row r="851" spans="1:1" ht="14.4">
      <c r="A851" s="89"/>
    </row>
    <row r="852" spans="1:1" ht="14.4">
      <c r="A852" s="89"/>
    </row>
    <row r="853" spans="1:1" ht="14.4">
      <c r="A853" s="89"/>
    </row>
    <row r="854" spans="1:1" ht="14.4">
      <c r="A854" s="89"/>
    </row>
    <row r="855" spans="1:1" ht="14.4">
      <c r="A855" s="89"/>
    </row>
    <row r="856" spans="1:1" ht="14.4">
      <c r="A856" s="89"/>
    </row>
    <row r="857" spans="1:1" ht="14.4">
      <c r="A857" s="89"/>
    </row>
    <row r="858" spans="1:1" ht="14.4">
      <c r="A858" s="89"/>
    </row>
    <row r="859" spans="1:1" ht="14.4">
      <c r="A859" s="89"/>
    </row>
    <row r="860" spans="1:1" ht="14.4">
      <c r="A860" s="89"/>
    </row>
    <row r="861" spans="1:1" ht="14.4">
      <c r="A861" s="89"/>
    </row>
    <row r="862" spans="1:1" ht="14.4">
      <c r="A862" s="89"/>
    </row>
    <row r="863" spans="1:1" ht="14.4">
      <c r="A863" s="89"/>
    </row>
    <row r="864" spans="1:1" ht="14.4">
      <c r="A864" s="89"/>
    </row>
    <row r="865" spans="1:1" ht="14.4">
      <c r="A865" s="89"/>
    </row>
    <row r="866" spans="1:1" ht="14.4">
      <c r="A866" s="89"/>
    </row>
    <row r="867" spans="1:1" ht="14.4">
      <c r="A867" s="89"/>
    </row>
    <row r="868" spans="1:1" ht="14.4">
      <c r="A868" s="89"/>
    </row>
    <row r="869" spans="1:1" ht="14.4">
      <c r="A869" s="89"/>
    </row>
    <row r="870" spans="1:1" ht="14.4">
      <c r="A870" s="89"/>
    </row>
    <row r="871" spans="1:1" ht="14.4">
      <c r="A871" s="89"/>
    </row>
    <row r="872" spans="1:1" ht="14.4">
      <c r="A872" s="89"/>
    </row>
    <row r="873" spans="1:1" ht="14.4">
      <c r="A873" s="89"/>
    </row>
    <row r="874" spans="1:1" ht="14.4">
      <c r="A874" s="89"/>
    </row>
    <row r="875" spans="1:1" ht="14.4">
      <c r="A875" s="89"/>
    </row>
    <row r="876" spans="1:1" ht="14.4">
      <c r="A876" s="89"/>
    </row>
    <row r="877" spans="1:1" ht="14.4">
      <c r="A877" s="89"/>
    </row>
    <row r="878" spans="1:1" ht="14.4">
      <c r="A878" s="89"/>
    </row>
    <row r="879" spans="1:1" ht="14.4">
      <c r="A879" s="89"/>
    </row>
    <row r="880" spans="1:1" ht="14.4">
      <c r="A880" s="89"/>
    </row>
    <row r="881" spans="1:1" ht="14.4">
      <c r="A881" s="89"/>
    </row>
    <row r="882" spans="1:1" ht="14.4">
      <c r="A882" s="89"/>
    </row>
    <row r="883" spans="1:1" ht="14.4">
      <c r="A883" s="89"/>
    </row>
    <row r="884" spans="1:1" ht="14.4">
      <c r="A884" s="89"/>
    </row>
    <row r="885" spans="1:1" ht="14.4">
      <c r="A885" s="89"/>
    </row>
    <row r="886" spans="1:1" ht="14.4">
      <c r="A886" s="89"/>
    </row>
    <row r="887" spans="1:1" ht="14.4">
      <c r="A887" s="89"/>
    </row>
    <row r="888" spans="1:1" ht="14.4">
      <c r="A888" s="89"/>
    </row>
    <row r="889" spans="1:1" ht="14.4">
      <c r="A889" s="89"/>
    </row>
    <row r="890" spans="1:1" ht="14.4">
      <c r="A890" s="89"/>
    </row>
    <row r="891" spans="1:1" ht="14.4">
      <c r="A891" s="89"/>
    </row>
    <row r="892" spans="1:1" ht="14.4">
      <c r="A892" s="89"/>
    </row>
    <row r="893" spans="1:1" ht="14.4">
      <c r="A893" s="89"/>
    </row>
    <row r="894" spans="1:1" ht="14.4">
      <c r="A894" s="89"/>
    </row>
    <row r="895" spans="1:1" ht="14.4">
      <c r="A895" s="89"/>
    </row>
    <row r="896" spans="1:1" ht="14.4">
      <c r="A896" s="89"/>
    </row>
    <row r="897" spans="1:1" ht="14.4">
      <c r="A897" s="89"/>
    </row>
    <row r="898" spans="1:1" ht="14.4">
      <c r="A898" s="89"/>
    </row>
    <row r="899" spans="1:1" ht="14.4">
      <c r="A899" s="89"/>
    </row>
    <row r="900" spans="1:1" ht="14.4">
      <c r="A900" s="89"/>
    </row>
    <row r="901" spans="1:1" ht="14.4">
      <c r="A901" s="89"/>
    </row>
    <row r="902" spans="1:1" ht="14.4">
      <c r="A902" s="89"/>
    </row>
    <row r="903" spans="1:1" ht="14.4">
      <c r="A903" s="89"/>
    </row>
    <row r="904" spans="1:1" ht="14.4">
      <c r="A904" s="89"/>
    </row>
    <row r="905" spans="1:1" ht="14.4">
      <c r="A905" s="89"/>
    </row>
    <row r="906" spans="1:1" ht="14.4">
      <c r="A906" s="89"/>
    </row>
    <row r="907" spans="1:1" ht="14.4">
      <c r="A907" s="89"/>
    </row>
    <row r="908" spans="1:1" ht="14.4">
      <c r="A908" s="89"/>
    </row>
    <row r="909" spans="1:1" ht="14.4">
      <c r="A909" s="89"/>
    </row>
    <row r="910" spans="1:1" ht="14.4">
      <c r="A910" s="89"/>
    </row>
    <row r="911" spans="1:1" ht="14.4">
      <c r="A911" s="89"/>
    </row>
    <row r="912" spans="1:1" ht="14.4">
      <c r="A912" s="89"/>
    </row>
    <row r="913" spans="1:1" ht="14.4">
      <c r="A913" s="89"/>
    </row>
    <row r="914" spans="1:1" ht="14.4">
      <c r="A914" s="89"/>
    </row>
    <row r="915" spans="1:1" ht="14.4">
      <c r="A915" s="89"/>
    </row>
    <row r="916" spans="1:1" ht="14.4">
      <c r="A916" s="89"/>
    </row>
    <row r="917" spans="1:1" ht="14.4">
      <c r="A917" s="89"/>
    </row>
    <row r="918" spans="1:1" ht="14.4">
      <c r="A918" s="89"/>
    </row>
    <row r="919" spans="1:1" ht="14.4">
      <c r="A919" s="89"/>
    </row>
    <row r="920" spans="1:1" ht="14.4">
      <c r="A920" s="89"/>
    </row>
    <row r="921" spans="1:1" ht="14.4">
      <c r="A921" s="89"/>
    </row>
    <row r="922" spans="1:1" ht="14.4">
      <c r="A922" s="89"/>
    </row>
    <row r="923" spans="1:1" ht="14.4">
      <c r="A923" s="89"/>
    </row>
    <row r="924" spans="1:1" ht="14.4">
      <c r="A924" s="89"/>
    </row>
    <row r="925" spans="1:1" ht="14.4">
      <c r="A925" s="89"/>
    </row>
    <row r="926" spans="1:1" ht="14.4">
      <c r="A926" s="89"/>
    </row>
    <row r="927" spans="1:1" ht="14.4">
      <c r="A927" s="89"/>
    </row>
    <row r="928" spans="1:1" ht="14.4">
      <c r="A928" s="89"/>
    </row>
    <row r="929" spans="1:1" ht="14.4">
      <c r="A929" s="89"/>
    </row>
    <row r="930" spans="1:1" ht="14.4">
      <c r="A930" s="89"/>
    </row>
    <row r="931" spans="1:1" ht="14.4">
      <c r="A931" s="89"/>
    </row>
    <row r="932" spans="1:1" ht="14.4">
      <c r="A932" s="89"/>
    </row>
    <row r="933" spans="1:1" ht="14.4">
      <c r="A933" s="89"/>
    </row>
    <row r="934" spans="1:1" ht="14.4">
      <c r="A934" s="89"/>
    </row>
    <row r="935" spans="1:1" ht="14.4">
      <c r="A935" s="89"/>
    </row>
    <row r="936" spans="1:1" ht="14.4">
      <c r="A936" s="89"/>
    </row>
    <row r="937" spans="1:1" ht="14.4">
      <c r="A937" s="89"/>
    </row>
    <row r="938" spans="1:1" ht="14.4">
      <c r="A938" s="89"/>
    </row>
    <row r="939" spans="1:1" ht="14.4">
      <c r="A939" s="89"/>
    </row>
    <row r="940" spans="1:1" ht="14.4">
      <c r="A940" s="89"/>
    </row>
    <row r="941" spans="1:1" ht="14.4">
      <c r="A941" s="89"/>
    </row>
    <row r="942" spans="1:1" ht="14.4">
      <c r="A942" s="89"/>
    </row>
    <row r="943" spans="1:1" ht="14.4">
      <c r="A943" s="89"/>
    </row>
    <row r="944" spans="1:1" ht="14.4">
      <c r="A944" s="89"/>
    </row>
    <row r="945" spans="1:1" ht="14.4">
      <c r="A945" s="89"/>
    </row>
    <row r="946" spans="1:1" ht="14.4">
      <c r="A946" s="89"/>
    </row>
    <row r="947" spans="1:1" ht="14.4">
      <c r="A947" s="89"/>
    </row>
    <row r="948" spans="1:1" ht="14.4">
      <c r="A948" s="89"/>
    </row>
    <row r="949" spans="1:1" ht="14.4">
      <c r="A949" s="89"/>
    </row>
    <row r="950" spans="1:1" ht="14.4">
      <c r="A950" s="89"/>
    </row>
    <row r="951" spans="1:1" ht="14.4">
      <c r="A951" s="89"/>
    </row>
    <row r="952" spans="1:1" ht="14.4">
      <c r="A952" s="89"/>
    </row>
    <row r="953" spans="1:1" ht="14.4">
      <c r="A953" s="89"/>
    </row>
    <row r="954" spans="1:1" ht="14.4">
      <c r="A954" s="89"/>
    </row>
    <row r="955" spans="1:1" ht="14.4">
      <c r="A955" s="89"/>
    </row>
    <row r="956" spans="1:1" ht="14.4">
      <c r="A956" s="89"/>
    </row>
    <row r="957" spans="1:1" ht="14.4">
      <c r="A957" s="89"/>
    </row>
    <row r="958" spans="1:1" ht="14.4">
      <c r="A958" s="89"/>
    </row>
    <row r="959" spans="1:1" ht="14.4">
      <c r="A959" s="89"/>
    </row>
    <row r="960" spans="1:1" ht="14.4">
      <c r="A960" s="89"/>
    </row>
    <row r="961" spans="1:1" ht="14.4">
      <c r="A961" s="89"/>
    </row>
    <row r="962" spans="1:1" ht="14.4">
      <c r="A962" s="89"/>
    </row>
    <row r="963" spans="1:1" ht="14.4">
      <c r="A963" s="89"/>
    </row>
    <row r="964" spans="1:1" ht="14.4">
      <c r="A964" s="89"/>
    </row>
    <row r="965" spans="1:1" ht="14.4">
      <c r="A965" s="89"/>
    </row>
    <row r="966" spans="1:1" ht="14.4">
      <c r="A966" s="89"/>
    </row>
    <row r="967" spans="1:1" ht="14.4">
      <c r="A967" s="89"/>
    </row>
    <row r="968" spans="1:1" ht="14.4">
      <c r="A968" s="89"/>
    </row>
    <row r="969" spans="1:1" ht="14.4">
      <c r="A969" s="89"/>
    </row>
    <row r="970" spans="1:1" ht="14.4">
      <c r="A970" s="89"/>
    </row>
    <row r="971" spans="1:1" ht="14.4">
      <c r="A971" s="89"/>
    </row>
    <row r="972" spans="1:1" ht="14.4">
      <c r="A972" s="89"/>
    </row>
    <row r="973" spans="1:1" ht="14.4">
      <c r="A973" s="89"/>
    </row>
    <row r="974" spans="1:1" ht="14.4">
      <c r="A974" s="89"/>
    </row>
    <row r="975" spans="1:1" ht="14.4">
      <c r="A975" s="89"/>
    </row>
    <row r="976" spans="1:1" ht="14.4">
      <c r="A976" s="89"/>
    </row>
    <row r="977" spans="1:1" ht="14.4">
      <c r="A977" s="89"/>
    </row>
    <row r="978" spans="1:1" ht="14.4">
      <c r="A978" s="89"/>
    </row>
    <row r="979" spans="1:1" ht="14.4">
      <c r="A979" s="89"/>
    </row>
    <row r="980" spans="1:1" ht="14.4">
      <c r="A980" s="89"/>
    </row>
    <row r="981" spans="1:1" ht="14.4">
      <c r="A981" s="89"/>
    </row>
    <row r="982" spans="1:1" ht="14.4">
      <c r="A982" s="89"/>
    </row>
    <row r="983" spans="1:1" ht="14.4">
      <c r="A983" s="89"/>
    </row>
    <row r="984" spans="1:1" ht="14.4">
      <c r="A984" s="89"/>
    </row>
    <row r="985" spans="1:1" ht="14.4">
      <c r="A985" s="89"/>
    </row>
    <row r="986" spans="1:1" ht="14.4">
      <c r="A986" s="89"/>
    </row>
    <row r="987" spans="1:1" ht="14.4">
      <c r="A987" s="89"/>
    </row>
    <row r="988" spans="1:1" ht="14.4">
      <c r="A988" s="89"/>
    </row>
    <row r="989" spans="1:1" ht="14.4">
      <c r="A989" s="89"/>
    </row>
    <row r="990" spans="1:1" ht="14.4">
      <c r="A990" s="89"/>
    </row>
    <row r="991" spans="1:1" ht="14.4">
      <c r="A991" s="89"/>
    </row>
    <row r="992" spans="1:1" ht="14.4">
      <c r="A992" s="89"/>
    </row>
    <row r="993" spans="1:1" ht="14.4">
      <c r="A993" s="89"/>
    </row>
    <row r="994" spans="1:1" ht="14.4">
      <c r="A994" s="89"/>
    </row>
    <row r="995" spans="1:1" ht="14.4">
      <c r="A995" s="89"/>
    </row>
    <row r="996" spans="1:1" ht="14.4">
      <c r="A996" s="89"/>
    </row>
    <row r="997" spans="1:1" ht="14.4">
      <c r="A997" s="89"/>
    </row>
    <row r="998" spans="1:1" ht="14.4">
      <c r="A998" s="89"/>
    </row>
    <row r="999" spans="1:1" ht="14.4">
      <c r="A999" s="89"/>
    </row>
    <row r="1000" spans="1:1" ht="14.4">
      <c r="A1000" s="89"/>
    </row>
    <row r="1001" spans="1:1" ht="14.4">
      <c r="A1001" s="89"/>
    </row>
  </sheetData>
  <mergeCells count="33">
    <mergeCell ref="J72:J74"/>
    <mergeCell ref="J75:J77"/>
    <mergeCell ref="F43:F44"/>
    <mergeCell ref="G43:I43"/>
    <mergeCell ref="J46:J51"/>
    <mergeCell ref="J52:J53"/>
    <mergeCell ref="J54:J55"/>
    <mergeCell ref="J57:J65"/>
    <mergeCell ref="J66:J71"/>
    <mergeCell ref="D43:D44"/>
    <mergeCell ref="E43:E44"/>
    <mergeCell ref="J27:J32"/>
    <mergeCell ref="J33:J35"/>
    <mergeCell ref="J36:J38"/>
    <mergeCell ref="A41:J42"/>
    <mergeCell ref="A43:A44"/>
    <mergeCell ref="B43:B44"/>
    <mergeCell ref="C43:C44"/>
    <mergeCell ref="J43:J44"/>
    <mergeCell ref="J5:J6"/>
    <mergeCell ref="J7:J12"/>
    <mergeCell ref="J13:J14"/>
    <mergeCell ref="J15:J16"/>
    <mergeCell ref="J18:J26"/>
    <mergeCell ref="A1:J2"/>
    <mergeCell ref="A3:A4"/>
    <mergeCell ref="B3:B4"/>
    <mergeCell ref="C3:C4"/>
    <mergeCell ref="D3:D4"/>
    <mergeCell ref="E3:E4"/>
    <mergeCell ref="F3:F4"/>
    <mergeCell ref="G3:I3"/>
    <mergeCell ref="J3:J4"/>
  </mergeCells>
  <printOptions horizontalCentered="1"/>
  <pageMargins left="0.25" right="0.25" top="0.75" bottom="0.75" header="0" footer="0"/>
  <pageSetup paperSize="9" pageOrder="overThenDown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K966"/>
  <sheetViews>
    <sheetView workbookViewId="0"/>
  </sheetViews>
  <sheetFormatPr defaultColWidth="14.44140625" defaultRowHeight="15" customHeight="1"/>
  <cols>
    <col min="1" max="1" width="4.109375" customWidth="1"/>
    <col min="2" max="2" width="29.5546875" customWidth="1"/>
    <col min="8" max="8" width="21.88671875" customWidth="1"/>
    <col min="11" max="11" width="29.88671875" customWidth="1"/>
  </cols>
  <sheetData>
    <row r="1" spans="1:11" ht="14.4">
      <c r="A1" s="683" t="s">
        <v>865</v>
      </c>
      <c r="B1" s="671"/>
      <c r="C1" s="671"/>
      <c r="D1" s="671"/>
      <c r="E1" s="671"/>
      <c r="F1" s="671"/>
      <c r="G1" s="671"/>
      <c r="H1" s="671"/>
      <c r="I1" s="671"/>
      <c r="J1" s="672"/>
    </row>
    <row r="2" spans="1:11" ht="14.4">
      <c r="A2" s="675"/>
      <c r="B2" s="676"/>
      <c r="C2" s="676"/>
      <c r="D2" s="676"/>
      <c r="E2" s="676"/>
      <c r="F2" s="676"/>
      <c r="G2" s="676"/>
      <c r="H2" s="676"/>
      <c r="I2" s="676"/>
      <c r="J2" s="677"/>
    </row>
    <row r="3" spans="1:11" ht="15.6">
      <c r="A3" s="684"/>
      <c r="B3" s="685" t="s">
        <v>815</v>
      </c>
      <c r="C3" s="685" t="s">
        <v>42</v>
      </c>
      <c r="D3" s="685" t="s">
        <v>541</v>
      </c>
      <c r="E3" s="685" t="s">
        <v>816</v>
      </c>
      <c r="F3" s="685" t="s">
        <v>817</v>
      </c>
      <c r="G3" s="686" t="s">
        <v>44</v>
      </c>
      <c r="H3" s="656"/>
      <c r="I3" s="657"/>
      <c r="J3" s="685" t="s">
        <v>48</v>
      </c>
    </row>
    <row r="4" spans="1:11" ht="15.6">
      <c r="A4" s="646"/>
      <c r="B4" s="646"/>
      <c r="C4" s="646"/>
      <c r="D4" s="646"/>
      <c r="E4" s="646"/>
      <c r="F4" s="646"/>
      <c r="G4" s="142" t="s">
        <v>654</v>
      </c>
      <c r="H4" s="142" t="s">
        <v>655</v>
      </c>
      <c r="I4" s="142" t="s">
        <v>656</v>
      </c>
      <c r="J4" s="646"/>
    </row>
    <row r="5" spans="1:11" ht="15.6">
      <c r="A5" s="143">
        <v>1</v>
      </c>
      <c r="B5" s="144" t="s">
        <v>605</v>
      </c>
      <c r="C5" s="144" t="s">
        <v>120</v>
      </c>
      <c r="D5" s="263">
        <f>F5/1.2</f>
        <v>35097</v>
      </c>
      <c r="E5" s="263">
        <f t="shared" ref="E5:E43" si="0">D5*0.2</f>
        <v>7019.4000000000005</v>
      </c>
      <c r="F5" s="263">
        <v>42116.4</v>
      </c>
      <c r="G5" s="144" t="s">
        <v>141</v>
      </c>
      <c r="H5" s="144" t="s">
        <v>142</v>
      </c>
      <c r="I5" s="144" t="s">
        <v>143</v>
      </c>
      <c r="J5" s="697" t="s">
        <v>455</v>
      </c>
      <c r="K5" s="33" t="str">
        <f t="shared" ref="K5:K43" si="1">CONCATENATE(G5,","," ",H5," ",LEFT(I5,1),".")</f>
        <v>AGAOID, EDISON S.</v>
      </c>
    </row>
    <row r="6" spans="1:11" ht="15.6">
      <c r="A6" s="143">
        <v>2</v>
      </c>
      <c r="B6" s="144" t="s">
        <v>605</v>
      </c>
      <c r="C6" s="144" t="s">
        <v>120</v>
      </c>
      <c r="D6" s="263">
        <f>D5</f>
        <v>35097</v>
      </c>
      <c r="E6" s="263">
        <f t="shared" si="0"/>
        <v>7019.4000000000005</v>
      </c>
      <c r="F6" s="263">
        <v>42116.4</v>
      </c>
      <c r="G6" s="144" t="s">
        <v>336</v>
      </c>
      <c r="H6" s="144" t="s">
        <v>337</v>
      </c>
      <c r="I6" s="144" t="s">
        <v>787</v>
      </c>
      <c r="J6" s="662"/>
      <c r="K6" s="33" t="str">
        <f t="shared" si="1"/>
        <v>BAQUIRAN, MAR ELVISON A.</v>
      </c>
    </row>
    <row r="7" spans="1:11" ht="15.6">
      <c r="A7" s="143">
        <v>3</v>
      </c>
      <c r="B7" s="144" t="s">
        <v>820</v>
      </c>
      <c r="C7" s="148">
        <v>45505</v>
      </c>
      <c r="D7" s="263">
        <v>18998</v>
      </c>
      <c r="E7" s="263">
        <f t="shared" si="0"/>
        <v>3799.6000000000004</v>
      </c>
      <c r="F7" s="263">
        <f t="shared" ref="F7:F10" si="2">E7+D7</f>
        <v>22797.599999999999</v>
      </c>
      <c r="G7" s="144" t="s">
        <v>391</v>
      </c>
      <c r="H7" s="144" t="s">
        <v>392</v>
      </c>
      <c r="I7" s="144" t="s">
        <v>871</v>
      </c>
      <c r="J7" s="662"/>
      <c r="K7" s="33" t="str">
        <f t="shared" si="1"/>
        <v>BACKIAWAN, DEBORA P.</v>
      </c>
    </row>
    <row r="8" spans="1:11" ht="15.6">
      <c r="A8" s="143">
        <v>4</v>
      </c>
      <c r="B8" s="144" t="s">
        <v>820</v>
      </c>
      <c r="C8" s="148">
        <v>45505</v>
      </c>
      <c r="D8" s="263">
        <v>18998</v>
      </c>
      <c r="E8" s="263">
        <f t="shared" si="0"/>
        <v>3799.6000000000004</v>
      </c>
      <c r="F8" s="263">
        <f t="shared" si="2"/>
        <v>22797.599999999999</v>
      </c>
      <c r="G8" s="144" t="s">
        <v>415</v>
      </c>
      <c r="H8" s="144" t="s">
        <v>416</v>
      </c>
      <c r="I8" s="144" t="s">
        <v>862</v>
      </c>
      <c r="J8" s="662"/>
      <c r="K8" s="33" t="str">
        <f t="shared" si="1"/>
        <v>MONTES, MARIZA NOVA M.</v>
      </c>
    </row>
    <row r="9" spans="1:11" ht="15.6">
      <c r="A9" s="143">
        <v>5</v>
      </c>
      <c r="B9" s="144" t="s">
        <v>820</v>
      </c>
      <c r="C9" s="148">
        <v>45505</v>
      </c>
      <c r="D9" s="263">
        <v>18998</v>
      </c>
      <c r="E9" s="263">
        <f t="shared" si="0"/>
        <v>3799.6000000000004</v>
      </c>
      <c r="F9" s="263">
        <f t="shared" si="2"/>
        <v>22797.599999999999</v>
      </c>
      <c r="G9" s="144" t="s">
        <v>852</v>
      </c>
      <c r="H9" s="144" t="s">
        <v>853</v>
      </c>
      <c r="I9" s="144" t="s">
        <v>871</v>
      </c>
      <c r="J9" s="662"/>
      <c r="K9" s="33" t="str">
        <f t="shared" si="1"/>
        <v>PASCUAL, HAROLD P.</v>
      </c>
    </row>
    <row r="10" spans="1:11" ht="15.6">
      <c r="A10" s="143">
        <v>6</v>
      </c>
      <c r="B10" s="144" t="s">
        <v>820</v>
      </c>
      <c r="C10" s="148">
        <v>45505</v>
      </c>
      <c r="D10" s="263">
        <v>18998</v>
      </c>
      <c r="E10" s="263">
        <f t="shared" si="0"/>
        <v>3799.6000000000004</v>
      </c>
      <c r="F10" s="263">
        <f t="shared" si="2"/>
        <v>22797.599999999999</v>
      </c>
      <c r="G10" s="144" t="s">
        <v>348</v>
      </c>
      <c r="H10" s="144" t="s">
        <v>349</v>
      </c>
      <c r="I10" s="144" t="s">
        <v>613</v>
      </c>
      <c r="J10" s="646"/>
      <c r="K10" s="33" t="str">
        <f t="shared" si="1"/>
        <v>RAFER, YANCEE KEARVIN KYLE A.</v>
      </c>
    </row>
    <row r="11" spans="1:11" ht="15.6">
      <c r="A11" s="143">
        <v>7</v>
      </c>
      <c r="B11" s="144" t="s">
        <v>724</v>
      </c>
      <c r="C11" s="144" t="s">
        <v>120</v>
      </c>
      <c r="D11" s="263">
        <f t="shared" ref="D11:D27" si="3">F11/1.2</f>
        <v>35097</v>
      </c>
      <c r="E11" s="263">
        <f t="shared" si="0"/>
        <v>7019.4000000000005</v>
      </c>
      <c r="F11" s="263">
        <v>42116.4</v>
      </c>
      <c r="G11" s="144" t="s">
        <v>296</v>
      </c>
      <c r="H11" s="144" t="s">
        <v>297</v>
      </c>
      <c r="I11" s="144" t="s">
        <v>298</v>
      </c>
      <c r="J11" s="693" t="s">
        <v>299</v>
      </c>
      <c r="K11" s="33" t="str">
        <f t="shared" si="1"/>
        <v>CASUGA, RICA V.</v>
      </c>
    </row>
    <row r="12" spans="1:11" ht="15.6">
      <c r="A12" s="143">
        <v>8</v>
      </c>
      <c r="B12" s="144" t="s">
        <v>754</v>
      </c>
      <c r="C12" s="148">
        <v>45597</v>
      </c>
      <c r="D12" s="263">
        <f t="shared" si="3"/>
        <v>25439</v>
      </c>
      <c r="E12" s="263">
        <f t="shared" si="0"/>
        <v>5087.8</v>
      </c>
      <c r="F12" s="263">
        <v>30526.799999999999</v>
      </c>
      <c r="G12" s="144" t="s">
        <v>134</v>
      </c>
      <c r="H12" s="144" t="s">
        <v>135</v>
      </c>
      <c r="I12" s="144" t="s">
        <v>136</v>
      </c>
      <c r="J12" s="662"/>
      <c r="K12" s="33" t="str">
        <f t="shared" si="1"/>
        <v>BUENO, CHRISTINE JOYCE V.</v>
      </c>
    </row>
    <row r="13" spans="1:11" ht="15.6">
      <c r="A13" s="143">
        <v>9</v>
      </c>
      <c r="B13" s="144" t="s">
        <v>754</v>
      </c>
      <c r="C13" s="148">
        <v>45597</v>
      </c>
      <c r="D13" s="263">
        <f t="shared" si="3"/>
        <v>25439</v>
      </c>
      <c r="E13" s="263">
        <f t="shared" si="0"/>
        <v>5087.8</v>
      </c>
      <c r="F13" s="263">
        <v>30526.799999999999</v>
      </c>
      <c r="G13" s="144" t="s">
        <v>375</v>
      </c>
      <c r="H13" s="144" t="s">
        <v>376</v>
      </c>
      <c r="I13" s="144" t="s">
        <v>377</v>
      </c>
      <c r="J13" s="662"/>
      <c r="K13" s="33" t="str">
        <f t="shared" si="1"/>
        <v>DAWIDEO, SAMANTHA P.</v>
      </c>
    </row>
    <row r="14" spans="1:11" ht="15.6">
      <c r="A14" s="143">
        <v>10</v>
      </c>
      <c r="B14" s="144" t="s">
        <v>754</v>
      </c>
      <c r="C14" s="148">
        <v>45597</v>
      </c>
      <c r="D14" s="263">
        <f t="shared" si="3"/>
        <v>25439</v>
      </c>
      <c r="E14" s="263">
        <f t="shared" si="0"/>
        <v>5087.8</v>
      </c>
      <c r="F14" s="263">
        <v>30526.799999999999</v>
      </c>
      <c r="G14" s="144" t="s">
        <v>99</v>
      </c>
      <c r="H14" s="144" t="s">
        <v>370</v>
      </c>
      <c r="I14" s="144" t="s">
        <v>371</v>
      </c>
      <c r="J14" s="662"/>
      <c r="K14" s="33" t="str">
        <f t="shared" si="1"/>
        <v>DEL ROSARIO, JONATHAN F.</v>
      </c>
    </row>
    <row r="15" spans="1:11" ht="15.6">
      <c r="A15" s="143">
        <v>11</v>
      </c>
      <c r="B15" s="144" t="s">
        <v>754</v>
      </c>
      <c r="C15" s="148">
        <v>45597</v>
      </c>
      <c r="D15" s="263">
        <f t="shared" si="3"/>
        <v>25439</v>
      </c>
      <c r="E15" s="263">
        <f t="shared" si="0"/>
        <v>5087.8</v>
      </c>
      <c r="F15" s="263">
        <v>30526.799999999999</v>
      </c>
      <c r="G15" s="144" t="s">
        <v>366</v>
      </c>
      <c r="H15" s="144" t="s">
        <v>367</v>
      </c>
      <c r="I15" s="144" t="s">
        <v>89</v>
      </c>
      <c r="J15" s="662"/>
      <c r="K15" s="33" t="str">
        <f t="shared" si="1"/>
        <v>SAGAYDORO, SHERYL N.</v>
      </c>
    </row>
    <row r="16" spans="1:11" ht="15.6">
      <c r="A16" s="143">
        <v>12</v>
      </c>
      <c r="B16" s="144" t="s">
        <v>754</v>
      </c>
      <c r="C16" s="148">
        <v>45597</v>
      </c>
      <c r="D16" s="263">
        <f t="shared" si="3"/>
        <v>25439</v>
      </c>
      <c r="E16" s="263">
        <f t="shared" si="0"/>
        <v>5087.8</v>
      </c>
      <c r="F16" s="263">
        <v>30526.799999999999</v>
      </c>
      <c r="G16" s="144" t="s">
        <v>363</v>
      </c>
      <c r="H16" s="144" t="s">
        <v>364</v>
      </c>
      <c r="I16" s="144" t="s">
        <v>365</v>
      </c>
      <c r="J16" s="646"/>
      <c r="K16" s="33" t="str">
        <f t="shared" si="1"/>
        <v>VALDEZ, MARIA KRISTINE T.</v>
      </c>
    </row>
    <row r="17" spans="1:11" ht="15.6">
      <c r="A17" s="143">
        <v>13</v>
      </c>
      <c r="B17" s="144" t="s">
        <v>724</v>
      </c>
      <c r="C17" s="144" t="s">
        <v>120</v>
      </c>
      <c r="D17" s="263">
        <f t="shared" si="3"/>
        <v>35097</v>
      </c>
      <c r="E17" s="263">
        <f t="shared" si="0"/>
        <v>7019.4000000000005</v>
      </c>
      <c r="F17" s="263">
        <v>42116.4</v>
      </c>
      <c r="G17" s="144" t="s">
        <v>128</v>
      </c>
      <c r="H17" s="144" t="s">
        <v>129</v>
      </c>
      <c r="I17" s="144" t="s">
        <v>130</v>
      </c>
      <c r="J17" s="694" t="s">
        <v>825</v>
      </c>
      <c r="K17" s="33" t="str">
        <f t="shared" si="1"/>
        <v>AMMASI, JAYFER T.</v>
      </c>
    </row>
    <row r="18" spans="1:11" ht="15.6">
      <c r="A18" s="143">
        <v>14</v>
      </c>
      <c r="B18" s="144" t="s">
        <v>724</v>
      </c>
      <c r="C18" s="144" t="s">
        <v>120</v>
      </c>
      <c r="D18" s="263">
        <f t="shared" si="3"/>
        <v>35097</v>
      </c>
      <c r="E18" s="263">
        <f t="shared" si="0"/>
        <v>7019.4000000000005</v>
      </c>
      <c r="F18" s="263">
        <v>42116.4</v>
      </c>
      <c r="G18" s="144" t="s">
        <v>309</v>
      </c>
      <c r="H18" s="144" t="s">
        <v>310</v>
      </c>
      <c r="I18" s="144" t="s">
        <v>311</v>
      </c>
      <c r="J18" s="646"/>
      <c r="K18" s="33" t="str">
        <f t="shared" si="1"/>
        <v>ANAPI, DEEJAY G.</v>
      </c>
    </row>
    <row r="19" spans="1:11" ht="15.6">
      <c r="A19" s="143">
        <v>15</v>
      </c>
      <c r="B19" s="144" t="s">
        <v>724</v>
      </c>
      <c r="C19" s="144" t="s">
        <v>120</v>
      </c>
      <c r="D19" s="263">
        <f t="shared" si="3"/>
        <v>35097</v>
      </c>
      <c r="E19" s="263">
        <f t="shared" si="0"/>
        <v>7019.4000000000005</v>
      </c>
      <c r="F19" s="263">
        <v>42116.4</v>
      </c>
      <c r="G19" s="144" t="s">
        <v>101</v>
      </c>
      <c r="H19" s="144" t="s">
        <v>304</v>
      </c>
      <c r="I19" s="144" t="s">
        <v>305</v>
      </c>
      <c r="J19" s="695" t="s">
        <v>379</v>
      </c>
      <c r="K19" s="33" t="str">
        <f t="shared" si="1"/>
        <v>CALAYAN, KIMBERLY ANN B.</v>
      </c>
    </row>
    <row r="20" spans="1:11" ht="15.6">
      <c r="A20" s="143">
        <v>16</v>
      </c>
      <c r="B20" s="144" t="s">
        <v>754</v>
      </c>
      <c r="C20" s="148">
        <v>45597</v>
      </c>
      <c r="D20" s="263">
        <f t="shared" si="3"/>
        <v>25439</v>
      </c>
      <c r="E20" s="263">
        <f t="shared" si="0"/>
        <v>5087.8</v>
      </c>
      <c r="F20" s="263">
        <v>30526.799999999999</v>
      </c>
      <c r="G20" s="144" t="s">
        <v>849</v>
      </c>
      <c r="H20" s="144" t="s">
        <v>850</v>
      </c>
      <c r="I20" s="144" t="s">
        <v>851</v>
      </c>
      <c r="J20" s="646"/>
      <c r="K20" s="33" t="str">
        <f t="shared" si="1"/>
        <v>FIDEL, DONNA ANDREA D.</v>
      </c>
    </row>
    <row r="21" spans="1:11" ht="15" customHeight="1">
      <c r="A21" s="143">
        <v>17</v>
      </c>
      <c r="B21" s="144" t="s">
        <v>274</v>
      </c>
      <c r="C21" s="144" t="s">
        <v>275</v>
      </c>
      <c r="D21" s="263">
        <f t="shared" si="3"/>
        <v>38150</v>
      </c>
      <c r="E21" s="263">
        <f t="shared" si="0"/>
        <v>7630</v>
      </c>
      <c r="F21" s="267">
        <v>45780</v>
      </c>
      <c r="G21" s="144" t="s">
        <v>111</v>
      </c>
      <c r="H21" s="144" t="s">
        <v>112</v>
      </c>
      <c r="I21" s="144" t="s">
        <v>101</v>
      </c>
      <c r="J21" s="268" t="s">
        <v>567</v>
      </c>
      <c r="K21" s="33" t="str">
        <f t="shared" si="1"/>
        <v>BATANG, JOHNY C.</v>
      </c>
    </row>
    <row r="22" spans="1:11" ht="15.6">
      <c r="A22" s="143">
        <v>18</v>
      </c>
      <c r="B22" s="144" t="s">
        <v>245</v>
      </c>
      <c r="C22" s="144" t="s">
        <v>98</v>
      </c>
      <c r="D22" s="263">
        <f t="shared" si="3"/>
        <v>49835</v>
      </c>
      <c r="E22" s="263">
        <f t="shared" si="0"/>
        <v>9967</v>
      </c>
      <c r="F22" s="263">
        <v>59802</v>
      </c>
      <c r="G22" s="144" t="s">
        <v>114</v>
      </c>
      <c r="H22" s="144" t="s">
        <v>115</v>
      </c>
      <c r="I22" s="144" t="s">
        <v>116</v>
      </c>
      <c r="J22" s="696" t="s">
        <v>279</v>
      </c>
      <c r="K22" s="33" t="str">
        <f t="shared" si="1"/>
        <v>ELCHICO, JOEY MARK D.</v>
      </c>
    </row>
    <row r="23" spans="1:11" ht="15" customHeight="1">
      <c r="A23" s="143">
        <v>19</v>
      </c>
      <c r="B23" s="144" t="s">
        <v>274</v>
      </c>
      <c r="C23" s="144" t="s">
        <v>275</v>
      </c>
      <c r="D23" s="263">
        <f t="shared" si="3"/>
        <v>38150</v>
      </c>
      <c r="E23" s="263">
        <f t="shared" si="0"/>
        <v>7630</v>
      </c>
      <c r="F23" s="267">
        <v>45780</v>
      </c>
      <c r="G23" s="144" t="s">
        <v>276</v>
      </c>
      <c r="H23" s="144" t="s">
        <v>277</v>
      </c>
      <c r="I23" s="144" t="s">
        <v>278</v>
      </c>
      <c r="J23" s="662"/>
      <c r="K23" s="33" t="str">
        <f t="shared" si="1"/>
        <v>CEPEDA, CYRILL SHANE T.</v>
      </c>
    </row>
    <row r="24" spans="1:11" ht="15" customHeight="1">
      <c r="A24" s="143">
        <v>20</v>
      </c>
      <c r="B24" s="144" t="s">
        <v>274</v>
      </c>
      <c r="C24" s="144" t="s">
        <v>275</v>
      </c>
      <c r="D24" s="263">
        <f t="shared" si="3"/>
        <v>38150</v>
      </c>
      <c r="E24" s="263">
        <f t="shared" si="0"/>
        <v>7630</v>
      </c>
      <c r="F24" s="267">
        <v>45780</v>
      </c>
      <c r="G24" s="144" t="s">
        <v>300</v>
      </c>
      <c r="H24" s="144" t="s">
        <v>301</v>
      </c>
      <c r="I24" s="144" t="s">
        <v>302</v>
      </c>
      <c r="J24" s="662"/>
      <c r="K24" s="33" t="str">
        <f t="shared" si="1"/>
        <v>GUIMMAYEN, NEIL KRISTOPHER C.</v>
      </c>
    </row>
    <row r="25" spans="1:11" ht="15.6">
      <c r="A25" s="143">
        <v>21</v>
      </c>
      <c r="B25" s="144" t="s">
        <v>605</v>
      </c>
      <c r="C25" s="144" t="s">
        <v>120</v>
      </c>
      <c r="D25" s="263">
        <f t="shared" si="3"/>
        <v>35097</v>
      </c>
      <c r="E25" s="263">
        <f t="shared" si="0"/>
        <v>7019.4000000000005</v>
      </c>
      <c r="F25" s="263">
        <v>42116.4</v>
      </c>
      <c r="G25" s="144" t="s">
        <v>322</v>
      </c>
      <c r="H25" s="144" t="s">
        <v>323</v>
      </c>
      <c r="I25" s="144" t="s">
        <v>615</v>
      </c>
      <c r="J25" s="662"/>
      <c r="K25" s="33" t="str">
        <f t="shared" si="1"/>
        <v>CATINOY, JANET T.</v>
      </c>
    </row>
    <row r="26" spans="1:11" ht="15.6">
      <c r="A26" s="143">
        <v>22</v>
      </c>
      <c r="B26" s="144" t="s">
        <v>724</v>
      </c>
      <c r="C26" s="144" t="s">
        <v>120</v>
      </c>
      <c r="D26" s="263">
        <f t="shared" si="3"/>
        <v>35097</v>
      </c>
      <c r="E26" s="263">
        <f t="shared" si="0"/>
        <v>7019.4000000000005</v>
      </c>
      <c r="F26" s="263">
        <v>42116.4</v>
      </c>
      <c r="G26" s="144" t="s">
        <v>315</v>
      </c>
      <c r="H26" s="144" t="s">
        <v>316</v>
      </c>
      <c r="I26" s="144" t="s">
        <v>317</v>
      </c>
      <c r="J26" s="662"/>
      <c r="K26" s="33" t="str">
        <f t="shared" si="1"/>
        <v>GALOLO, LEAH G.</v>
      </c>
    </row>
    <row r="27" spans="1:11" ht="15.6">
      <c r="A27" s="143">
        <v>23</v>
      </c>
      <c r="B27" s="144" t="s">
        <v>724</v>
      </c>
      <c r="C27" s="144" t="s">
        <v>120</v>
      </c>
      <c r="D27" s="263">
        <f t="shared" si="3"/>
        <v>35097</v>
      </c>
      <c r="E27" s="263">
        <f t="shared" si="0"/>
        <v>7019.4000000000005</v>
      </c>
      <c r="F27" s="263">
        <v>42116.4</v>
      </c>
      <c r="G27" s="144" t="s">
        <v>560</v>
      </c>
      <c r="H27" s="144" t="s">
        <v>561</v>
      </c>
      <c r="I27" s="144" t="s">
        <v>562</v>
      </c>
      <c r="J27" s="662"/>
      <c r="K27" s="33" t="str">
        <f t="shared" si="1"/>
        <v>MALVAS, RITZ ANDREI I.</v>
      </c>
    </row>
    <row r="28" spans="1:11" ht="15.6">
      <c r="A28" s="143">
        <v>24</v>
      </c>
      <c r="B28" s="144" t="s">
        <v>731</v>
      </c>
      <c r="C28" s="148">
        <v>45597</v>
      </c>
      <c r="D28" s="263">
        <v>25439</v>
      </c>
      <c r="E28" s="263">
        <f t="shared" si="0"/>
        <v>5087.8</v>
      </c>
      <c r="F28" s="263">
        <v>30526.799999999999</v>
      </c>
      <c r="G28" s="144" t="s">
        <v>336</v>
      </c>
      <c r="H28" s="144" t="s">
        <v>381</v>
      </c>
      <c r="I28" s="144" t="s">
        <v>382</v>
      </c>
      <c r="J28" s="646"/>
      <c r="K28" s="33" t="str">
        <f t="shared" si="1"/>
        <v>BAQUIRAN, JULIUS CEZAR C.</v>
      </c>
    </row>
    <row r="29" spans="1:11" ht="15.6">
      <c r="A29" s="143">
        <v>25</v>
      </c>
      <c r="B29" s="144" t="s">
        <v>751</v>
      </c>
      <c r="C29" s="144" t="s">
        <v>98</v>
      </c>
      <c r="D29" s="263">
        <f t="shared" ref="D29:D41" si="4">F29/1.2</f>
        <v>49835</v>
      </c>
      <c r="E29" s="263">
        <f t="shared" si="0"/>
        <v>9967</v>
      </c>
      <c r="F29" s="263">
        <v>59802</v>
      </c>
      <c r="G29" s="144" t="s">
        <v>254</v>
      </c>
      <c r="H29" s="144" t="s">
        <v>255</v>
      </c>
      <c r="I29" s="144" t="s">
        <v>872</v>
      </c>
      <c r="J29" s="687" t="s">
        <v>258</v>
      </c>
      <c r="K29" s="33" t="str">
        <f t="shared" si="1"/>
        <v>PECSON, MARICAR S.</v>
      </c>
    </row>
    <row r="30" spans="1:11" ht="16.2">
      <c r="A30" s="143">
        <v>26</v>
      </c>
      <c r="B30" s="144" t="s">
        <v>621</v>
      </c>
      <c r="C30" s="144" t="s">
        <v>275</v>
      </c>
      <c r="D30" s="263">
        <f t="shared" si="4"/>
        <v>38150</v>
      </c>
      <c r="E30" s="263">
        <f t="shared" si="0"/>
        <v>7630</v>
      </c>
      <c r="F30" s="267">
        <v>45780</v>
      </c>
      <c r="G30" s="144" t="s">
        <v>286</v>
      </c>
      <c r="H30" s="144" t="s">
        <v>287</v>
      </c>
      <c r="I30" s="144" t="s">
        <v>288</v>
      </c>
      <c r="J30" s="662"/>
      <c r="K30" s="33" t="str">
        <f t="shared" si="1"/>
        <v>MADDELA, KARL STEVEN A.</v>
      </c>
    </row>
    <row r="31" spans="1:11" ht="16.2">
      <c r="A31" s="143">
        <v>27</v>
      </c>
      <c r="B31" s="144" t="s">
        <v>621</v>
      </c>
      <c r="C31" s="144" t="s">
        <v>275</v>
      </c>
      <c r="D31" s="263">
        <f t="shared" si="4"/>
        <v>38150</v>
      </c>
      <c r="E31" s="263">
        <f t="shared" si="0"/>
        <v>7630</v>
      </c>
      <c r="F31" s="267">
        <v>45780</v>
      </c>
      <c r="G31" s="144" t="s">
        <v>260</v>
      </c>
      <c r="H31" s="144" t="s">
        <v>261</v>
      </c>
      <c r="I31" s="144" t="s">
        <v>262</v>
      </c>
      <c r="J31" s="662"/>
      <c r="K31" s="33" t="str">
        <f t="shared" si="1"/>
        <v>RECOLIZADO, JAYMAR C.</v>
      </c>
    </row>
    <row r="32" spans="1:11" ht="16.2">
      <c r="A32" s="143">
        <v>28</v>
      </c>
      <c r="B32" s="144" t="s">
        <v>139</v>
      </c>
      <c r="C32" s="148">
        <v>45627</v>
      </c>
      <c r="D32" s="263">
        <f t="shared" si="4"/>
        <v>27608</v>
      </c>
      <c r="E32" s="263">
        <f t="shared" si="0"/>
        <v>5521.6</v>
      </c>
      <c r="F32" s="267">
        <v>33129.599999999999</v>
      </c>
      <c r="G32" s="144" t="s">
        <v>163</v>
      </c>
      <c r="H32" s="144" t="s">
        <v>353</v>
      </c>
      <c r="I32" s="144" t="s">
        <v>354</v>
      </c>
      <c r="J32" s="662"/>
      <c r="K32" s="33" t="str">
        <f t="shared" si="1"/>
        <v>ABAD, DIETHER A.</v>
      </c>
    </row>
    <row r="33" spans="1:11" ht="16.2">
      <c r="A33" s="143">
        <v>29</v>
      </c>
      <c r="B33" s="144" t="s">
        <v>139</v>
      </c>
      <c r="C33" s="149">
        <v>45627</v>
      </c>
      <c r="D33" s="263">
        <f t="shared" si="4"/>
        <v>27608</v>
      </c>
      <c r="E33" s="263">
        <f t="shared" si="0"/>
        <v>5521.6</v>
      </c>
      <c r="F33" s="267">
        <v>33129.599999999999</v>
      </c>
      <c r="G33" s="150" t="s">
        <v>291</v>
      </c>
      <c r="H33" s="150" t="s">
        <v>292</v>
      </c>
      <c r="I33" s="150" t="s">
        <v>293</v>
      </c>
      <c r="J33" s="662"/>
      <c r="K33" s="33" t="str">
        <f t="shared" si="1"/>
        <v>TOMAS, BRYAN H.</v>
      </c>
    </row>
    <row r="34" spans="1:11" ht="15.6">
      <c r="A34" s="143">
        <v>30</v>
      </c>
      <c r="B34" s="144" t="s">
        <v>754</v>
      </c>
      <c r="C34" s="148">
        <v>45597</v>
      </c>
      <c r="D34" s="263">
        <f t="shared" si="4"/>
        <v>25439</v>
      </c>
      <c r="E34" s="263">
        <f t="shared" si="0"/>
        <v>5087.8</v>
      </c>
      <c r="F34" s="263">
        <v>30526.799999999999</v>
      </c>
      <c r="G34" s="144" t="s">
        <v>327</v>
      </c>
      <c r="H34" s="144" t="s">
        <v>328</v>
      </c>
      <c r="I34" s="144" t="s">
        <v>329</v>
      </c>
      <c r="J34" s="646"/>
      <c r="K34" s="33" t="str">
        <f t="shared" si="1"/>
        <v>GARCIA, JEANNE SHANNON O.</v>
      </c>
    </row>
    <row r="35" spans="1:11" ht="16.2">
      <c r="A35" s="143">
        <v>31</v>
      </c>
      <c r="B35" s="144" t="s">
        <v>274</v>
      </c>
      <c r="C35" s="144" t="s">
        <v>275</v>
      </c>
      <c r="D35" s="263">
        <f t="shared" si="4"/>
        <v>38150</v>
      </c>
      <c r="E35" s="263">
        <f t="shared" si="0"/>
        <v>7630</v>
      </c>
      <c r="F35" s="267">
        <v>45780</v>
      </c>
      <c r="G35" s="144" t="s">
        <v>282</v>
      </c>
      <c r="H35" s="144" t="s">
        <v>283</v>
      </c>
      <c r="I35" s="144" t="s">
        <v>199</v>
      </c>
      <c r="J35" s="699" t="s">
        <v>284</v>
      </c>
      <c r="K35" s="33" t="str">
        <f t="shared" si="1"/>
        <v>LANGCAY, MICHAEL ANGELO R.</v>
      </c>
    </row>
    <row r="36" spans="1:11" ht="16.2">
      <c r="A36" s="143">
        <v>32</v>
      </c>
      <c r="B36" s="144" t="s">
        <v>461</v>
      </c>
      <c r="C36" s="148">
        <v>45627</v>
      </c>
      <c r="D36" s="263">
        <f t="shared" si="4"/>
        <v>27608</v>
      </c>
      <c r="E36" s="263">
        <f t="shared" si="0"/>
        <v>5521.6</v>
      </c>
      <c r="F36" s="267">
        <v>33129.599999999999</v>
      </c>
      <c r="G36" s="144" t="s">
        <v>341</v>
      </c>
      <c r="H36" s="144" t="s">
        <v>342</v>
      </c>
      <c r="I36" s="144" t="s">
        <v>645</v>
      </c>
      <c r="J36" s="662"/>
      <c r="K36" s="33" t="str">
        <f t="shared" si="1"/>
        <v>JOSE, DAN MARK R.</v>
      </c>
    </row>
    <row r="37" spans="1:11" ht="16.2">
      <c r="A37" s="143">
        <v>33</v>
      </c>
      <c r="B37" s="288" t="s">
        <v>827</v>
      </c>
      <c r="C37" s="280">
        <v>45383</v>
      </c>
      <c r="D37" s="263">
        <f t="shared" si="4"/>
        <v>14993</v>
      </c>
      <c r="E37" s="263">
        <f t="shared" si="0"/>
        <v>2998.6000000000004</v>
      </c>
      <c r="F37" s="267">
        <v>17991.599999999999</v>
      </c>
      <c r="G37" s="279" t="s">
        <v>63</v>
      </c>
      <c r="H37" s="279" t="s">
        <v>230</v>
      </c>
      <c r="I37" s="279" t="s">
        <v>517</v>
      </c>
      <c r="J37" s="646"/>
      <c r="K37" s="33" t="str">
        <f t="shared" si="1"/>
        <v>TUMALIUAN, MARK JOHN C.</v>
      </c>
    </row>
    <row r="38" spans="1:11" ht="16.2">
      <c r="A38" s="143">
        <v>34</v>
      </c>
      <c r="B38" s="144" t="s">
        <v>860</v>
      </c>
      <c r="C38" s="279" t="s">
        <v>861</v>
      </c>
      <c r="D38" s="263">
        <f t="shared" si="4"/>
        <v>45203</v>
      </c>
      <c r="E38" s="263">
        <f t="shared" si="0"/>
        <v>9040.6</v>
      </c>
      <c r="F38" s="267">
        <v>54243.6</v>
      </c>
      <c r="G38" s="279" t="s">
        <v>61</v>
      </c>
      <c r="H38" s="279" t="s">
        <v>269</v>
      </c>
      <c r="I38" s="279" t="s">
        <v>270</v>
      </c>
      <c r="J38" s="689" t="s">
        <v>272</v>
      </c>
      <c r="K38" s="33" t="str">
        <f t="shared" si="1"/>
        <v>JIMENEZ, JEI ARISTON C.</v>
      </c>
    </row>
    <row r="39" spans="1:11" ht="15.6">
      <c r="A39" s="143">
        <v>35</v>
      </c>
      <c r="B39" s="144" t="s">
        <v>730</v>
      </c>
      <c r="C39" s="280">
        <v>45597</v>
      </c>
      <c r="D39" s="263">
        <f t="shared" si="4"/>
        <v>25439</v>
      </c>
      <c r="E39" s="263">
        <f t="shared" si="0"/>
        <v>5087.8</v>
      </c>
      <c r="F39" s="263">
        <v>30526.799999999999</v>
      </c>
      <c r="G39" s="279" t="s">
        <v>404</v>
      </c>
      <c r="H39" s="279" t="s">
        <v>699</v>
      </c>
      <c r="I39" s="279" t="s">
        <v>873</v>
      </c>
      <c r="J39" s="662"/>
      <c r="K39" s="33" t="str">
        <f t="shared" si="1"/>
        <v>ARGONZA, EDWARD MARK D.</v>
      </c>
    </row>
    <row r="40" spans="1:11" ht="15.6">
      <c r="A40" s="143">
        <v>36</v>
      </c>
      <c r="B40" s="144" t="s">
        <v>730</v>
      </c>
      <c r="C40" s="280">
        <v>45597</v>
      </c>
      <c r="D40" s="263">
        <f t="shared" si="4"/>
        <v>25439</v>
      </c>
      <c r="E40" s="263">
        <f t="shared" si="0"/>
        <v>5087.8</v>
      </c>
      <c r="F40" s="263">
        <v>30526.799999999999</v>
      </c>
      <c r="G40" s="279" t="s">
        <v>386</v>
      </c>
      <c r="H40" s="279" t="s">
        <v>707</v>
      </c>
      <c r="I40" s="279" t="s">
        <v>388</v>
      </c>
      <c r="J40" s="646"/>
      <c r="K40" s="33" t="str">
        <f t="shared" si="1"/>
        <v>SANTOS, IVAN PAUL M.</v>
      </c>
    </row>
    <row r="41" spans="1:11" ht="15.6">
      <c r="A41" s="143">
        <v>37</v>
      </c>
      <c r="B41" s="144" t="s">
        <v>754</v>
      </c>
      <c r="C41" s="280">
        <v>45597</v>
      </c>
      <c r="D41" s="263">
        <f t="shared" si="4"/>
        <v>25439</v>
      </c>
      <c r="E41" s="263">
        <f t="shared" si="0"/>
        <v>5087.8</v>
      </c>
      <c r="F41" s="263">
        <v>30526.799999999999</v>
      </c>
      <c r="G41" s="279" t="s">
        <v>859</v>
      </c>
      <c r="H41" s="279" t="s">
        <v>847</v>
      </c>
      <c r="I41" s="279" t="s">
        <v>848</v>
      </c>
      <c r="J41" s="289" t="s">
        <v>863</v>
      </c>
      <c r="K41" s="33" t="str">
        <f t="shared" si="1"/>
        <v>CADIENTE, ULYSSES NIÑO M.</v>
      </c>
    </row>
    <row r="42" spans="1:11" ht="15.6">
      <c r="A42" s="143">
        <v>38</v>
      </c>
      <c r="B42" s="2" t="s">
        <v>858</v>
      </c>
      <c r="C42" s="299">
        <v>45505</v>
      </c>
      <c r="D42" s="263">
        <v>18998</v>
      </c>
      <c r="E42" s="263">
        <f t="shared" si="0"/>
        <v>3799.6000000000004</v>
      </c>
      <c r="F42" s="263">
        <f t="shared" ref="F42:F43" si="5">D42+E42</f>
        <v>22797.599999999999</v>
      </c>
      <c r="G42" s="144" t="s">
        <v>396</v>
      </c>
      <c r="H42" s="144" t="s">
        <v>397</v>
      </c>
      <c r="I42" s="143" t="s">
        <v>872</v>
      </c>
      <c r="J42" s="2" t="s">
        <v>307</v>
      </c>
      <c r="K42" s="33" t="str">
        <f t="shared" si="1"/>
        <v>PRUDENCIADO, JENNY S.</v>
      </c>
    </row>
    <row r="43" spans="1:11" ht="15.6">
      <c r="A43" s="143">
        <v>39</v>
      </c>
      <c r="B43" s="2" t="s">
        <v>874</v>
      </c>
      <c r="C43" s="299">
        <v>45505</v>
      </c>
      <c r="D43" s="263">
        <v>18998</v>
      </c>
      <c r="E43" s="263">
        <f t="shared" si="0"/>
        <v>3799.6000000000004</v>
      </c>
      <c r="F43" s="263">
        <f t="shared" si="5"/>
        <v>22797.599999999999</v>
      </c>
      <c r="G43" s="279" t="s">
        <v>631</v>
      </c>
      <c r="H43" s="279" t="s">
        <v>875</v>
      </c>
      <c r="I43" s="279" t="s">
        <v>244</v>
      </c>
      <c r="J43" s="2" t="s">
        <v>307</v>
      </c>
      <c r="K43" s="33" t="str">
        <f t="shared" si="1"/>
        <v>TRINIDAD, JOYCE C.</v>
      </c>
    </row>
    <row r="44" spans="1:11" ht="14.4">
      <c r="A44" s="89"/>
    </row>
    <row r="45" spans="1:11" ht="14.4">
      <c r="A45" s="89"/>
    </row>
    <row r="46" spans="1:11" ht="14.4">
      <c r="A46" s="89"/>
    </row>
    <row r="47" spans="1:11" ht="14.4">
      <c r="A47" s="89"/>
    </row>
    <row r="48" spans="1:11" ht="14.4">
      <c r="A48" s="89"/>
    </row>
    <row r="49" spans="1:1" ht="14.4">
      <c r="A49" s="89"/>
    </row>
    <row r="50" spans="1:1" ht="14.4">
      <c r="A50" s="89"/>
    </row>
    <row r="51" spans="1:1" ht="14.4">
      <c r="A51" s="89"/>
    </row>
    <row r="52" spans="1:1" ht="14.4">
      <c r="A52" s="89"/>
    </row>
    <row r="53" spans="1:1" ht="14.4">
      <c r="A53" s="89"/>
    </row>
    <row r="54" spans="1:1" ht="14.4">
      <c r="A54" s="89"/>
    </row>
    <row r="55" spans="1:1" ht="14.4">
      <c r="A55" s="89"/>
    </row>
    <row r="56" spans="1:1" ht="14.4">
      <c r="A56" s="89"/>
    </row>
    <row r="57" spans="1:1" ht="14.4">
      <c r="A57" s="89"/>
    </row>
    <row r="58" spans="1:1" ht="14.4">
      <c r="A58" s="89"/>
    </row>
    <row r="59" spans="1:1" ht="14.4">
      <c r="A59" s="89"/>
    </row>
    <row r="60" spans="1:1" ht="14.4">
      <c r="A60" s="89"/>
    </row>
    <row r="61" spans="1:1" ht="14.4">
      <c r="A61" s="89"/>
    </row>
    <row r="62" spans="1:1" ht="14.4">
      <c r="A62" s="89"/>
    </row>
    <row r="63" spans="1:1" ht="14.4">
      <c r="A63" s="89"/>
    </row>
    <row r="64" spans="1:1" ht="14.4">
      <c r="A64" s="89"/>
    </row>
    <row r="65" spans="1:1" ht="14.4">
      <c r="A65" s="89"/>
    </row>
    <row r="66" spans="1:1" ht="14.4">
      <c r="A66" s="89"/>
    </row>
    <row r="67" spans="1:1" ht="14.4">
      <c r="A67" s="89"/>
    </row>
    <row r="68" spans="1:1" ht="14.4">
      <c r="A68" s="89"/>
    </row>
    <row r="69" spans="1:1" ht="14.4">
      <c r="A69" s="89"/>
    </row>
    <row r="70" spans="1:1" ht="14.4">
      <c r="A70" s="89"/>
    </row>
    <row r="71" spans="1:1" ht="14.4">
      <c r="A71" s="89"/>
    </row>
    <row r="72" spans="1:1" ht="14.4">
      <c r="A72" s="89"/>
    </row>
    <row r="73" spans="1:1" ht="14.4">
      <c r="A73" s="89"/>
    </row>
    <row r="74" spans="1:1" ht="14.4">
      <c r="A74" s="89"/>
    </row>
    <row r="75" spans="1:1" ht="14.4">
      <c r="A75" s="89"/>
    </row>
    <row r="76" spans="1:1" ht="14.4">
      <c r="A76" s="89"/>
    </row>
    <row r="77" spans="1:1" ht="14.4">
      <c r="A77" s="89"/>
    </row>
    <row r="78" spans="1:1" ht="14.4">
      <c r="A78" s="89"/>
    </row>
    <row r="79" spans="1:1" ht="14.4">
      <c r="A79" s="89"/>
    </row>
    <row r="80" spans="1:1" ht="14.4">
      <c r="A80" s="89"/>
    </row>
    <row r="81" spans="1:1" ht="14.4">
      <c r="A81" s="89"/>
    </row>
    <row r="82" spans="1:1" ht="14.4">
      <c r="A82" s="89"/>
    </row>
    <row r="83" spans="1:1" ht="14.4">
      <c r="A83" s="89"/>
    </row>
    <row r="84" spans="1:1" ht="14.4">
      <c r="A84" s="89"/>
    </row>
    <row r="85" spans="1:1" ht="14.4">
      <c r="A85" s="89"/>
    </row>
    <row r="86" spans="1:1" ht="14.4">
      <c r="A86" s="89"/>
    </row>
    <row r="87" spans="1:1" ht="14.4">
      <c r="A87" s="89"/>
    </row>
    <row r="88" spans="1:1" ht="14.4">
      <c r="A88" s="89"/>
    </row>
    <row r="89" spans="1:1" ht="14.4">
      <c r="A89" s="89"/>
    </row>
    <row r="90" spans="1:1" ht="14.4">
      <c r="A90" s="89"/>
    </row>
    <row r="91" spans="1:1" ht="14.4">
      <c r="A91" s="89"/>
    </row>
    <row r="92" spans="1:1" ht="14.4">
      <c r="A92" s="89"/>
    </row>
    <row r="93" spans="1:1" ht="14.4">
      <c r="A93" s="89"/>
    </row>
    <row r="94" spans="1:1" ht="14.4">
      <c r="A94" s="89"/>
    </row>
    <row r="95" spans="1:1" ht="14.4">
      <c r="A95" s="89"/>
    </row>
    <row r="96" spans="1:1" ht="14.4">
      <c r="A96" s="89"/>
    </row>
    <row r="97" spans="1:1" ht="14.4">
      <c r="A97" s="89"/>
    </row>
    <row r="98" spans="1:1" ht="14.4">
      <c r="A98" s="89"/>
    </row>
    <row r="99" spans="1:1" ht="14.4">
      <c r="A99" s="89"/>
    </row>
    <row r="100" spans="1:1" ht="14.4">
      <c r="A100" s="89"/>
    </row>
    <row r="101" spans="1:1" ht="14.4">
      <c r="A101" s="89"/>
    </row>
    <row r="102" spans="1:1" ht="14.4">
      <c r="A102" s="89"/>
    </row>
    <row r="103" spans="1:1" ht="14.4">
      <c r="A103" s="89"/>
    </row>
    <row r="104" spans="1:1" ht="14.4">
      <c r="A104" s="89"/>
    </row>
    <row r="105" spans="1:1" ht="14.4">
      <c r="A105" s="89"/>
    </row>
    <row r="106" spans="1:1" ht="14.4">
      <c r="A106" s="89"/>
    </row>
    <row r="107" spans="1:1" ht="14.4">
      <c r="A107" s="89"/>
    </row>
    <row r="108" spans="1:1" ht="14.4">
      <c r="A108" s="89"/>
    </row>
    <row r="109" spans="1:1" ht="14.4">
      <c r="A109" s="89"/>
    </row>
    <row r="110" spans="1:1" ht="14.4">
      <c r="A110" s="89"/>
    </row>
    <row r="111" spans="1:1" ht="14.4">
      <c r="A111" s="89"/>
    </row>
    <row r="112" spans="1:1" ht="14.4">
      <c r="A112" s="89"/>
    </row>
    <row r="113" spans="1:1" ht="14.4">
      <c r="A113" s="89"/>
    </row>
    <row r="114" spans="1:1" ht="14.4">
      <c r="A114" s="89"/>
    </row>
    <row r="115" spans="1:1" ht="14.4">
      <c r="A115" s="89"/>
    </row>
    <row r="116" spans="1:1" ht="14.4">
      <c r="A116" s="89"/>
    </row>
    <row r="117" spans="1:1" ht="14.4">
      <c r="A117" s="89"/>
    </row>
    <row r="118" spans="1:1" ht="14.4">
      <c r="A118" s="89"/>
    </row>
    <row r="119" spans="1:1" ht="14.4">
      <c r="A119" s="89"/>
    </row>
    <row r="120" spans="1:1" ht="14.4">
      <c r="A120" s="89"/>
    </row>
    <row r="121" spans="1:1" ht="14.4">
      <c r="A121" s="89"/>
    </row>
    <row r="122" spans="1:1" ht="14.4">
      <c r="A122" s="89"/>
    </row>
    <row r="123" spans="1:1" ht="14.4">
      <c r="A123" s="89"/>
    </row>
    <row r="124" spans="1:1" ht="14.4">
      <c r="A124" s="89"/>
    </row>
    <row r="125" spans="1:1" ht="14.4">
      <c r="A125" s="89"/>
    </row>
    <row r="126" spans="1:1" ht="14.4">
      <c r="A126" s="89"/>
    </row>
    <row r="127" spans="1:1" ht="14.4">
      <c r="A127" s="89"/>
    </row>
    <row r="128" spans="1:1" ht="14.4">
      <c r="A128" s="89"/>
    </row>
    <row r="129" spans="1:1" ht="14.4">
      <c r="A129" s="89"/>
    </row>
    <row r="130" spans="1:1" ht="14.4">
      <c r="A130" s="89"/>
    </row>
    <row r="131" spans="1:1" ht="14.4">
      <c r="A131" s="89"/>
    </row>
    <row r="132" spans="1:1" ht="14.4">
      <c r="A132" s="89"/>
    </row>
    <row r="133" spans="1:1" ht="14.4">
      <c r="A133" s="89"/>
    </row>
    <row r="134" spans="1:1" ht="14.4">
      <c r="A134" s="89"/>
    </row>
    <row r="135" spans="1:1" ht="14.4">
      <c r="A135" s="89"/>
    </row>
    <row r="136" spans="1:1" ht="14.4">
      <c r="A136" s="89"/>
    </row>
    <row r="137" spans="1:1" ht="14.4">
      <c r="A137" s="89"/>
    </row>
    <row r="138" spans="1:1" ht="14.4">
      <c r="A138" s="89"/>
    </row>
    <row r="139" spans="1:1" ht="14.4">
      <c r="A139" s="89"/>
    </row>
    <row r="140" spans="1:1" ht="14.4">
      <c r="A140" s="89"/>
    </row>
    <row r="141" spans="1:1" ht="14.4">
      <c r="A141" s="89"/>
    </row>
    <row r="142" spans="1:1" ht="14.4">
      <c r="A142" s="89"/>
    </row>
    <row r="143" spans="1:1" ht="14.4">
      <c r="A143" s="89"/>
    </row>
    <row r="144" spans="1:1" ht="14.4">
      <c r="A144" s="89"/>
    </row>
    <row r="145" spans="1:1" ht="14.4">
      <c r="A145" s="89"/>
    </row>
    <row r="146" spans="1:1" ht="14.4">
      <c r="A146" s="89"/>
    </row>
    <row r="147" spans="1:1" ht="14.4">
      <c r="A147" s="89"/>
    </row>
    <row r="148" spans="1:1" ht="14.4">
      <c r="A148" s="89"/>
    </row>
    <row r="149" spans="1:1" ht="14.4">
      <c r="A149" s="89"/>
    </row>
    <row r="150" spans="1:1" ht="14.4">
      <c r="A150" s="89"/>
    </row>
    <row r="151" spans="1:1" ht="14.4">
      <c r="A151" s="89"/>
    </row>
    <row r="152" spans="1:1" ht="14.4">
      <c r="A152" s="89"/>
    </row>
    <row r="153" spans="1:1" ht="14.4">
      <c r="A153" s="89"/>
    </row>
    <row r="154" spans="1:1" ht="14.4">
      <c r="A154" s="89"/>
    </row>
    <row r="155" spans="1:1" ht="14.4">
      <c r="A155" s="89"/>
    </row>
    <row r="156" spans="1:1" ht="14.4">
      <c r="A156" s="89"/>
    </row>
    <row r="157" spans="1:1" ht="14.4">
      <c r="A157" s="89"/>
    </row>
    <row r="158" spans="1:1" ht="14.4">
      <c r="A158" s="89"/>
    </row>
    <row r="159" spans="1:1" ht="14.4">
      <c r="A159" s="89"/>
    </row>
    <row r="160" spans="1:1" ht="14.4">
      <c r="A160" s="89"/>
    </row>
    <row r="161" spans="1:1" ht="14.4">
      <c r="A161" s="89"/>
    </row>
    <row r="162" spans="1:1" ht="14.4">
      <c r="A162" s="89"/>
    </row>
    <row r="163" spans="1:1" ht="14.4">
      <c r="A163" s="89"/>
    </row>
    <row r="164" spans="1:1" ht="14.4">
      <c r="A164" s="89"/>
    </row>
    <row r="165" spans="1:1" ht="14.4">
      <c r="A165" s="89"/>
    </row>
    <row r="166" spans="1:1" ht="14.4">
      <c r="A166" s="89"/>
    </row>
    <row r="167" spans="1:1" ht="14.4">
      <c r="A167" s="89"/>
    </row>
    <row r="168" spans="1:1" ht="14.4">
      <c r="A168" s="89"/>
    </row>
    <row r="169" spans="1:1" ht="14.4">
      <c r="A169" s="89"/>
    </row>
    <row r="170" spans="1:1" ht="14.4">
      <c r="A170" s="89"/>
    </row>
    <row r="171" spans="1:1" ht="14.4">
      <c r="A171" s="89"/>
    </row>
    <row r="172" spans="1:1" ht="14.4">
      <c r="A172" s="89"/>
    </row>
    <row r="173" spans="1:1" ht="14.4">
      <c r="A173" s="89"/>
    </row>
    <row r="174" spans="1:1" ht="14.4">
      <c r="A174" s="89"/>
    </row>
    <row r="175" spans="1:1" ht="14.4">
      <c r="A175" s="89"/>
    </row>
    <row r="176" spans="1:1" ht="14.4">
      <c r="A176" s="89"/>
    </row>
    <row r="177" spans="1:1" ht="14.4">
      <c r="A177" s="89"/>
    </row>
    <row r="178" spans="1:1" ht="14.4">
      <c r="A178" s="89"/>
    </row>
    <row r="179" spans="1:1" ht="14.4">
      <c r="A179" s="89"/>
    </row>
    <row r="180" spans="1:1" ht="14.4">
      <c r="A180" s="89"/>
    </row>
    <row r="181" spans="1:1" ht="14.4">
      <c r="A181" s="89"/>
    </row>
    <row r="182" spans="1:1" ht="14.4">
      <c r="A182" s="89"/>
    </row>
    <row r="183" spans="1:1" ht="14.4">
      <c r="A183" s="89"/>
    </row>
    <row r="184" spans="1:1" ht="14.4">
      <c r="A184" s="89"/>
    </row>
    <row r="185" spans="1:1" ht="14.4">
      <c r="A185" s="89"/>
    </row>
    <row r="186" spans="1:1" ht="14.4">
      <c r="A186" s="89"/>
    </row>
    <row r="187" spans="1:1" ht="14.4">
      <c r="A187" s="89"/>
    </row>
    <row r="188" spans="1:1" ht="14.4">
      <c r="A188" s="89"/>
    </row>
    <row r="189" spans="1:1" ht="14.4">
      <c r="A189" s="89"/>
    </row>
    <row r="190" spans="1:1" ht="14.4">
      <c r="A190" s="89"/>
    </row>
    <row r="191" spans="1:1" ht="14.4">
      <c r="A191" s="89"/>
    </row>
    <row r="192" spans="1:1" ht="14.4">
      <c r="A192" s="89"/>
    </row>
    <row r="193" spans="1:1" ht="14.4">
      <c r="A193" s="89"/>
    </row>
    <row r="194" spans="1:1" ht="14.4">
      <c r="A194" s="89"/>
    </row>
    <row r="195" spans="1:1" ht="14.4">
      <c r="A195" s="89"/>
    </row>
    <row r="196" spans="1:1" ht="14.4">
      <c r="A196" s="89"/>
    </row>
    <row r="197" spans="1:1" ht="14.4">
      <c r="A197" s="89"/>
    </row>
    <row r="198" spans="1:1" ht="14.4">
      <c r="A198" s="89"/>
    </row>
    <row r="199" spans="1:1" ht="14.4">
      <c r="A199" s="89"/>
    </row>
    <row r="200" spans="1:1" ht="14.4">
      <c r="A200" s="89"/>
    </row>
    <row r="201" spans="1:1" ht="14.4">
      <c r="A201" s="89"/>
    </row>
    <row r="202" spans="1:1" ht="14.4">
      <c r="A202" s="89"/>
    </row>
    <row r="203" spans="1:1" ht="14.4">
      <c r="A203" s="89"/>
    </row>
    <row r="204" spans="1:1" ht="14.4">
      <c r="A204" s="89"/>
    </row>
    <row r="205" spans="1:1" ht="14.4">
      <c r="A205" s="89"/>
    </row>
    <row r="206" spans="1:1" ht="14.4">
      <c r="A206" s="89"/>
    </row>
    <row r="207" spans="1:1" ht="14.4">
      <c r="A207" s="89"/>
    </row>
    <row r="208" spans="1:1" ht="14.4">
      <c r="A208" s="89"/>
    </row>
    <row r="209" spans="1:1" ht="14.4">
      <c r="A209" s="89"/>
    </row>
    <row r="210" spans="1:1" ht="14.4">
      <c r="A210" s="89"/>
    </row>
    <row r="211" spans="1:1" ht="14.4">
      <c r="A211" s="89"/>
    </row>
    <row r="212" spans="1:1" ht="14.4">
      <c r="A212" s="89"/>
    </row>
    <row r="213" spans="1:1" ht="14.4">
      <c r="A213" s="89"/>
    </row>
    <row r="214" spans="1:1" ht="14.4">
      <c r="A214" s="89"/>
    </row>
    <row r="215" spans="1:1" ht="14.4">
      <c r="A215" s="89"/>
    </row>
    <row r="216" spans="1:1" ht="14.4">
      <c r="A216" s="89"/>
    </row>
    <row r="217" spans="1:1" ht="14.4">
      <c r="A217" s="89"/>
    </row>
    <row r="218" spans="1:1" ht="14.4">
      <c r="A218" s="89"/>
    </row>
    <row r="219" spans="1:1" ht="14.4">
      <c r="A219" s="89"/>
    </row>
    <row r="220" spans="1:1" ht="14.4">
      <c r="A220" s="89"/>
    </row>
    <row r="221" spans="1:1" ht="14.4">
      <c r="A221" s="89"/>
    </row>
    <row r="222" spans="1:1" ht="14.4">
      <c r="A222" s="89"/>
    </row>
    <row r="223" spans="1:1" ht="14.4">
      <c r="A223" s="89"/>
    </row>
    <row r="224" spans="1:1" ht="14.4">
      <c r="A224" s="89"/>
    </row>
    <row r="225" spans="1:1" ht="14.4">
      <c r="A225" s="89"/>
    </row>
    <row r="226" spans="1:1" ht="14.4">
      <c r="A226" s="89"/>
    </row>
    <row r="227" spans="1:1" ht="14.4">
      <c r="A227" s="89"/>
    </row>
    <row r="228" spans="1:1" ht="14.4">
      <c r="A228" s="89"/>
    </row>
    <row r="229" spans="1:1" ht="14.4">
      <c r="A229" s="89"/>
    </row>
    <row r="230" spans="1:1" ht="14.4">
      <c r="A230" s="89"/>
    </row>
    <row r="231" spans="1:1" ht="14.4">
      <c r="A231" s="89"/>
    </row>
    <row r="232" spans="1:1" ht="14.4">
      <c r="A232" s="89"/>
    </row>
    <row r="233" spans="1:1" ht="14.4">
      <c r="A233" s="89"/>
    </row>
    <row r="234" spans="1:1" ht="14.4">
      <c r="A234" s="89"/>
    </row>
    <row r="235" spans="1:1" ht="14.4">
      <c r="A235" s="89"/>
    </row>
    <row r="236" spans="1:1" ht="14.4">
      <c r="A236" s="89"/>
    </row>
    <row r="237" spans="1:1" ht="14.4">
      <c r="A237" s="89"/>
    </row>
    <row r="238" spans="1:1" ht="14.4">
      <c r="A238" s="89"/>
    </row>
    <row r="239" spans="1:1" ht="14.4">
      <c r="A239" s="89"/>
    </row>
    <row r="240" spans="1:1" ht="14.4">
      <c r="A240" s="89"/>
    </row>
    <row r="241" spans="1:1" ht="14.4">
      <c r="A241" s="89"/>
    </row>
    <row r="242" spans="1:1" ht="14.4">
      <c r="A242" s="89"/>
    </row>
    <row r="243" spans="1:1" ht="14.4">
      <c r="A243" s="89"/>
    </row>
    <row r="244" spans="1:1" ht="14.4">
      <c r="A244" s="89"/>
    </row>
    <row r="245" spans="1:1" ht="14.4">
      <c r="A245" s="89"/>
    </row>
    <row r="246" spans="1:1" ht="14.4">
      <c r="A246" s="89"/>
    </row>
    <row r="247" spans="1:1" ht="14.4">
      <c r="A247" s="89"/>
    </row>
    <row r="248" spans="1:1" ht="14.4">
      <c r="A248" s="89"/>
    </row>
    <row r="249" spans="1:1" ht="14.4">
      <c r="A249" s="89"/>
    </row>
    <row r="250" spans="1:1" ht="14.4">
      <c r="A250" s="89"/>
    </row>
    <row r="251" spans="1:1" ht="14.4">
      <c r="A251" s="89"/>
    </row>
    <row r="252" spans="1:1" ht="14.4">
      <c r="A252" s="89"/>
    </row>
    <row r="253" spans="1:1" ht="14.4">
      <c r="A253" s="89"/>
    </row>
    <row r="254" spans="1:1" ht="14.4">
      <c r="A254" s="89"/>
    </row>
    <row r="255" spans="1:1" ht="14.4">
      <c r="A255" s="89"/>
    </row>
    <row r="256" spans="1:1" ht="14.4">
      <c r="A256" s="89"/>
    </row>
    <row r="257" spans="1:1" ht="14.4">
      <c r="A257" s="89"/>
    </row>
    <row r="258" spans="1:1" ht="14.4">
      <c r="A258" s="89"/>
    </row>
    <row r="259" spans="1:1" ht="14.4">
      <c r="A259" s="89"/>
    </row>
    <row r="260" spans="1:1" ht="14.4">
      <c r="A260" s="89"/>
    </row>
    <row r="261" spans="1:1" ht="14.4">
      <c r="A261" s="89"/>
    </row>
    <row r="262" spans="1:1" ht="14.4">
      <c r="A262" s="89"/>
    </row>
    <row r="263" spans="1:1" ht="14.4">
      <c r="A263" s="89"/>
    </row>
    <row r="264" spans="1:1" ht="14.4">
      <c r="A264" s="89"/>
    </row>
    <row r="265" spans="1:1" ht="14.4">
      <c r="A265" s="89"/>
    </row>
    <row r="266" spans="1:1" ht="14.4">
      <c r="A266" s="89"/>
    </row>
    <row r="267" spans="1:1" ht="14.4">
      <c r="A267" s="89"/>
    </row>
    <row r="268" spans="1:1" ht="14.4">
      <c r="A268" s="89"/>
    </row>
    <row r="269" spans="1:1" ht="14.4">
      <c r="A269" s="89"/>
    </row>
    <row r="270" spans="1:1" ht="14.4">
      <c r="A270" s="89"/>
    </row>
    <row r="271" spans="1:1" ht="14.4">
      <c r="A271" s="89"/>
    </row>
    <row r="272" spans="1:1" ht="14.4">
      <c r="A272" s="89"/>
    </row>
    <row r="273" spans="1:1" ht="14.4">
      <c r="A273" s="89"/>
    </row>
    <row r="274" spans="1:1" ht="14.4">
      <c r="A274" s="89"/>
    </row>
    <row r="275" spans="1:1" ht="14.4">
      <c r="A275" s="89"/>
    </row>
    <row r="276" spans="1:1" ht="14.4">
      <c r="A276" s="89"/>
    </row>
    <row r="277" spans="1:1" ht="14.4">
      <c r="A277" s="89"/>
    </row>
    <row r="278" spans="1:1" ht="14.4">
      <c r="A278" s="89"/>
    </row>
    <row r="279" spans="1:1" ht="14.4">
      <c r="A279" s="89"/>
    </row>
    <row r="280" spans="1:1" ht="14.4">
      <c r="A280" s="89"/>
    </row>
    <row r="281" spans="1:1" ht="14.4">
      <c r="A281" s="89"/>
    </row>
    <row r="282" spans="1:1" ht="14.4">
      <c r="A282" s="89"/>
    </row>
    <row r="283" spans="1:1" ht="14.4">
      <c r="A283" s="89"/>
    </row>
    <row r="284" spans="1:1" ht="14.4">
      <c r="A284" s="89"/>
    </row>
    <row r="285" spans="1:1" ht="14.4">
      <c r="A285" s="89"/>
    </row>
    <row r="286" spans="1:1" ht="14.4">
      <c r="A286" s="89"/>
    </row>
    <row r="287" spans="1:1" ht="14.4">
      <c r="A287" s="89"/>
    </row>
    <row r="288" spans="1:1" ht="14.4">
      <c r="A288" s="89"/>
    </row>
    <row r="289" spans="1:1" ht="14.4">
      <c r="A289" s="89"/>
    </row>
    <row r="290" spans="1:1" ht="14.4">
      <c r="A290" s="89"/>
    </row>
    <row r="291" spans="1:1" ht="14.4">
      <c r="A291" s="89"/>
    </row>
    <row r="292" spans="1:1" ht="14.4">
      <c r="A292" s="89"/>
    </row>
    <row r="293" spans="1:1" ht="14.4">
      <c r="A293" s="89"/>
    </row>
    <row r="294" spans="1:1" ht="14.4">
      <c r="A294" s="89"/>
    </row>
    <row r="295" spans="1:1" ht="14.4">
      <c r="A295" s="89"/>
    </row>
    <row r="296" spans="1:1" ht="14.4">
      <c r="A296" s="89"/>
    </row>
    <row r="297" spans="1:1" ht="14.4">
      <c r="A297" s="89"/>
    </row>
    <row r="298" spans="1:1" ht="14.4">
      <c r="A298" s="89"/>
    </row>
    <row r="299" spans="1:1" ht="14.4">
      <c r="A299" s="89"/>
    </row>
    <row r="300" spans="1:1" ht="14.4">
      <c r="A300" s="89"/>
    </row>
    <row r="301" spans="1:1" ht="14.4">
      <c r="A301" s="89"/>
    </row>
    <row r="302" spans="1:1" ht="14.4">
      <c r="A302" s="89"/>
    </row>
    <row r="303" spans="1:1" ht="14.4">
      <c r="A303" s="89"/>
    </row>
    <row r="304" spans="1:1" ht="14.4">
      <c r="A304" s="89"/>
    </row>
    <row r="305" spans="1:1" ht="14.4">
      <c r="A305" s="89"/>
    </row>
    <row r="306" spans="1:1" ht="14.4">
      <c r="A306" s="89"/>
    </row>
    <row r="307" spans="1:1" ht="14.4">
      <c r="A307" s="89"/>
    </row>
    <row r="308" spans="1:1" ht="14.4">
      <c r="A308" s="89"/>
    </row>
    <row r="309" spans="1:1" ht="14.4">
      <c r="A309" s="89"/>
    </row>
    <row r="310" spans="1:1" ht="14.4">
      <c r="A310" s="89"/>
    </row>
    <row r="311" spans="1:1" ht="14.4">
      <c r="A311" s="89"/>
    </row>
    <row r="312" spans="1:1" ht="14.4">
      <c r="A312" s="89"/>
    </row>
    <row r="313" spans="1:1" ht="14.4">
      <c r="A313" s="89"/>
    </row>
    <row r="314" spans="1:1" ht="14.4">
      <c r="A314" s="89"/>
    </row>
    <row r="315" spans="1:1" ht="14.4">
      <c r="A315" s="89"/>
    </row>
    <row r="316" spans="1:1" ht="14.4">
      <c r="A316" s="89"/>
    </row>
    <row r="317" spans="1:1" ht="14.4">
      <c r="A317" s="89"/>
    </row>
    <row r="318" spans="1:1" ht="14.4">
      <c r="A318" s="89"/>
    </row>
    <row r="319" spans="1:1" ht="14.4">
      <c r="A319" s="89"/>
    </row>
    <row r="320" spans="1:1" ht="14.4">
      <c r="A320" s="89"/>
    </row>
    <row r="321" spans="1:1" ht="14.4">
      <c r="A321" s="89"/>
    </row>
    <row r="322" spans="1:1" ht="14.4">
      <c r="A322" s="89"/>
    </row>
    <row r="323" spans="1:1" ht="14.4">
      <c r="A323" s="89"/>
    </row>
    <row r="324" spans="1:1" ht="14.4">
      <c r="A324" s="89"/>
    </row>
    <row r="325" spans="1:1" ht="14.4">
      <c r="A325" s="89"/>
    </row>
    <row r="326" spans="1:1" ht="14.4">
      <c r="A326" s="89"/>
    </row>
    <row r="327" spans="1:1" ht="14.4">
      <c r="A327" s="89"/>
    </row>
    <row r="328" spans="1:1" ht="14.4">
      <c r="A328" s="89"/>
    </row>
    <row r="329" spans="1:1" ht="14.4">
      <c r="A329" s="89"/>
    </row>
    <row r="330" spans="1:1" ht="14.4">
      <c r="A330" s="89"/>
    </row>
    <row r="331" spans="1:1" ht="14.4">
      <c r="A331" s="89"/>
    </row>
    <row r="332" spans="1:1" ht="14.4">
      <c r="A332" s="89"/>
    </row>
    <row r="333" spans="1:1" ht="14.4">
      <c r="A333" s="89"/>
    </row>
    <row r="334" spans="1:1" ht="14.4">
      <c r="A334" s="89"/>
    </row>
    <row r="335" spans="1:1" ht="14.4">
      <c r="A335" s="89"/>
    </row>
    <row r="336" spans="1:1" ht="14.4">
      <c r="A336" s="89"/>
    </row>
    <row r="337" spans="1:1" ht="14.4">
      <c r="A337" s="89"/>
    </row>
    <row r="338" spans="1:1" ht="14.4">
      <c r="A338" s="89"/>
    </row>
    <row r="339" spans="1:1" ht="14.4">
      <c r="A339" s="89"/>
    </row>
    <row r="340" spans="1:1" ht="14.4">
      <c r="A340" s="89"/>
    </row>
    <row r="341" spans="1:1" ht="14.4">
      <c r="A341" s="89"/>
    </row>
    <row r="342" spans="1:1" ht="14.4">
      <c r="A342" s="89"/>
    </row>
    <row r="343" spans="1:1" ht="14.4">
      <c r="A343" s="89"/>
    </row>
    <row r="344" spans="1:1" ht="14.4">
      <c r="A344" s="89"/>
    </row>
    <row r="345" spans="1:1" ht="14.4">
      <c r="A345" s="89"/>
    </row>
    <row r="346" spans="1:1" ht="14.4">
      <c r="A346" s="89"/>
    </row>
    <row r="347" spans="1:1" ht="14.4">
      <c r="A347" s="89"/>
    </row>
    <row r="348" spans="1:1" ht="14.4">
      <c r="A348" s="89"/>
    </row>
    <row r="349" spans="1:1" ht="14.4">
      <c r="A349" s="89"/>
    </row>
    <row r="350" spans="1:1" ht="14.4">
      <c r="A350" s="89"/>
    </row>
    <row r="351" spans="1:1" ht="14.4">
      <c r="A351" s="89"/>
    </row>
    <row r="352" spans="1:1" ht="14.4">
      <c r="A352" s="89"/>
    </row>
    <row r="353" spans="1:1" ht="14.4">
      <c r="A353" s="89"/>
    </row>
    <row r="354" spans="1:1" ht="14.4">
      <c r="A354" s="89"/>
    </row>
    <row r="355" spans="1:1" ht="14.4">
      <c r="A355" s="89"/>
    </row>
    <row r="356" spans="1:1" ht="14.4">
      <c r="A356" s="89"/>
    </row>
    <row r="357" spans="1:1" ht="14.4">
      <c r="A357" s="89"/>
    </row>
    <row r="358" spans="1:1" ht="14.4">
      <c r="A358" s="89"/>
    </row>
    <row r="359" spans="1:1" ht="14.4">
      <c r="A359" s="89"/>
    </row>
    <row r="360" spans="1:1" ht="14.4">
      <c r="A360" s="89"/>
    </row>
    <row r="361" spans="1:1" ht="14.4">
      <c r="A361" s="89"/>
    </row>
    <row r="362" spans="1:1" ht="14.4">
      <c r="A362" s="89"/>
    </row>
    <row r="363" spans="1:1" ht="14.4">
      <c r="A363" s="89"/>
    </row>
    <row r="364" spans="1:1" ht="14.4">
      <c r="A364" s="89"/>
    </row>
    <row r="365" spans="1:1" ht="14.4">
      <c r="A365" s="89"/>
    </row>
    <row r="366" spans="1:1" ht="14.4">
      <c r="A366" s="89"/>
    </row>
    <row r="367" spans="1:1" ht="14.4">
      <c r="A367" s="89"/>
    </row>
    <row r="368" spans="1:1" ht="14.4">
      <c r="A368" s="89"/>
    </row>
    <row r="369" spans="1:1" ht="14.4">
      <c r="A369" s="89"/>
    </row>
    <row r="370" spans="1:1" ht="14.4">
      <c r="A370" s="89"/>
    </row>
    <row r="371" spans="1:1" ht="14.4">
      <c r="A371" s="89"/>
    </row>
    <row r="372" spans="1:1" ht="14.4">
      <c r="A372" s="89"/>
    </row>
    <row r="373" spans="1:1" ht="14.4">
      <c r="A373" s="89"/>
    </row>
    <row r="374" spans="1:1" ht="14.4">
      <c r="A374" s="89"/>
    </row>
    <row r="375" spans="1:1" ht="14.4">
      <c r="A375" s="89"/>
    </row>
    <row r="376" spans="1:1" ht="14.4">
      <c r="A376" s="89"/>
    </row>
    <row r="377" spans="1:1" ht="14.4">
      <c r="A377" s="89"/>
    </row>
    <row r="378" spans="1:1" ht="14.4">
      <c r="A378" s="89"/>
    </row>
    <row r="379" spans="1:1" ht="14.4">
      <c r="A379" s="89"/>
    </row>
    <row r="380" spans="1:1" ht="14.4">
      <c r="A380" s="89"/>
    </row>
    <row r="381" spans="1:1" ht="14.4">
      <c r="A381" s="89"/>
    </row>
    <row r="382" spans="1:1" ht="14.4">
      <c r="A382" s="89"/>
    </row>
    <row r="383" spans="1:1" ht="14.4">
      <c r="A383" s="89"/>
    </row>
    <row r="384" spans="1:1" ht="14.4">
      <c r="A384" s="89"/>
    </row>
    <row r="385" spans="1:1" ht="14.4">
      <c r="A385" s="89"/>
    </row>
    <row r="386" spans="1:1" ht="14.4">
      <c r="A386" s="89"/>
    </row>
    <row r="387" spans="1:1" ht="14.4">
      <c r="A387" s="89"/>
    </row>
    <row r="388" spans="1:1" ht="14.4">
      <c r="A388" s="89"/>
    </row>
    <row r="389" spans="1:1" ht="14.4">
      <c r="A389" s="89"/>
    </row>
    <row r="390" spans="1:1" ht="14.4">
      <c r="A390" s="89"/>
    </row>
    <row r="391" spans="1:1" ht="14.4">
      <c r="A391" s="89"/>
    </row>
    <row r="392" spans="1:1" ht="14.4">
      <c r="A392" s="89"/>
    </row>
    <row r="393" spans="1:1" ht="14.4">
      <c r="A393" s="89"/>
    </row>
    <row r="394" spans="1:1" ht="14.4">
      <c r="A394" s="89"/>
    </row>
    <row r="395" spans="1:1" ht="14.4">
      <c r="A395" s="89"/>
    </row>
    <row r="396" spans="1:1" ht="14.4">
      <c r="A396" s="89"/>
    </row>
    <row r="397" spans="1:1" ht="14.4">
      <c r="A397" s="89"/>
    </row>
    <row r="398" spans="1:1" ht="14.4">
      <c r="A398" s="89"/>
    </row>
    <row r="399" spans="1:1" ht="14.4">
      <c r="A399" s="89"/>
    </row>
    <row r="400" spans="1:1" ht="14.4">
      <c r="A400" s="89"/>
    </row>
    <row r="401" spans="1:1" ht="14.4">
      <c r="A401" s="89"/>
    </row>
    <row r="402" spans="1:1" ht="14.4">
      <c r="A402" s="89"/>
    </row>
    <row r="403" spans="1:1" ht="14.4">
      <c r="A403" s="89"/>
    </row>
    <row r="404" spans="1:1" ht="14.4">
      <c r="A404" s="89"/>
    </row>
    <row r="405" spans="1:1" ht="14.4">
      <c r="A405" s="89"/>
    </row>
    <row r="406" spans="1:1" ht="14.4">
      <c r="A406" s="89"/>
    </row>
    <row r="407" spans="1:1" ht="14.4">
      <c r="A407" s="89"/>
    </row>
    <row r="408" spans="1:1" ht="14.4">
      <c r="A408" s="89"/>
    </row>
    <row r="409" spans="1:1" ht="14.4">
      <c r="A409" s="89"/>
    </row>
    <row r="410" spans="1:1" ht="14.4">
      <c r="A410" s="89"/>
    </row>
    <row r="411" spans="1:1" ht="14.4">
      <c r="A411" s="89"/>
    </row>
    <row r="412" spans="1:1" ht="14.4">
      <c r="A412" s="89"/>
    </row>
    <row r="413" spans="1:1" ht="14.4">
      <c r="A413" s="89"/>
    </row>
    <row r="414" spans="1:1" ht="14.4">
      <c r="A414" s="89"/>
    </row>
    <row r="415" spans="1:1" ht="14.4">
      <c r="A415" s="89"/>
    </row>
    <row r="416" spans="1:1" ht="14.4">
      <c r="A416" s="89"/>
    </row>
    <row r="417" spans="1:1" ht="14.4">
      <c r="A417" s="89"/>
    </row>
    <row r="418" spans="1:1" ht="14.4">
      <c r="A418" s="89"/>
    </row>
    <row r="419" spans="1:1" ht="14.4">
      <c r="A419" s="89"/>
    </row>
    <row r="420" spans="1:1" ht="14.4">
      <c r="A420" s="89"/>
    </row>
    <row r="421" spans="1:1" ht="14.4">
      <c r="A421" s="89"/>
    </row>
    <row r="422" spans="1:1" ht="14.4">
      <c r="A422" s="89"/>
    </row>
    <row r="423" spans="1:1" ht="14.4">
      <c r="A423" s="89"/>
    </row>
    <row r="424" spans="1:1" ht="14.4">
      <c r="A424" s="89"/>
    </row>
    <row r="425" spans="1:1" ht="14.4">
      <c r="A425" s="89"/>
    </row>
    <row r="426" spans="1:1" ht="14.4">
      <c r="A426" s="89"/>
    </row>
    <row r="427" spans="1:1" ht="14.4">
      <c r="A427" s="89"/>
    </row>
    <row r="428" spans="1:1" ht="14.4">
      <c r="A428" s="89"/>
    </row>
    <row r="429" spans="1:1" ht="14.4">
      <c r="A429" s="89"/>
    </row>
    <row r="430" spans="1:1" ht="14.4">
      <c r="A430" s="89"/>
    </row>
    <row r="431" spans="1:1" ht="14.4">
      <c r="A431" s="89"/>
    </row>
    <row r="432" spans="1:1" ht="14.4">
      <c r="A432" s="89"/>
    </row>
    <row r="433" spans="1:1" ht="14.4">
      <c r="A433" s="89"/>
    </row>
    <row r="434" spans="1:1" ht="14.4">
      <c r="A434" s="89"/>
    </row>
    <row r="435" spans="1:1" ht="14.4">
      <c r="A435" s="89"/>
    </row>
    <row r="436" spans="1:1" ht="14.4">
      <c r="A436" s="89"/>
    </row>
    <row r="437" spans="1:1" ht="14.4">
      <c r="A437" s="89"/>
    </row>
    <row r="438" spans="1:1" ht="14.4">
      <c r="A438" s="89"/>
    </row>
    <row r="439" spans="1:1" ht="14.4">
      <c r="A439" s="89"/>
    </row>
    <row r="440" spans="1:1" ht="14.4">
      <c r="A440" s="89"/>
    </row>
    <row r="441" spans="1:1" ht="14.4">
      <c r="A441" s="89"/>
    </row>
    <row r="442" spans="1:1" ht="14.4">
      <c r="A442" s="89"/>
    </row>
    <row r="443" spans="1:1" ht="14.4">
      <c r="A443" s="89"/>
    </row>
    <row r="444" spans="1:1" ht="14.4">
      <c r="A444" s="89"/>
    </row>
    <row r="445" spans="1:1" ht="14.4">
      <c r="A445" s="89"/>
    </row>
    <row r="446" spans="1:1" ht="14.4">
      <c r="A446" s="89"/>
    </row>
    <row r="447" spans="1:1" ht="14.4">
      <c r="A447" s="89"/>
    </row>
    <row r="448" spans="1:1" ht="14.4">
      <c r="A448" s="89"/>
    </row>
    <row r="449" spans="1:1" ht="14.4">
      <c r="A449" s="89"/>
    </row>
    <row r="450" spans="1:1" ht="14.4">
      <c r="A450" s="89"/>
    </row>
    <row r="451" spans="1:1" ht="14.4">
      <c r="A451" s="89"/>
    </row>
    <row r="452" spans="1:1" ht="14.4">
      <c r="A452" s="89"/>
    </row>
    <row r="453" spans="1:1" ht="14.4">
      <c r="A453" s="89"/>
    </row>
    <row r="454" spans="1:1" ht="14.4">
      <c r="A454" s="89"/>
    </row>
    <row r="455" spans="1:1" ht="14.4">
      <c r="A455" s="89"/>
    </row>
    <row r="456" spans="1:1" ht="14.4">
      <c r="A456" s="89"/>
    </row>
    <row r="457" spans="1:1" ht="14.4">
      <c r="A457" s="89"/>
    </row>
    <row r="458" spans="1:1" ht="14.4">
      <c r="A458" s="89"/>
    </row>
    <row r="459" spans="1:1" ht="14.4">
      <c r="A459" s="89"/>
    </row>
    <row r="460" spans="1:1" ht="14.4">
      <c r="A460" s="89"/>
    </row>
    <row r="461" spans="1:1" ht="14.4">
      <c r="A461" s="89"/>
    </row>
    <row r="462" spans="1:1" ht="14.4">
      <c r="A462" s="89"/>
    </row>
    <row r="463" spans="1:1" ht="14.4">
      <c r="A463" s="89"/>
    </row>
    <row r="464" spans="1:1" ht="14.4">
      <c r="A464" s="89"/>
    </row>
    <row r="465" spans="1:1" ht="14.4">
      <c r="A465" s="89"/>
    </row>
    <row r="466" spans="1:1" ht="14.4">
      <c r="A466" s="89"/>
    </row>
    <row r="467" spans="1:1" ht="14.4">
      <c r="A467" s="89"/>
    </row>
    <row r="468" spans="1:1" ht="14.4">
      <c r="A468" s="89"/>
    </row>
    <row r="469" spans="1:1" ht="14.4">
      <c r="A469" s="89"/>
    </row>
    <row r="470" spans="1:1" ht="14.4">
      <c r="A470" s="89"/>
    </row>
    <row r="471" spans="1:1" ht="14.4">
      <c r="A471" s="89"/>
    </row>
    <row r="472" spans="1:1" ht="14.4">
      <c r="A472" s="89"/>
    </row>
    <row r="473" spans="1:1" ht="14.4">
      <c r="A473" s="89"/>
    </row>
    <row r="474" spans="1:1" ht="14.4">
      <c r="A474" s="89"/>
    </row>
    <row r="475" spans="1:1" ht="14.4">
      <c r="A475" s="89"/>
    </row>
    <row r="476" spans="1:1" ht="14.4">
      <c r="A476" s="89"/>
    </row>
    <row r="477" spans="1:1" ht="14.4">
      <c r="A477" s="89"/>
    </row>
    <row r="478" spans="1:1" ht="14.4">
      <c r="A478" s="89"/>
    </row>
    <row r="479" spans="1:1" ht="14.4">
      <c r="A479" s="89"/>
    </row>
    <row r="480" spans="1:1" ht="14.4">
      <c r="A480" s="89"/>
    </row>
    <row r="481" spans="1:1" ht="14.4">
      <c r="A481" s="89"/>
    </row>
    <row r="482" spans="1:1" ht="14.4">
      <c r="A482" s="89"/>
    </row>
    <row r="483" spans="1:1" ht="14.4">
      <c r="A483" s="89"/>
    </row>
    <row r="484" spans="1:1" ht="14.4">
      <c r="A484" s="89"/>
    </row>
    <row r="485" spans="1:1" ht="14.4">
      <c r="A485" s="89"/>
    </row>
    <row r="486" spans="1:1" ht="14.4">
      <c r="A486" s="89"/>
    </row>
    <row r="487" spans="1:1" ht="14.4">
      <c r="A487" s="89"/>
    </row>
    <row r="488" spans="1:1" ht="14.4">
      <c r="A488" s="89"/>
    </row>
    <row r="489" spans="1:1" ht="14.4">
      <c r="A489" s="89"/>
    </row>
    <row r="490" spans="1:1" ht="14.4">
      <c r="A490" s="89"/>
    </row>
    <row r="491" spans="1:1" ht="14.4">
      <c r="A491" s="89"/>
    </row>
    <row r="492" spans="1:1" ht="14.4">
      <c r="A492" s="89"/>
    </row>
    <row r="493" spans="1:1" ht="14.4">
      <c r="A493" s="89"/>
    </row>
    <row r="494" spans="1:1" ht="14.4">
      <c r="A494" s="89"/>
    </row>
    <row r="495" spans="1:1" ht="14.4">
      <c r="A495" s="89"/>
    </row>
    <row r="496" spans="1:1" ht="14.4">
      <c r="A496" s="89"/>
    </row>
    <row r="497" spans="1:1" ht="14.4">
      <c r="A497" s="89"/>
    </row>
    <row r="498" spans="1:1" ht="14.4">
      <c r="A498" s="89"/>
    </row>
    <row r="499" spans="1:1" ht="14.4">
      <c r="A499" s="89"/>
    </row>
    <row r="500" spans="1:1" ht="14.4">
      <c r="A500" s="89"/>
    </row>
    <row r="501" spans="1:1" ht="14.4">
      <c r="A501" s="89"/>
    </row>
    <row r="502" spans="1:1" ht="14.4">
      <c r="A502" s="89"/>
    </row>
    <row r="503" spans="1:1" ht="14.4">
      <c r="A503" s="89"/>
    </row>
    <row r="504" spans="1:1" ht="14.4">
      <c r="A504" s="89"/>
    </row>
    <row r="505" spans="1:1" ht="14.4">
      <c r="A505" s="89"/>
    </row>
    <row r="506" spans="1:1" ht="14.4">
      <c r="A506" s="89"/>
    </row>
    <row r="507" spans="1:1" ht="14.4">
      <c r="A507" s="89"/>
    </row>
    <row r="508" spans="1:1" ht="14.4">
      <c r="A508" s="89"/>
    </row>
    <row r="509" spans="1:1" ht="14.4">
      <c r="A509" s="89"/>
    </row>
    <row r="510" spans="1:1" ht="14.4">
      <c r="A510" s="89"/>
    </row>
    <row r="511" spans="1:1" ht="14.4">
      <c r="A511" s="89"/>
    </row>
    <row r="512" spans="1:1" ht="14.4">
      <c r="A512" s="89"/>
    </row>
    <row r="513" spans="1:1" ht="14.4">
      <c r="A513" s="89"/>
    </row>
    <row r="514" spans="1:1" ht="14.4">
      <c r="A514" s="89"/>
    </row>
    <row r="515" spans="1:1" ht="14.4">
      <c r="A515" s="89"/>
    </row>
    <row r="516" spans="1:1" ht="14.4">
      <c r="A516" s="89"/>
    </row>
    <row r="517" spans="1:1" ht="14.4">
      <c r="A517" s="89"/>
    </row>
    <row r="518" spans="1:1" ht="14.4">
      <c r="A518" s="89"/>
    </row>
    <row r="519" spans="1:1" ht="14.4">
      <c r="A519" s="89"/>
    </row>
    <row r="520" spans="1:1" ht="14.4">
      <c r="A520" s="89"/>
    </row>
    <row r="521" spans="1:1" ht="14.4">
      <c r="A521" s="89"/>
    </row>
    <row r="522" spans="1:1" ht="14.4">
      <c r="A522" s="89"/>
    </row>
    <row r="523" spans="1:1" ht="14.4">
      <c r="A523" s="89"/>
    </row>
    <row r="524" spans="1:1" ht="14.4">
      <c r="A524" s="89"/>
    </row>
    <row r="525" spans="1:1" ht="14.4">
      <c r="A525" s="89"/>
    </row>
    <row r="526" spans="1:1" ht="14.4">
      <c r="A526" s="89"/>
    </row>
    <row r="527" spans="1:1" ht="14.4">
      <c r="A527" s="89"/>
    </row>
    <row r="528" spans="1:1" ht="14.4">
      <c r="A528" s="89"/>
    </row>
    <row r="529" spans="1:1" ht="14.4">
      <c r="A529" s="89"/>
    </row>
    <row r="530" spans="1:1" ht="14.4">
      <c r="A530" s="89"/>
    </row>
    <row r="531" spans="1:1" ht="14.4">
      <c r="A531" s="89"/>
    </row>
    <row r="532" spans="1:1" ht="14.4">
      <c r="A532" s="89"/>
    </row>
    <row r="533" spans="1:1" ht="14.4">
      <c r="A533" s="89"/>
    </row>
    <row r="534" spans="1:1" ht="14.4">
      <c r="A534" s="89"/>
    </row>
    <row r="535" spans="1:1" ht="14.4">
      <c r="A535" s="89"/>
    </row>
    <row r="536" spans="1:1" ht="14.4">
      <c r="A536" s="89"/>
    </row>
    <row r="537" spans="1:1" ht="14.4">
      <c r="A537" s="89"/>
    </row>
    <row r="538" spans="1:1" ht="14.4">
      <c r="A538" s="89"/>
    </row>
    <row r="539" spans="1:1" ht="14.4">
      <c r="A539" s="89"/>
    </row>
    <row r="540" spans="1:1" ht="14.4">
      <c r="A540" s="89"/>
    </row>
    <row r="541" spans="1:1" ht="14.4">
      <c r="A541" s="89"/>
    </row>
    <row r="542" spans="1:1" ht="14.4">
      <c r="A542" s="89"/>
    </row>
    <row r="543" spans="1:1" ht="14.4">
      <c r="A543" s="89"/>
    </row>
    <row r="544" spans="1:1" ht="14.4">
      <c r="A544" s="89"/>
    </row>
    <row r="545" spans="1:1" ht="14.4">
      <c r="A545" s="89"/>
    </row>
    <row r="546" spans="1:1" ht="14.4">
      <c r="A546" s="89"/>
    </row>
    <row r="547" spans="1:1" ht="14.4">
      <c r="A547" s="89"/>
    </row>
    <row r="548" spans="1:1" ht="14.4">
      <c r="A548" s="89"/>
    </row>
    <row r="549" spans="1:1" ht="14.4">
      <c r="A549" s="89"/>
    </row>
    <row r="550" spans="1:1" ht="14.4">
      <c r="A550" s="89"/>
    </row>
    <row r="551" spans="1:1" ht="14.4">
      <c r="A551" s="89"/>
    </row>
    <row r="552" spans="1:1" ht="14.4">
      <c r="A552" s="89"/>
    </row>
    <row r="553" spans="1:1" ht="14.4">
      <c r="A553" s="89"/>
    </row>
    <row r="554" spans="1:1" ht="14.4">
      <c r="A554" s="89"/>
    </row>
    <row r="555" spans="1:1" ht="14.4">
      <c r="A555" s="89"/>
    </row>
    <row r="556" spans="1:1" ht="14.4">
      <c r="A556" s="89"/>
    </row>
    <row r="557" spans="1:1" ht="14.4">
      <c r="A557" s="89"/>
    </row>
    <row r="558" spans="1:1" ht="14.4">
      <c r="A558" s="89"/>
    </row>
    <row r="559" spans="1:1" ht="14.4">
      <c r="A559" s="89"/>
    </row>
    <row r="560" spans="1:1" ht="14.4">
      <c r="A560" s="89"/>
    </row>
    <row r="561" spans="1:1" ht="14.4">
      <c r="A561" s="89"/>
    </row>
    <row r="562" spans="1:1" ht="14.4">
      <c r="A562" s="89"/>
    </row>
    <row r="563" spans="1:1" ht="14.4">
      <c r="A563" s="89"/>
    </row>
    <row r="564" spans="1:1" ht="14.4">
      <c r="A564" s="89"/>
    </row>
    <row r="565" spans="1:1" ht="14.4">
      <c r="A565" s="89"/>
    </row>
    <row r="566" spans="1:1" ht="14.4">
      <c r="A566" s="89"/>
    </row>
    <row r="567" spans="1:1" ht="14.4">
      <c r="A567" s="89"/>
    </row>
    <row r="568" spans="1:1" ht="14.4">
      <c r="A568" s="89"/>
    </row>
    <row r="569" spans="1:1" ht="14.4">
      <c r="A569" s="89"/>
    </row>
    <row r="570" spans="1:1" ht="14.4">
      <c r="A570" s="89"/>
    </row>
    <row r="571" spans="1:1" ht="14.4">
      <c r="A571" s="89"/>
    </row>
    <row r="572" spans="1:1" ht="14.4">
      <c r="A572" s="89"/>
    </row>
    <row r="573" spans="1:1" ht="14.4">
      <c r="A573" s="89"/>
    </row>
    <row r="574" spans="1:1" ht="14.4">
      <c r="A574" s="89"/>
    </row>
    <row r="575" spans="1:1" ht="14.4">
      <c r="A575" s="89"/>
    </row>
    <row r="576" spans="1:1" ht="14.4">
      <c r="A576" s="89"/>
    </row>
    <row r="577" spans="1:1" ht="14.4">
      <c r="A577" s="89"/>
    </row>
    <row r="578" spans="1:1" ht="14.4">
      <c r="A578" s="89"/>
    </row>
    <row r="579" spans="1:1" ht="14.4">
      <c r="A579" s="89"/>
    </row>
    <row r="580" spans="1:1" ht="14.4">
      <c r="A580" s="89"/>
    </row>
    <row r="581" spans="1:1" ht="14.4">
      <c r="A581" s="89"/>
    </row>
    <row r="582" spans="1:1" ht="14.4">
      <c r="A582" s="89"/>
    </row>
    <row r="583" spans="1:1" ht="14.4">
      <c r="A583" s="89"/>
    </row>
    <row r="584" spans="1:1" ht="14.4">
      <c r="A584" s="89"/>
    </row>
    <row r="585" spans="1:1" ht="14.4">
      <c r="A585" s="89"/>
    </row>
    <row r="586" spans="1:1" ht="14.4">
      <c r="A586" s="89"/>
    </row>
    <row r="587" spans="1:1" ht="14.4">
      <c r="A587" s="89"/>
    </row>
    <row r="588" spans="1:1" ht="14.4">
      <c r="A588" s="89"/>
    </row>
    <row r="589" spans="1:1" ht="14.4">
      <c r="A589" s="89"/>
    </row>
    <row r="590" spans="1:1" ht="14.4">
      <c r="A590" s="89"/>
    </row>
    <row r="591" spans="1:1" ht="14.4">
      <c r="A591" s="89"/>
    </row>
    <row r="592" spans="1:1" ht="14.4">
      <c r="A592" s="89"/>
    </row>
    <row r="593" spans="1:1" ht="14.4">
      <c r="A593" s="89"/>
    </row>
    <row r="594" spans="1:1" ht="14.4">
      <c r="A594" s="89"/>
    </row>
    <row r="595" spans="1:1" ht="14.4">
      <c r="A595" s="89"/>
    </row>
    <row r="596" spans="1:1" ht="14.4">
      <c r="A596" s="89"/>
    </row>
    <row r="597" spans="1:1" ht="14.4">
      <c r="A597" s="89"/>
    </row>
    <row r="598" spans="1:1" ht="14.4">
      <c r="A598" s="89"/>
    </row>
    <row r="599" spans="1:1" ht="14.4">
      <c r="A599" s="89"/>
    </row>
    <row r="600" spans="1:1" ht="14.4">
      <c r="A600" s="89"/>
    </row>
    <row r="601" spans="1:1" ht="14.4">
      <c r="A601" s="89"/>
    </row>
    <row r="602" spans="1:1" ht="14.4">
      <c r="A602" s="89"/>
    </row>
    <row r="603" spans="1:1" ht="14.4">
      <c r="A603" s="89"/>
    </row>
    <row r="604" spans="1:1" ht="14.4">
      <c r="A604" s="89"/>
    </row>
    <row r="605" spans="1:1" ht="14.4">
      <c r="A605" s="89"/>
    </row>
    <row r="606" spans="1:1" ht="14.4">
      <c r="A606" s="89"/>
    </row>
    <row r="607" spans="1:1" ht="14.4">
      <c r="A607" s="89"/>
    </row>
    <row r="608" spans="1:1" ht="14.4">
      <c r="A608" s="89"/>
    </row>
    <row r="609" spans="1:1" ht="14.4">
      <c r="A609" s="89"/>
    </row>
    <row r="610" spans="1:1" ht="14.4">
      <c r="A610" s="89"/>
    </row>
    <row r="611" spans="1:1" ht="14.4">
      <c r="A611" s="89"/>
    </row>
    <row r="612" spans="1:1" ht="14.4">
      <c r="A612" s="89"/>
    </row>
    <row r="613" spans="1:1" ht="14.4">
      <c r="A613" s="89"/>
    </row>
    <row r="614" spans="1:1" ht="14.4">
      <c r="A614" s="89"/>
    </row>
    <row r="615" spans="1:1" ht="14.4">
      <c r="A615" s="89"/>
    </row>
    <row r="616" spans="1:1" ht="14.4">
      <c r="A616" s="89"/>
    </row>
    <row r="617" spans="1:1" ht="14.4">
      <c r="A617" s="89"/>
    </row>
    <row r="618" spans="1:1" ht="14.4">
      <c r="A618" s="89"/>
    </row>
    <row r="619" spans="1:1" ht="14.4">
      <c r="A619" s="89"/>
    </row>
    <row r="620" spans="1:1" ht="14.4">
      <c r="A620" s="89"/>
    </row>
    <row r="621" spans="1:1" ht="14.4">
      <c r="A621" s="89"/>
    </row>
    <row r="622" spans="1:1" ht="14.4">
      <c r="A622" s="89"/>
    </row>
    <row r="623" spans="1:1" ht="14.4">
      <c r="A623" s="89"/>
    </row>
    <row r="624" spans="1:1" ht="14.4">
      <c r="A624" s="89"/>
    </row>
    <row r="625" spans="1:1" ht="14.4">
      <c r="A625" s="89"/>
    </row>
    <row r="626" spans="1:1" ht="14.4">
      <c r="A626" s="89"/>
    </row>
    <row r="627" spans="1:1" ht="14.4">
      <c r="A627" s="89"/>
    </row>
    <row r="628" spans="1:1" ht="14.4">
      <c r="A628" s="89"/>
    </row>
    <row r="629" spans="1:1" ht="14.4">
      <c r="A629" s="89"/>
    </row>
    <row r="630" spans="1:1" ht="14.4">
      <c r="A630" s="89"/>
    </row>
    <row r="631" spans="1:1" ht="14.4">
      <c r="A631" s="89"/>
    </row>
    <row r="632" spans="1:1" ht="14.4">
      <c r="A632" s="89"/>
    </row>
    <row r="633" spans="1:1" ht="14.4">
      <c r="A633" s="89"/>
    </row>
    <row r="634" spans="1:1" ht="14.4">
      <c r="A634" s="89"/>
    </row>
    <row r="635" spans="1:1" ht="14.4">
      <c r="A635" s="89"/>
    </row>
    <row r="636" spans="1:1" ht="14.4">
      <c r="A636" s="89"/>
    </row>
    <row r="637" spans="1:1" ht="14.4">
      <c r="A637" s="89"/>
    </row>
    <row r="638" spans="1:1" ht="14.4">
      <c r="A638" s="89"/>
    </row>
    <row r="639" spans="1:1" ht="14.4">
      <c r="A639" s="89"/>
    </row>
    <row r="640" spans="1:1" ht="14.4">
      <c r="A640" s="89"/>
    </row>
    <row r="641" spans="1:1" ht="14.4">
      <c r="A641" s="89"/>
    </row>
    <row r="642" spans="1:1" ht="14.4">
      <c r="A642" s="89"/>
    </row>
    <row r="643" spans="1:1" ht="14.4">
      <c r="A643" s="89"/>
    </row>
    <row r="644" spans="1:1" ht="14.4">
      <c r="A644" s="89"/>
    </row>
    <row r="645" spans="1:1" ht="14.4">
      <c r="A645" s="89"/>
    </row>
    <row r="646" spans="1:1" ht="14.4">
      <c r="A646" s="89"/>
    </row>
    <row r="647" spans="1:1" ht="14.4">
      <c r="A647" s="89"/>
    </row>
    <row r="648" spans="1:1" ht="14.4">
      <c r="A648" s="89"/>
    </row>
    <row r="649" spans="1:1" ht="14.4">
      <c r="A649" s="89"/>
    </row>
    <row r="650" spans="1:1" ht="14.4">
      <c r="A650" s="89"/>
    </row>
    <row r="651" spans="1:1" ht="14.4">
      <c r="A651" s="89"/>
    </row>
    <row r="652" spans="1:1" ht="14.4">
      <c r="A652" s="89"/>
    </row>
    <row r="653" spans="1:1" ht="14.4">
      <c r="A653" s="89"/>
    </row>
    <row r="654" spans="1:1" ht="14.4">
      <c r="A654" s="89"/>
    </row>
    <row r="655" spans="1:1" ht="14.4">
      <c r="A655" s="89"/>
    </row>
    <row r="656" spans="1:1" ht="14.4">
      <c r="A656" s="89"/>
    </row>
    <row r="657" spans="1:1" ht="14.4">
      <c r="A657" s="89"/>
    </row>
    <row r="658" spans="1:1" ht="14.4">
      <c r="A658" s="89"/>
    </row>
    <row r="659" spans="1:1" ht="14.4">
      <c r="A659" s="89"/>
    </row>
    <row r="660" spans="1:1" ht="14.4">
      <c r="A660" s="89"/>
    </row>
    <row r="661" spans="1:1" ht="14.4">
      <c r="A661" s="89"/>
    </row>
    <row r="662" spans="1:1" ht="14.4">
      <c r="A662" s="89"/>
    </row>
    <row r="663" spans="1:1" ht="14.4">
      <c r="A663" s="89"/>
    </row>
    <row r="664" spans="1:1" ht="14.4">
      <c r="A664" s="89"/>
    </row>
    <row r="665" spans="1:1" ht="14.4">
      <c r="A665" s="89"/>
    </row>
    <row r="666" spans="1:1" ht="14.4">
      <c r="A666" s="89"/>
    </row>
    <row r="667" spans="1:1" ht="14.4">
      <c r="A667" s="89"/>
    </row>
    <row r="668" spans="1:1" ht="14.4">
      <c r="A668" s="89"/>
    </row>
    <row r="669" spans="1:1" ht="14.4">
      <c r="A669" s="89"/>
    </row>
    <row r="670" spans="1:1" ht="14.4">
      <c r="A670" s="89"/>
    </row>
    <row r="671" spans="1:1" ht="14.4">
      <c r="A671" s="89"/>
    </row>
    <row r="672" spans="1:1" ht="14.4">
      <c r="A672" s="89"/>
    </row>
    <row r="673" spans="1:1" ht="14.4">
      <c r="A673" s="89"/>
    </row>
    <row r="674" spans="1:1" ht="14.4">
      <c r="A674" s="89"/>
    </row>
    <row r="675" spans="1:1" ht="14.4">
      <c r="A675" s="89"/>
    </row>
    <row r="676" spans="1:1" ht="14.4">
      <c r="A676" s="89"/>
    </row>
    <row r="677" spans="1:1" ht="14.4">
      <c r="A677" s="89"/>
    </row>
    <row r="678" spans="1:1" ht="14.4">
      <c r="A678" s="89"/>
    </row>
    <row r="679" spans="1:1" ht="14.4">
      <c r="A679" s="89"/>
    </row>
    <row r="680" spans="1:1" ht="14.4">
      <c r="A680" s="89"/>
    </row>
    <row r="681" spans="1:1" ht="14.4">
      <c r="A681" s="89"/>
    </row>
    <row r="682" spans="1:1" ht="14.4">
      <c r="A682" s="89"/>
    </row>
    <row r="683" spans="1:1" ht="14.4">
      <c r="A683" s="89"/>
    </row>
    <row r="684" spans="1:1" ht="14.4">
      <c r="A684" s="89"/>
    </row>
    <row r="685" spans="1:1" ht="14.4">
      <c r="A685" s="89"/>
    </row>
    <row r="686" spans="1:1" ht="14.4">
      <c r="A686" s="89"/>
    </row>
    <row r="687" spans="1:1" ht="14.4">
      <c r="A687" s="89"/>
    </row>
    <row r="688" spans="1:1" ht="14.4">
      <c r="A688" s="89"/>
    </row>
    <row r="689" spans="1:1" ht="14.4">
      <c r="A689" s="89"/>
    </row>
    <row r="690" spans="1:1" ht="14.4">
      <c r="A690" s="89"/>
    </row>
    <row r="691" spans="1:1" ht="14.4">
      <c r="A691" s="89"/>
    </row>
    <row r="692" spans="1:1" ht="14.4">
      <c r="A692" s="89"/>
    </row>
    <row r="693" spans="1:1" ht="14.4">
      <c r="A693" s="89"/>
    </row>
    <row r="694" spans="1:1" ht="14.4">
      <c r="A694" s="89"/>
    </row>
    <row r="695" spans="1:1" ht="14.4">
      <c r="A695" s="89"/>
    </row>
    <row r="696" spans="1:1" ht="14.4">
      <c r="A696" s="89"/>
    </row>
    <row r="697" spans="1:1" ht="14.4">
      <c r="A697" s="89"/>
    </row>
    <row r="698" spans="1:1" ht="14.4">
      <c r="A698" s="89"/>
    </row>
    <row r="699" spans="1:1" ht="14.4">
      <c r="A699" s="89"/>
    </row>
    <row r="700" spans="1:1" ht="14.4">
      <c r="A700" s="89"/>
    </row>
    <row r="701" spans="1:1" ht="14.4">
      <c r="A701" s="89"/>
    </row>
    <row r="702" spans="1:1" ht="14.4">
      <c r="A702" s="89"/>
    </row>
    <row r="703" spans="1:1" ht="14.4">
      <c r="A703" s="89"/>
    </row>
    <row r="704" spans="1:1" ht="14.4">
      <c r="A704" s="89"/>
    </row>
    <row r="705" spans="1:1" ht="14.4">
      <c r="A705" s="89"/>
    </row>
    <row r="706" spans="1:1" ht="14.4">
      <c r="A706" s="89"/>
    </row>
    <row r="707" spans="1:1" ht="14.4">
      <c r="A707" s="89"/>
    </row>
    <row r="708" spans="1:1" ht="14.4">
      <c r="A708" s="89"/>
    </row>
    <row r="709" spans="1:1" ht="14.4">
      <c r="A709" s="89"/>
    </row>
    <row r="710" spans="1:1" ht="14.4">
      <c r="A710" s="89"/>
    </row>
    <row r="711" spans="1:1" ht="14.4">
      <c r="A711" s="89"/>
    </row>
    <row r="712" spans="1:1" ht="14.4">
      <c r="A712" s="89"/>
    </row>
    <row r="713" spans="1:1" ht="14.4">
      <c r="A713" s="89"/>
    </row>
    <row r="714" spans="1:1" ht="14.4">
      <c r="A714" s="89"/>
    </row>
    <row r="715" spans="1:1" ht="14.4">
      <c r="A715" s="89"/>
    </row>
    <row r="716" spans="1:1" ht="14.4">
      <c r="A716" s="89"/>
    </row>
    <row r="717" spans="1:1" ht="14.4">
      <c r="A717" s="89"/>
    </row>
    <row r="718" spans="1:1" ht="14.4">
      <c r="A718" s="89"/>
    </row>
    <row r="719" spans="1:1" ht="14.4">
      <c r="A719" s="89"/>
    </row>
    <row r="720" spans="1:1" ht="14.4">
      <c r="A720" s="89"/>
    </row>
    <row r="721" spans="1:1" ht="14.4">
      <c r="A721" s="89"/>
    </row>
    <row r="722" spans="1:1" ht="14.4">
      <c r="A722" s="89"/>
    </row>
    <row r="723" spans="1:1" ht="14.4">
      <c r="A723" s="89"/>
    </row>
    <row r="724" spans="1:1" ht="14.4">
      <c r="A724" s="89"/>
    </row>
    <row r="725" spans="1:1" ht="14.4">
      <c r="A725" s="89"/>
    </row>
    <row r="726" spans="1:1" ht="14.4">
      <c r="A726" s="89"/>
    </row>
    <row r="727" spans="1:1" ht="14.4">
      <c r="A727" s="89"/>
    </row>
    <row r="728" spans="1:1" ht="14.4">
      <c r="A728" s="89"/>
    </row>
    <row r="729" spans="1:1" ht="14.4">
      <c r="A729" s="89"/>
    </row>
    <row r="730" spans="1:1" ht="14.4">
      <c r="A730" s="89"/>
    </row>
    <row r="731" spans="1:1" ht="14.4">
      <c r="A731" s="89"/>
    </row>
    <row r="732" spans="1:1" ht="14.4">
      <c r="A732" s="89"/>
    </row>
    <row r="733" spans="1:1" ht="14.4">
      <c r="A733" s="89"/>
    </row>
    <row r="734" spans="1:1" ht="14.4">
      <c r="A734" s="89"/>
    </row>
    <row r="735" spans="1:1" ht="14.4">
      <c r="A735" s="89"/>
    </row>
    <row r="736" spans="1:1" ht="14.4">
      <c r="A736" s="89"/>
    </row>
    <row r="737" spans="1:1" ht="14.4">
      <c r="A737" s="89"/>
    </row>
    <row r="738" spans="1:1" ht="14.4">
      <c r="A738" s="89"/>
    </row>
    <row r="739" spans="1:1" ht="14.4">
      <c r="A739" s="89"/>
    </row>
    <row r="740" spans="1:1" ht="14.4">
      <c r="A740" s="89"/>
    </row>
    <row r="741" spans="1:1" ht="14.4">
      <c r="A741" s="89"/>
    </row>
    <row r="742" spans="1:1" ht="14.4">
      <c r="A742" s="89"/>
    </row>
    <row r="743" spans="1:1" ht="14.4">
      <c r="A743" s="89"/>
    </row>
    <row r="744" spans="1:1" ht="14.4">
      <c r="A744" s="89"/>
    </row>
    <row r="745" spans="1:1" ht="14.4">
      <c r="A745" s="89"/>
    </row>
    <row r="746" spans="1:1" ht="14.4">
      <c r="A746" s="89"/>
    </row>
    <row r="747" spans="1:1" ht="14.4">
      <c r="A747" s="89"/>
    </row>
    <row r="748" spans="1:1" ht="14.4">
      <c r="A748" s="89"/>
    </row>
    <row r="749" spans="1:1" ht="14.4">
      <c r="A749" s="89"/>
    </row>
    <row r="750" spans="1:1" ht="14.4">
      <c r="A750" s="89"/>
    </row>
    <row r="751" spans="1:1" ht="14.4">
      <c r="A751" s="89"/>
    </row>
    <row r="752" spans="1:1" ht="14.4">
      <c r="A752" s="89"/>
    </row>
    <row r="753" spans="1:1" ht="14.4">
      <c r="A753" s="89"/>
    </row>
    <row r="754" spans="1:1" ht="14.4">
      <c r="A754" s="89"/>
    </row>
    <row r="755" spans="1:1" ht="14.4">
      <c r="A755" s="89"/>
    </row>
    <row r="756" spans="1:1" ht="14.4">
      <c r="A756" s="89"/>
    </row>
    <row r="757" spans="1:1" ht="14.4">
      <c r="A757" s="89"/>
    </row>
    <row r="758" spans="1:1" ht="14.4">
      <c r="A758" s="89"/>
    </row>
    <row r="759" spans="1:1" ht="14.4">
      <c r="A759" s="89"/>
    </row>
    <row r="760" spans="1:1" ht="14.4">
      <c r="A760" s="89"/>
    </row>
    <row r="761" spans="1:1" ht="14.4">
      <c r="A761" s="89"/>
    </row>
    <row r="762" spans="1:1" ht="14.4">
      <c r="A762" s="89"/>
    </row>
    <row r="763" spans="1:1" ht="14.4">
      <c r="A763" s="89"/>
    </row>
    <row r="764" spans="1:1" ht="14.4">
      <c r="A764" s="89"/>
    </row>
    <row r="765" spans="1:1" ht="14.4">
      <c r="A765" s="89"/>
    </row>
    <row r="766" spans="1:1" ht="14.4">
      <c r="A766" s="89"/>
    </row>
    <row r="767" spans="1:1" ht="14.4">
      <c r="A767" s="89"/>
    </row>
    <row r="768" spans="1:1" ht="14.4">
      <c r="A768" s="89"/>
    </row>
    <row r="769" spans="1:1" ht="14.4">
      <c r="A769" s="89"/>
    </row>
    <row r="770" spans="1:1" ht="14.4">
      <c r="A770" s="89"/>
    </row>
    <row r="771" spans="1:1" ht="14.4">
      <c r="A771" s="89"/>
    </row>
    <row r="772" spans="1:1" ht="14.4">
      <c r="A772" s="89"/>
    </row>
    <row r="773" spans="1:1" ht="14.4">
      <c r="A773" s="89"/>
    </row>
    <row r="774" spans="1:1" ht="14.4">
      <c r="A774" s="89"/>
    </row>
    <row r="775" spans="1:1" ht="14.4">
      <c r="A775" s="89"/>
    </row>
    <row r="776" spans="1:1" ht="14.4">
      <c r="A776" s="89"/>
    </row>
    <row r="777" spans="1:1" ht="14.4">
      <c r="A777" s="89"/>
    </row>
    <row r="778" spans="1:1" ht="14.4">
      <c r="A778" s="89"/>
    </row>
    <row r="779" spans="1:1" ht="14.4">
      <c r="A779" s="89"/>
    </row>
    <row r="780" spans="1:1" ht="14.4">
      <c r="A780" s="89"/>
    </row>
    <row r="781" spans="1:1" ht="14.4">
      <c r="A781" s="89"/>
    </row>
    <row r="782" spans="1:1" ht="14.4">
      <c r="A782" s="89"/>
    </row>
    <row r="783" spans="1:1" ht="14.4">
      <c r="A783" s="89"/>
    </row>
    <row r="784" spans="1:1" ht="14.4">
      <c r="A784" s="89"/>
    </row>
    <row r="785" spans="1:1" ht="14.4">
      <c r="A785" s="89"/>
    </row>
    <row r="786" spans="1:1" ht="14.4">
      <c r="A786" s="89"/>
    </row>
    <row r="787" spans="1:1" ht="14.4">
      <c r="A787" s="89"/>
    </row>
    <row r="788" spans="1:1" ht="14.4">
      <c r="A788" s="89"/>
    </row>
    <row r="789" spans="1:1" ht="14.4">
      <c r="A789" s="89"/>
    </row>
    <row r="790" spans="1:1" ht="14.4">
      <c r="A790" s="89"/>
    </row>
    <row r="791" spans="1:1" ht="14.4">
      <c r="A791" s="89"/>
    </row>
    <row r="792" spans="1:1" ht="14.4">
      <c r="A792" s="89"/>
    </row>
    <row r="793" spans="1:1" ht="14.4">
      <c r="A793" s="89"/>
    </row>
    <row r="794" spans="1:1" ht="14.4">
      <c r="A794" s="89"/>
    </row>
    <row r="795" spans="1:1" ht="14.4">
      <c r="A795" s="89"/>
    </row>
    <row r="796" spans="1:1" ht="14.4">
      <c r="A796" s="89"/>
    </row>
    <row r="797" spans="1:1" ht="14.4">
      <c r="A797" s="89"/>
    </row>
    <row r="798" spans="1:1" ht="14.4">
      <c r="A798" s="89"/>
    </row>
    <row r="799" spans="1:1" ht="14.4">
      <c r="A799" s="89"/>
    </row>
    <row r="800" spans="1:1" ht="14.4">
      <c r="A800" s="89"/>
    </row>
    <row r="801" spans="1:1" ht="14.4">
      <c r="A801" s="89"/>
    </row>
    <row r="802" spans="1:1" ht="14.4">
      <c r="A802" s="89"/>
    </row>
    <row r="803" spans="1:1" ht="14.4">
      <c r="A803" s="89"/>
    </row>
    <row r="804" spans="1:1" ht="14.4">
      <c r="A804" s="89"/>
    </row>
    <row r="805" spans="1:1" ht="14.4">
      <c r="A805" s="89"/>
    </row>
    <row r="806" spans="1:1" ht="14.4">
      <c r="A806" s="89"/>
    </row>
    <row r="807" spans="1:1" ht="14.4">
      <c r="A807" s="89"/>
    </row>
    <row r="808" spans="1:1" ht="14.4">
      <c r="A808" s="89"/>
    </row>
    <row r="809" spans="1:1" ht="14.4">
      <c r="A809" s="89"/>
    </row>
    <row r="810" spans="1:1" ht="14.4">
      <c r="A810" s="89"/>
    </row>
    <row r="811" spans="1:1" ht="14.4">
      <c r="A811" s="89"/>
    </row>
    <row r="812" spans="1:1" ht="14.4">
      <c r="A812" s="89"/>
    </row>
    <row r="813" spans="1:1" ht="14.4">
      <c r="A813" s="89"/>
    </row>
    <row r="814" spans="1:1" ht="14.4">
      <c r="A814" s="89"/>
    </row>
    <row r="815" spans="1:1" ht="14.4">
      <c r="A815" s="89"/>
    </row>
    <row r="816" spans="1:1" ht="14.4">
      <c r="A816" s="89"/>
    </row>
    <row r="817" spans="1:1" ht="14.4">
      <c r="A817" s="89"/>
    </row>
    <row r="818" spans="1:1" ht="14.4">
      <c r="A818" s="89"/>
    </row>
    <row r="819" spans="1:1" ht="14.4">
      <c r="A819" s="89"/>
    </row>
    <row r="820" spans="1:1" ht="14.4">
      <c r="A820" s="89"/>
    </row>
    <row r="821" spans="1:1" ht="14.4">
      <c r="A821" s="89"/>
    </row>
    <row r="822" spans="1:1" ht="14.4">
      <c r="A822" s="89"/>
    </row>
    <row r="823" spans="1:1" ht="14.4">
      <c r="A823" s="89"/>
    </row>
    <row r="824" spans="1:1" ht="14.4">
      <c r="A824" s="89"/>
    </row>
    <row r="825" spans="1:1" ht="14.4">
      <c r="A825" s="89"/>
    </row>
    <row r="826" spans="1:1" ht="14.4">
      <c r="A826" s="89"/>
    </row>
    <row r="827" spans="1:1" ht="14.4">
      <c r="A827" s="89"/>
    </row>
    <row r="828" spans="1:1" ht="14.4">
      <c r="A828" s="89"/>
    </row>
    <row r="829" spans="1:1" ht="14.4">
      <c r="A829" s="89"/>
    </row>
    <row r="830" spans="1:1" ht="14.4">
      <c r="A830" s="89"/>
    </row>
    <row r="831" spans="1:1" ht="14.4">
      <c r="A831" s="89"/>
    </row>
    <row r="832" spans="1:1" ht="14.4">
      <c r="A832" s="89"/>
    </row>
    <row r="833" spans="1:1" ht="14.4">
      <c r="A833" s="89"/>
    </row>
    <row r="834" spans="1:1" ht="14.4">
      <c r="A834" s="89"/>
    </row>
    <row r="835" spans="1:1" ht="14.4">
      <c r="A835" s="89"/>
    </row>
    <row r="836" spans="1:1" ht="14.4">
      <c r="A836" s="89"/>
    </row>
    <row r="837" spans="1:1" ht="14.4">
      <c r="A837" s="89"/>
    </row>
    <row r="838" spans="1:1" ht="14.4">
      <c r="A838" s="89"/>
    </row>
    <row r="839" spans="1:1" ht="14.4">
      <c r="A839" s="89"/>
    </row>
    <row r="840" spans="1:1" ht="14.4">
      <c r="A840" s="89"/>
    </row>
    <row r="841" spans="1:1" ht="14.4">
      <c r="A841" s="89"/>
    </row>
    <row r="842" spans="1:1" ht="14.4">
      <c r="A842" s="89"/>
    </row>
    <row r="843" spans="1:1" ht="14.4">
      <c r="A843" s="89"/>
    </row>
    <row r="844" spans="1:1" ht="14.4">
      <c r="A844" s="89"/>
    </row>
    <row r="845" spans="1:1" ht="14.4">
      <c r="A845" s="89"/>
    </row>
    <row r="846" spans="1:1" ht="14.4">
      <c r="A846" s="89"/>
    </row>
    <row r="847" spans="1:1" ht="14.4">
      <c r="A847" s="89"/>
    </row>
    <row r="848" spans="1:1" ht="14.4">
      <c r="A848" s="89"/>
    </row>
    <row r="849" spans="1:1" ht="14.4">
      <c r="A849" s="89"/>
    </row>
    <row r="850" spans="1:1" ht="14.4">
      <c r="A850" s="89"/>
    </row>
    <row r="851" spans="1:1" ht="14.4">
      <c r="A851" s="89"/>
    </row>
    <row r="852" spans="1:1" ht="14.4">
      <c r="A852" s="89"/>
    </row>
    <row r="853" spans="1:1" ht="14.4">
      <c r="A853" s="89"/>
    </row>
    <row r="854" spans="1:1" ht="14.4">
      <c r="A854" s="89"/>
    </row>
    <row r="855" spans="1:1" ht="14.4">
      <c r="A855" s="89"/>
    </row>
    <row r="856" spans="1:1" ht="14.4">
      <c r="A856" s="89"/>
    </row>
    <row r="857" spans="1:1" ht="14.4">
      <c r="A857" s="89"/>
    </row>
    <row r="858" spans="1:1" ht="14.4">
      <c r="A858" s="89"/>
    </row>
    <row r="859" spans="1:1" ht="14.4">
      <c r="A859" s="89"/>
    </row>
    <row r="860" spans="1:1" ht="14.4">
      <c r="A860" s="89"/>
    </row>
    <row r="861" spans="1:1" ht="14.4">
      <c r="A861" s="89"/>
    </row>
    <row r="862" spans="1:1" ht="14.4">
      <c r="A862" s="89"/>
    </row>
    <row r="863" spans="1:1" ht="14.4">
      <c r="A863" s="89"/>
    </row>
    <row r="864" spans="1:1" ht="14.4">
      <c r="A864" s="89"/>
    </row>
    <row r="865" spans="1:1" ht="14.4">
      <c r="A865" s="89"/>
    </row>
    <row r="866" spans="1:1" ht="14.4">
      <c r="A866" s="89"/>
    </row>
    <row r="867" spans="1:1" ht="14.4">
      <c r="A867" s="89"/>
    </row>
    <row r="868" spans="1:1" ht="14.4">
      <c r="A868" s="89"/>
    </row>
    <row r="869" spans="1:1" ht="14.4">
      <c r="A869" s="89"/>
    </row>
    <row r="870" spans="1:1" ht="14.4">
      <c r="A870" s="89"/>
    </row>
    <row r="871" spans="1:1" ht="14.4">
      <c r="A871" s="89"/>
    </row>
    <row r="872" spans="1:1" ht="14.4">
      <c r="A872" s="89"/>
    </row>
    <row r="873" spans="1:1" ht="14.4">
      <c r="A873" s="89"/>
    </row>
    <row r="874" spans="1:1" ht="14.4">
      <c r="A874" s="89"/>
    </row>
    <row r="875" spans="1:1" ht="14.4">
      <c r="A875" s="89"/>
    </row>
    <row r="876" spans="1:1" ht="14.4">
      <c r="A876" s="89"/>
    </row>
    <row r="877" spans="1:1" ht="14.4">
      <c r="A877" s="89"/>
    </row>
    <row r="878" spans="1:1" ht="14.4">
      <c r="A878" s="89"/>
    </row>
    <row r="879" spans="1:1" ht="14.4">
      <c r="A879" s="89"/>
    </row>
    <row r="880" spans="1:1" ht="14.4">
      <c r="A880" s="89"/>
    </row>
    <row r="881" spans="1:1" ht="14.4">
      <c r="A881" s="89"/>
    </row>
    <row r="882" spans="1:1" ht="14.4">
      <c r="A882" s="89"/>
    </row>
    <row r="883" spans="1:1" ht="14.4">
      <c r="A883" s="89"/>
    </row>
    <row r="884" spans="1:1" ht="14.4">
      <c r="A884" s="89"/>
    </row>
    <row r="885" spans="1:1" ht="14.4">
      <c r="A885" s="89"/>
    </row>
    <row r="886" spans="1:1" ht="14.4">
      <c r="A886" s="89"/>
    </row>
    <row r="887" spans="1:1" ht="14.4">
      <c r="A887" s="89"/>
    </row>
    <row r="888" spans="1:1" ht="14.4">
      <c r="A888" s="89"/>
    </row>
    <row r="889" spans="1:1" ht="14.4">
      <c r="A889" s="89"/>
    </row>
    <row r="890" spans="1:1" ht="14.4">
      <c r="A890" s="89"/>
    </row>
    <row r="891" spans="1:1" ht="14.4">
      <c r="A891" s="89"/>
    </row>
    <row r="892" spans="1:1" ht="14.4">
      <c r="A892" s="89"/>
    </row>
    <row r="893" spans="1:1" ht="14.4">
      <c r="A893" s="89"/>
    </row>
    <row r="894" spans="1:1" ht="14.4">
      <c r="A894" s="89"/>
    </row>
    <row r="895" spans="1:1" ht="14.4">
      <c r="A895" s="89"/>
    </row>
    <row r="896" spans="1:1" ht="14.4">
      <c r="A896" s="89"/>
    </row>
    <row r="897" spans="1:1" ht="14.4">
      <c r="A897" s="89"/>
    </row>
    <row r="898" spans="1:1" ht="14.4">
      <c r="A898" s="89"/>
    </row>
    <row r="899" spans="1:1" ht="14.4">
      <c r="A899" s="89"/>
    </row>
    <row r="900" spans="1:1" ht="14.4">
      <c r="A900" s="89"/>
    </row>
    <row r="901" spans="1:1" ht="14.4">
      <c r="A901" s="89"/>
    </row>
    <row r="902" spans="1:1" ht="14.4">
      <c r="A902" s="89"/>
    </row>
    <row r="903" spans="1:1" ht="14.4">
      <c r="A903" s="89"/>
    </row>
    <row r="904" spans="1:1" ht="14.4">
      <c r="A904" s="89"/>
    </row>
    <row r="905" spans="1:1" ht="14.4">
      <c r="A905" s="89"/>
    </row>
    <row r="906" spans="1:1" ht="14.4">
      <c r="A906" s="89"/>
    </row>
    <row r="907" spans="1:1" ht="14.4">
      <c r="A907" s="89"/>
    </row>
    <row r="908" spans="1:1" ht="14.4">
      <c r="A908" s="89"/>
    </row>
    <row r="909" spans="1:1" ht="14.4">
      <c r="A909" s="89"/>
    </row>
    <row r="910" spans="1:1" ht="14.4">
      <c r="A910" s="89"/>
    </row>
    <row r="911" spans="1:1" ht="14.4">
      <c r="A911" s="89"/>
    </row>
    <row r="912" spans="1:1" ht="14.4">
      <c r="A912" s="89"/>
    </row>
    <row r="913" spans="1:1" ht="14.4">
      <c r="A913" s="89"/>
    </row>
    <row r="914" spans="1:1" ht="14.4">
      <c r="A914" s="89"/>
    </row>
    <row r="915" spans="1:1" ht="14.4">
      <c r="A915" s="89"/>
    </row>
    <row r="916" spans="1:1" ht="14.4">
      <c r="A916" s="89"/>
    </row>
    <row r="917" spans="1:1" ht="14.4">
      <c r="A917" s="89"/>
    </row>
    <row r="918" spans="1:1" ht="14.4">
      <c r="A918" s="89"/>
    </row>
    <row r="919" spans="1:1" ht="14.4">
      <c r="A919" s="89"/>
    </row>
    <row r="920" spans="1:1" ht="14.4">
      <c r="A920" s="89"/>
    </row>
    <row r="921" spans="1:1" ht="14.4">
      <c r="A921" s="89"/>
    </row>
    <row r="922" spans="1:1" ht="14.4">
      <c r="A922" s="89"/>
    </row>
    <row r="923" spans="1:1" ht="14.4">
      <c r="A923" s="89"/>
    </row>
    <row r="924" spans="1:1" ht="14.4">
      <c r="A924" s="89"/>
    </row>
    <row r="925" spans="1:1" ht="14.4">
      <c r="A925" s="89"/>
    </row>
    <row r="926" spans="1:1" ht="14.4">
      <c r="A926" s="89"/>
    </row>
    <row r="927" spans="1:1" ht="14.4">
      <c r="A927" s="89"/>
    </row>
    <row r="928" spans="1:1" ht="14.4">
      <c r="A928" s="89"/>
    </row>
    <row r="929" spans="1:1" ht="14.4">
      <c r="A929" s="89"/>
    </row>
    <row r="930" spans="1:1" ht="14.4">
      <c r="A930" s="89"/>
    </row>
    <row r="931" spans="1:1" ht="14.4">
      <c r="A931" s="89"/>
    </row>
    <row r="932" spans="1:1" ht="14.4">
      <c r="A932" s="89"/>
    </row>
    <row r="933" spans="1:1" ht="14.4">
      <c r="A933" s="89"/>
    </row>
    <row r="934" spans="1:1" ht="14.4">
      <c r="A934" s="89"/>
    </row>
    <row r="935" spans="1:1" ht="14.4">
      <c r="A935" s="89"/>
    </row>
    <row r="936" spans="1:1" ht="14.4">
      <c r="A936" s="89"/>
    </row>
    <row r="937" spans="1:1" ht="14.4">
      <c r="A937" s="89"/>
    </row>
    <row r="938" spans="1:1" ht="14.4">
      <c r="A938" s="89"/>
    </row>
    <row r="939" spans="1:1" ht="14.4">
      <c r="A939" s="89"/>
    </row>
    <row r="940" spans="1:1" ht="14.4">
      <c r="A940" s="89"/>
    </row>
    <row r="941" spans="1:1" ht="14.4">
      <c r="A941" s="89"/>
    </row>
    <row r="942" spans="1:1" ht="14.4">
      <c r="A942" s="89"/>
    </row>
    <row r="943" spans="1:1" ht="14.4">
      <c r="A943" s="89"/>
    </row>
    <row r="944" spans="1:1" ht="14.4">
      <c r="A944" s="89"/>
    </row>
    <row r="945" spans="1:1" ht="14.4">
      <c r="A945" s="89"/>
    </row>
    <row r="946" spans="1:1" ht="14.4">
      <c r="A946" s="89"/>
    </row>
    <row r="947" spans="1:1" ht="14.4">
      <c r="A947" s="89"/>
    </row>
    <row r="948" spans="1:1" ht="14.4">
      <c r="A948" s="89"/>
    </row>
    <row r="949" spans="1:1" ht="14.4">
      <c r="A949" s="89"/>
    </row>
    <row r="950" spans="1:1" ht="14.4">
      <c r="A950" s="89"/>
    </row>
    <row r="951" spans="1:1" ht="14.4">
      <c r="A951" s="89"/>
    </row>
    <row r="952" spans="1:1" ht="14.4">
      <c r="A952" s="89"/>
    </row>
    <row r="953" spans="1:1" ht="14.4">
      <c r="A953" s="89"/>
    </row>
    <row r="954" spans="1:1" ht="14.4">
      <c r="A954" s="89"/>
    </row>
    <row r="955" spans="1:1" ht="14.4">
      <c r="A955" s="89"/>
    </row>
    <row r="956" spans="1:1" ht="14.4">
      <c r="A956" s="89"/>
    </row>
    <row r="957" spans="1:1" ht="14.4">
      <c r="A957" s="89"/>
    </row>
    <row r="958" spans="1:1" ht="14.4">
      <c r="A958" s="89"/>
    </row>
    <row r="959" spans="1:1" ht="14.4">
      <c r="A959" s="89"/>
    </row>
    <row r="960" spans="1:1" ht="14.4">
      <c r="A960" s="89"/>
    </row>
    <row r="961" spans="1:1" ht="14.4">
      <c r="A961" s="89"/>
    </row>
    <row r="962" spans="1:1" ht="14.4">
      <c r="A962" s="89"/>
    </row>
    <row r="963" spans="1:1" ht="14.4">
      <c r="A963" s="89"/>
    </row>
    <row r="964" spans="1:1" ht="14.4">
      <c r="A964" s="89"/>
    </row>
    <row r="965" spans="1:1" ht="14.4">
      <c r="A965" s="89"/>
    </row>
    <row r="966" spans="1:1" ht="14.4">
      <c r="A966" s="89"/>
    </row>
  </sheetData>
  <mergeCells count="17">
    <mergeCell ref="J29:J34"/>
    <mergeCell ref="J35:J37"/>
    <mergeCell ref="J38:J40"/>
    <mergeCell ref="G3:I3"/>
    <mergeCell ref="J3:J4"/>
    <mergeCell ref="J5:J10"/>
    <mergeCell ref="J11:J16"/>
    <mergeCell ref="J17:J18"/>
    <mergeCell ref="J19:J20"/>
    <mergeCell ref="J22:J28"/>
    <mergeCell ref="A1:J2"/>
    <mergeCell ref="A3:A4"/>
    <mergeCell ref="B3:B4"/>
    <mergeCell ref="C3:C4"/>
    <mergeCell ref="D3:D4"/>
    <mergeCell ref="E3:E4"/>
    <mergeCell ref="F3:F4"/>
  </mergeCells>
  <printOptions horizontalCentered="1"/>
  <pageMargins left="0.25" right="0.25" top="0.75" bottom="0.75" header="0" footer="0"/>
  <pageSetup paperSize="9" pageOrder="overThenDown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Y998"/>
  <sheetViews>
    <sheetView workbookViewId="0"/>
  </sheetViews>
  <sheetFormatPr defaultColWidth="14.44140625" defaultRowHeight="15" customHeight="1"/>
  <cols>
    <col min="1" max="1" width="18" customWidth="1"/>
    <col min="2" max="2" width="7" customWidth="1"/>
    <col min="3" max="3" width="23.33203125" customWidth="1"/>
    <col min="4" max="4" width="20.6640625" customWidth="1"/>
    <col min="5" max="5" width="25.88671875" customWidth="1"/>
    <col min="6" max="7" width="29" customWidth="1"/>
    <col min="8" max="8" width="17.6640625" customWidth="1"/>
    <col min="9" max="9" width="16" customWidth="1"/>
    <col min="10" max="10" width="16.109375" customWidth="1"/>
    <col min="11" max="11" width="11.109375" customWidth="1"/>
    <col min="12" max="12" width="21.5546875" customWidth="1"/>
    <col min="13" max="13" width="19.44140625" customWidth="1"/>
    <col min="14" max="14" width="19.33203125" customWidth="1"/>
    <col min="16" max="16" width="28.33203125" customWidth="1"/>
  </cols>
  <sheetData>
    <row r="1" spans="1:25" ht="15" customHeight="1">
      <c r="A1" s="300"/>
      <c r="C1" s="301"/>
      <c r="D1" s="302"/>
      <c r="E1" s="302"/>
      <c r="F1" s="89"/>
      <c r="G1" s="89"/>
      <c r="H1" s="89"/>
      <c r="I1" s="89"/>
      <c r="J1" s="89"/>
      <c r="K1" s="303"/>
    </row>
    <row r="2" spans="1:25" ht="15" customHeight="1">
      <c r="A2" s="300"/>
      <c r="C2" s="301"/>
      <c r="D2" s="302"/>
      <c r="E2" s="302"/>
      <c r="F2" s="89"/>
      <c r="G2" s="89"/>
      <c r="H2" s="89"/>
      <c r="I2" s="89"/>
      <c r="J2" s="89"/>
      <c r="K2" s="303"/>
    </row>
    <row r="3" spans="1:25" ht="15" customHeight="1">
      <c r="A3" s="300"/>
      <c r="C3" s="301"/>
      <c r="D3" s="302"/>
      <c r="E3" s="302"/>
      <c r="F3" s="89"/>
      <c r="G3" s="89"/>
      <c r="H3" s="89"/>
      <c r="I3" s="89"/>
      <c r="J3" s="89"/>
      <c r="K3" s="303"/>
    </row>
    <row r="4" spans="1:25" ht="15" customHeight="1">
      <c r="A4" s="300"/>
      <c r="C4" s="301"/>
      <c r="D4" s="302"/>
      <c r="E4" s="302"/>
      <c r="F4" s="89"/>
      <c r="G4" s="89"/>
      <c r="H4" s="89"/>
      <c r="I4" s="89"/>
      <c r="J4" s="89"/>
      <c r="K4" s="303"/>
    </row>
    <row r="5" spans="1:25" ht="15" customHeight="1">
      <c r="A5" s="300"/>
      <c r="C5" s="301"/>
      <c r="D5" s="302"/>
      <c r="E5" s="302"/>
      <c r="F5" s="89"/>
      <c r="G5" s="89"/>
      <c r="H5" s="89"/>
      <c r="I5" s="89"/>
      <c r="J5" s="89"/>
      <c r="K5" s="303"/>
    </row>
    <row r="6" spans="1:25" ht="15" customHeight="1">
      <c r="A6" s="300"/>
      <c r="C6" s="301"/>
      <c r="D6" s="302"/>
      <c r="E6" s="302"/>
      <c r="F6" s="89"/>
      <c r="G6" s="705" t="s">
        <v>876</v>
      </c>
      <c r="H6" s="649"/>
      <c r="I6" s="649"/>
      <c r="J6" s="649"/>
      <c r="K6" s="649"/>
      <c r="L6" s="649"/>
    </row>
    <row r="7" spans="1:25" ht="15" customHeight="1">
      <c r="A7" s="300"/>
      <c r="C7" s="301"/>
      <c r="D7" s="302"/>
      <c r="E7" s="302"/>
      <c r="F7" s="89"/>
      <c r="G7" s="649"/>
      <c r="H7" s="649"/>
      <c r="I7" s="649"/>
      <c r="J7" s="649"/>
      <c r="K7" s="649"/>
      <c r="L7" s="649"/>
    </row>
    <row r="8" spans="1:25" ht="15" customHeight="1">
      <c r="A8" s="300"/>
      <c r="C8" s="301"/>
      <c r="D8" s="302"/>
      <c r="E8" s="302"/>
      <c r="F8" s="89"/>
      <c r="G8" s="89"/>
      <c r="H8" s="89"/>
      <c r="I8" s="89"/>
      <c r="J8" s="89"/>
      <c r="K8" s="303"/>
    </row>
    <row r="9" spans="1:25" ht="17.399999999999999">
      <c r="B9" s="304"/>
      <c r="C9" s="305"/>
      <c r="D9" s="306"/>
      <c r="E9" s="706" t="s">
        <v>44</v>
      </c>
      <c r="F9" s="656"/>
      <c r="G9" s="656"/>
      <c r="H9" s="657"/>
      <c r="I9" s="307"/>
      <c r="J9" s="308"/>
      <c r="K9" s="706" t="s">
        <v>43</v>
      </c>
      <c r="L9" s="656"/>
      <c r="M9" s="656"/>
      <c r="N9" s="656"/>
      <c r="O9" s="657"/>
      <c r="R9" s="140"/>
      <c r="S9" s="309"/>
      <c r="T9" s="141"/>
      <c r="U9" s="141"/>
      <c r="V9" s="140"/>
      <c r="W9" s="140"/>
      <c r="X9" s="140"/>
      <c r="Y9" s="139"/>
    </row>
    <row r="10" spans="1:25" ht="17.399999999999999">
      <c r="B10" s="310" t="s">
        <v>845</v>
      </c>
      <c r="C10" s="311" t="s">
        <v>844</v>
      </c>
      <c r="D10" s="310" t="s">
        <v>846</v>
      </c>
      <c r="E10" s="310" t="s">
        <v>654</v>
      </c>
      <c r="F10" s="310" t="s">
        <v>655</v>
      </c>
      <c r="G10" s="310" t="s">
        <v>656</v>
      </c>
      <c r="H10" s="310" t="s">
        <v>45</v>
      </c>
      <c r="I10" s="310" t="s">
        <v>540</v>
      </c>
      <c r="J10" s="310" t="s">
        <v>815</v>
      </c>
      <c r="K10" s="310" t="s">
        <v>42</v>
      </c>
      <c r="L10" s="310">
        <v>2021</v>
      </c>
      <c r="M10" s="310">
        <v>2022</v>
      </c>
      <c r="N10" s="312">
        <v>0.2</v>
      </c>
      <c r="O10" s="312">
        <v>1.2</v>
      </c>
      <c r="P10" s="312" t="s">
        <v>877</v>
      </c>
      <c r="R10" s="140"/>
      <c r="S10" s="309"/>
      <c r="T10" s="141"/>
      <c r="U10" s="141"/>
      <c r="V10" s="140"/>
      <c r="W10" s="140"/>
      <c r="X10" s="140"/>
      <c r="Y10" s="139"/>
    </row>
    <row r="11" spans="1:25" ht="15" customHeight="1">
      <c r="B11" s="313">
        <v>1</v>
      </c>
      <c r="C11" s="27"/>
      <c r="D11" s="27"/>
      <c r="E11" s="27" t="s">
        <v>163</v>
      </c>
      <c r="F11" s="27" t="s">
        <v>164</v>
      </c>
      <c r="G11" s="27" t="s">
        <v>82</v>
      </c>
      <c r="H11" s="19" t="s">
        <v>721</v>
      </c>
      <c r="I11" s="19" t="s">
        <v>791</v>
      </c>
      <c r="J11" s="27" t="s">
        <v>151</v>
      </c>
      <c r="K11" s="314" t="s">
        <v>790</v>
      </c>
      <c r="L11" s="52">
        <v>20918</v>
      </c>
      <c r="M11" s="52">
        <v>21747</v>
      </c>
      <c r="N11" s="52">
        <f t="shared" ref="N11:N17" si="0">M11*20%</f>
        <v>4349.4000000000005</v>
      </c>
      <c r="O11" s="52">
        <f t="shared" ref="O11:O17" si="1">M11*1.2</f>
        <v>26096.399999999998</v>
      </c>
      <c r="P11" s="89" t="s">
        <v>742</v>
      </c>
      <c r="R11" s="140"/>
      <c r="S11" s="309"/>
      <c r="T11" s="141"/>
      <c r="U11" s="141"/>
      <c r="V11" s="140"/>
      <c r="W11" s="140"/>
      <c r="X11" s="140"/>
      <c r="Y11" s="139"/>
    </row>
    <row r="12" spans="1:25" ht="15" customHeight="1">
      <c r="B12" s="313">
        <v>2</v>
      </c>
      <c r="C12" s="315" t="s">
        <v>878</v>
      </c>
      <c r="D12" s="27" t="s">
        <v>455</v>
      </c>
      <c r="E12" s="27" t="s">
        <v>141</v>
      </c>
      <c r="F12" s="27" t="s">
        <v>142</v>
      </c>
      <c r="G12" s="27" t="s">
        <v>143</v>
      </c>
      <c r="H12" s="19" t="s">
        <v>721</v>
      </c>
      <c r="I12" s="19" t="s">
        <v>691</v>
      </c>
      <c r="J12" s="27" t="s">
        <v>605</v>
      </c>
      <c r="K12" s="316" t="s">
        <v>718</v>
      </c>
      <c r="L12" s="52">
        <v>32053</v>
      </c>
      <c r="M12" s="52">
        <v>35097</v>
      </c>
      <c r="N12" s="52">
        <f t="shared" si="0"/>
        <v>7019.4000000000005</v>
      </c>
      <c r="O12" s="52">
        <f t="shared" si="1"/>
        <v>42116.4</v>
      </c>
      <c r="P12" s="89" t="s">
        <v>878</v>
      </c>
      <c r="R12" s="140"/>
      <c r="S12" s="309"/>
      <c r="T12" s="141"/>
      <c r="U12" s="141"/>
      <c r="V12" s="140"/>
      <c r="W12" s="140"/>
      <c r="X12" s="140"/>
      <c r="Y12" s="139"/>
    </row>
    <row r="13" spans="1:25" ht="15" customHeight="1">
      <c r="B13" s="313">
        <v>3</v>
      </c>
      <c r="C13" s="315" t="s">
        <v>879</v>
      </c>
      <c r="D13" s="27" t="s">
        <v>299</v>
      </c>
      <c r="E13" s="27" t="s">
        <v>128</v>
      </c>
      <c r="F13" s="27" t="s">
        <v>129</v>
      </c>
      <c r="G13" s="27" t="s">
        <v>130</v>
      </c>
      <c r="H13" s="19" t="s">
        <v>721</v>
      </c>
      <c r="I13" s="19" t="s">
        <v>691</v>
      </c>
      <c r="J13" s="27" t="s">
        <v>724</v>
      </c>
      <c r="K13" s="316" t="s">
        <v>718</v>
      </c>
      <c r="L13" s="52">
        <v>32053</v>
      </c>
      <c r="M13" s="52">
        <v>35097</v>
      </c>
      <c r="N13" s="52">
        <f t="shared" si="0"/>
        <v>7019.4000000000005</v>
      </c>
      <c r="O13" s="52">
        <f t="shared" si="1"/>
        <v>42116.4</v>
      </c>
      <c r="P13" s="89" t="s">
        <v>879</v>
      </c>
      <c r="R13" s="140"/>
      <c r="S13" s="309"/>
      <c r="T13" s="141"/>
      <c r="U13" s="141"/>
      <c r="V13" s="140"/>
      <c r="W13" s="140"/>
      <c r="X13" s="140"/>
      <c r="Y13" s="139"/>
    </row>
    <row r="14" spans="1:25" ht="15" customHeight="1">
      <c r="B14" s="313">
        <v>4</v>
      </c>
      <c r="C14" s="315" t="s">
        <v>742</v>
      </c>
      <c r="D14" s="27" t="s">
        <v>299</v>
      </c>
      <c r="E14" s="27" t="s">
        <v>309</v>
      </c>
      <c r="F14" s="27" t="s">
        <v>310</v>
      </c>
      <c r="G14" s="27" t="s">
        <v>311</v>
      </c>
      <c r="H14" s="19" t="s">
        <v>721</v>
      </c>
      <c r="I14" s="19" t="s">
        <v>691</v>
      </c>
      <c r="J14" s="27" t="s">
        <v>724</v>
      </c>
      <c r="K14" s="316" t="s">
        <v>718</v>
      </c>
      <c r="L14" s="52">
        <v>32053</v>
      </c>
      <c r="M14" s="52">
        <v>35097</v>
      </c>
      <c r="N14" s="52">
        <f t="shared" si="0"/>
        <v>7019.4000000000005</v>
      </c>
      <c r="O14" s="52">
        <f t="shared" si="1"/>
        <v>42116.4</v>
      </c>
      <c r="P14" s="89" t="s">
        <v>742</v>
      </c>
      <c r="R14" s="140"/>
      <c r="S14" s="309"/>
      <c r="T14" s="141"/>
      <c r="U14" s="141"/>
      <c r="V14" s="140"/>
      <c r="W14" s="140"/>
      <c r="X14" s="140"/>
      <c r="Y14" s="139"/>
    </row>
    <row r="15" spans="1:25" ht="15" customHeight="1">
      <c r="B15" s="313">
        <v>5</v>
      </c>
      <c r="C15" s="27"/>
      <c r="D15" s="27"/>
      <c r="E15" s="27" t="s">
        <v>211</v>
      </c>
      <c r="F15" s="27" t="s">
        <v>212</v>
      </c>
      <c r="G15" s="27" t="s">
        <v>213</v>
      </c>
      <c r="H15" s="19" t="s">
        <v>721</v>
      </c>
      <c r="I15" s="19" t="s">
        <v>66</v>
      </c>
      <c r="J15" s="27" t="s">
        <v>178</v>
      </c>
      <c r="K15" s="314" t="s">
        <v>800</v>
      </c>
      <c r="L15" s="52">
        <v>17269</v>
      </c>
      <c r="M15" s="52">
        <v>17962</v>
      </c>
      <c r="N15" s="52">
        <f t="shared" si="0"/>
        <v>3592.4</v>
      </c>
      <c r="O15" s="52">
        <f t="shared" si="1"/>
        <v>21554.399999999998</v>
      </c>
      <c r="P15" s="89" t="s">
        <v>880</v>
      </c>
      <c r="R15" s="140"/>
      <c r="S15" s="139"/>
      <c r="T15" s="141"/>
      <c r="U15" s="141"/>
      <c r="V15" s="140"/>
      <c r="W15" s="140"/>
      <c r="X15" s="140"/>
      <c r="Y15" s="139"/>
    </row>
    <row r="16" spans="1:25" ht="15" customHeight="1">
      <c r="B16" s="313">
        <v>6</v>
      </c>
      <c r="C16" s="315" t="s">
        <v>742</v>
      </c>
      <c r="D16" s="27" t="s">
        <v>881</v>
      </c>
      <c r="E16" s="27" t="s">
        <v>622</v>
      </c>
      <c r="F16" s="27" t="s">
        <v>623</v>
      </c>
      <c r="G16" s="27" t="s">
        <v>624</v>
      </c>
      <c r="H16" s="19" t="s">
        <v>721</v>
      </c>
      <c r="I16" s="19" t="s">
        <v>691</v>
      </c>
      <c r="J16" s="27" t="s">
        <v>621</v>
      </c>
      <c r="K16" s="316" t="s">
        <v>722</v>
      </c>
      <c r="L16" s="52">
        <v>35106</v>
      </c>
      <c r="M16" s="52">
        <v>38150</v>
      </c>
      <c r="N16" s="52">
        <f t="shared" si="0"/>
        <v>7630</v>
      </c>
      <c r="O16" s="52">
        <f t="shared" si="1"/>
        <v>45780</v>
      </c>
      <c r="P16" s="89" t="s">
        <v>742</v>
      </c>
      <c r="R16" s="140"/>
      <c r="S16" s="309"/>
      <c r="T16" s="141"/>
      <c r="U16" s="141"/>
      <c r="V16" s="140"/>
      <c r="W16" s="140"/>
      <c r="X16" s="140"/>
      <c r="Y16" s="139"/>
    </row>
    <row r="17" spans="2:25" ht="15" customHeight="1">
      <c r="B17" s="313">
        <v>7</v>
      </c>
      <c r="C17" s="27"/>
      <c r="D17" s="27"/>
      <c r="E17" s="27" t="s">
        <v>184</v>
      </c>
      <c r="F17" s="27" t="s">
        <v>185</v>
      </c>
      <c r="G17" s="27" t="s">
        <v>186</v>
      </c>
      <c r="H17" s="19" t="s">
        <v>721</v>
      </c>
      <c r="I17" s="19" t="s">
        <v>66</v>
      </c>
      <c r="J17" s="27" t="s">
        <v>178</v>
      </c>
      <c r="K17" s="314" t="s">
        <v>809</v>
      </c>
      <c r="L17" s="52">
        <v>18739</v>
      </c>
      <c r="M17" s="52">
        <v>18739</v>
      </c>
      <c r="N17" s="52">
        <f t="shared" si="0"/>
        <v>3747.8</v>
      </c>
      <c r="O17" s="52">
        <f t="shared" si="1"/>
        <v>22486.799999999999</v>
      </c>
      <c r="P17" s="89" t="s">
        <v>742</v>
      </c>
      <c r="R17" s="140"/>
      <c r="S17" s="309"/>
      <c r="T17" s="141"/>
      <c r="U17" s="141"/>
      <c r="V17" s="140"/>
      <c r="W17" s="140"/>
      <c r="X17" s="140"/>
      <c r="Y17" s="139"/>
    </row>
    <row r="18" spans="2:25" ht="15" customHeight="1">
      <c r="B18" s="313">
        <v>8</v>
      </c>
      <c r="C18" s="315" t="s">
        <v>879</v>
      </c>
      <c r="D18" s="27" t="s">
        <v>715</v>
      </c>
      <c r="E18" s="27" t="s">
        <v>336</v>
      </c>
      <c r="F18" s="27" t="s">
        <v>337</v>
      </c>
      <c r="G18" s="27" t="s">
        <v>695</v>
      </c>
      <c r="H18" s="19" t="s">
        <v>721</v>
      </c>
      <c r="I18" s="79" t="s">
        <v>691</v>
      </c>
      <c r="J18" s="6" t="s">
        <v>870</v>
      </c>
      <c r="K18" s="317">
        <v>45231</v>
      </c>
      <c r="L18" s="52">
        <v>22316</v>
      </c>
      <c r="M18" s="52">
        <v>25439</v>
      </c>
      <c r="N18" s="52">
        <v>5087.8</v>
      </c>
      <c r="O18" s="52">
        <v>30526</v>
      </c>
      <c r="P18" s="89" t="s">
        <v>879</v>
      </c>
      <c r="R18" s="140"/>
      <c r="S18" s="309"/>
      <c r="T18" s="141"/>
      <c r="U18" s="141"/>
      <c r="V18" s="226"/>
      <c r="W18" s="226"/>
      <c r="X18" s="226"/>
      <c r="Y18" s="226"/>
    </row>
    <row r="19" spans="2:25" ht="15" customHeight="1">
      <c r="B19" s="313">
        <v>9</v>
      </c>
      <c r="C19" s="318" t="s">
        <v>879</v>
      </c>
      <c r="D19" s="319" t="s">
        <v>272</v>
      </c>
      <c r="E19" s="319" t="s">
        <v>336</v>
      </c>
      <c r="F19" s="319" t="s">
        <v>381</v>
      </c>
      <c r="G19" s="319" t="s">
        <v>382</v>
      </c>
      <c r="H19" s="19" t="s">
        <v>721</v>
      </c>
      <c r="I19" s="320" t="s">
        <v>691</v>
      </c>
      <c r="J19" s="321" t="s">
        <v>730</v>
      </c>
      <c r="K19" s="322">
        <v>11</v>
      </c>
      <c r="L19" s="321"/>
      <c r="M19" s="267">
        <v>24439</v>
      </c>
      <c r="N19" s="52">
        <f t="shared" ref="N19:N67" si="2">M19*20%</f>
        <v>4887.8</v>
      </c>
      <c r="O19" s="52">
        <f t="shared" ref="O19:O67" si="3">M19*1.2</f>
        <v>29326.799999999999</v>
      </c>
      <c r="P19" s="89" t="s">
        <v>879</v>
      </c>
      <c r="R19" s="140"/>
      <c r="S19" s="309"/>
      <c r="T19" s="141"/>
      <c r="U19" s="141"/>
      <c r="V19" s="140"/>
      <c r="W19" s="140"/>
      <c r="X19" s="140"/>
      <c r="Y19" s="139"/>
    </row>
    <row r="20" spans="2:25" ht="15" customHeight="1">
      <c r="B20" s="313">
        <v>10</v>
      </c>
      <c r="C20" s="27"/>
      <c r="D20" s="27"/>
      <c r="E20" s="27" t="s">
        <v>82</v>
      </c>
      <c r="F20" s="27" t="s">
        <v>83</v>
      </c>
      <c r="G20" s="27" t="s">
        <v>84</v>
      </c>
      <c r="H20" s="19" t="s">
        <v>721</v>
      </c>
      <c r="I20" s="19" t="s">
        <v>66</v>
      </c>
      <c r="J20" s="27" t="s">
        <v>80</v>
      </c>
      <c r="K20" s="323" t="s">
        <v>794</v>
      </c>
      <c r="L20" s="52">
        <v>69963</v>
      </c>
      <c r="M20" s="52">
        <v>71511</v>
      </c>
      <c r="N20" s="52">
        <f t="shared" si="2"/>
        <v>14302.2</v>
      </c>
      <c r="O20" s="52">
        <f t="shared" si="3"/>
        <v>85813.2</v>
      </c>
      <c r="P20" s="89" t="s">
        <v>742</v>
      </c>
      <c r="R20" s="140"/>
      <c r="S20" s="309"/>
      <c r="T20" s="141"/>
      <c r="U20" s="141"/>
      <c r="V20" s="140"/>
      <c r="W20" s="140"/>
      <c r="X20" s="140"/>
      <c r="Y20" s="139"/>
    </row>
    <row r="21" spans="2:25" ht="15" customHeight="1">
      <c r="B21" s="313">
        <v>11</v>
      </c>
      <c r="C21" s="315" t="s">
        <v>879</v>
      </c>
      <c r="D21" s="27" t="s">
        <v>882</v>
      </c>
      <c r="E21" s="27" t="s">
        <v>111</v>
      </c>
      <c r="F21" s="27" t="s">
        <v>112</v>
      </c>
      <c r="G21" s="27" t="s">
        <v>101</v>
      </c>
      <c r="H21" s="19" t="s">
        <v>721</v>
      </c>
      <c r="I21" s="19" t="s">
        <v>691</v>
      </c>
      <c r="J21" s="27" t="s">
        <v>274</v>
      </c>
      <c r="K21" s="316" t="s">
        <v>722</v>
      </c>
      <c r="L21" s="52">
        <v>35106</v>
      </c>
      <c r="M21" s="52">
        <v>38150</v>
      </c>
      <c r="N21" s="52">
        <f t="shared" si="2"/>
        <v>7630</v>
      </c>
      <c r="O21" s="52">
        <f t="shared" si="3"/>
        <v>45780</v>
      </c>
      <c r="P21" s="89" t="s">
        <v>879</v>
      </c>
      <c r="R21" s="140"/>
      <c r="S21" s="309"/>
      <c r="T21" s="141"/>
      <c r="U21" s="141"/>
      <c r="V21" s="140"/>
      <c r="W21" s="140"/>
      <c r="X21" s="140"/>
      <c r="Y21" s="139"/>
    </row>
    <row r="22" spans="2:25" ht="15" customHeight="1">
      <c r="B22" s="313">
        <v>12</v>
      </c>
      <c r="C22" s="27"/>
      <c r="D22" s="27"/>
      <c r="E22" s="27" t="s">
        <v>237</v>
      </c>
      <c r="F22" s="27" t="s">
        <v>238</v>
      </c>
      <c r="G22" s="27" t="s">
        <v>239</v>
      </c>
      <c r="H22" s="19" t="s">
        <v>721</v>
      </c>
      <c r="I22" s="19" t="s">
        <v>791</v>
      </c>
      <c r="J22" s="27" t="s">
        <v>807</v>
      </c>
      <c r="K22" s="314" t="s">
        <v>808</v>
      </c>
      <c r="L22" s="52">
        <v>14903</v>
      </c>
      <c r="M22" s="52">
        <v>15486</v>
      </c>
      <c r="N22" s="52">
        <f t="shared" si="2"/>
        <v>3097.2000000000003</v>
      </c>
      <c r="O22" s="52">
        <f t="shared" si="3"/>
        <v>18583.2</v>
      </c>
      <c r="P22" s="89" t="s">
        <v>742</v>
      </c>
      <c r="R22" s="140"/>
      <c r="S22" s="309"/>
      <c r="T22" s="141"/>
      <c r="U22" s="141"/>
      <c r="V22" s="140"/>
      <c r="W22" s="140"/>
      <c r="X22" s="140"/>
      <c r="Y22" s="139"/>
    </row>
    <row r="23" spans="2:25" ht="15" customHeight="1">
      <c r="B23" s="313">
        <v>13</v>
      </c>
      <c r="C23" s="27"/>
      <c r="D23" s="27"/>
      <c r="E23" s="27" t="s">
        <v>216</v>
      </c>
      <c r="F23" s="27" t="s">
        <v>217</v>
      </c>
      <c r="G23" s="27" t="s">
        <v>184</v>
      </c>
      <c r="H23" s="19" t="s">
        <v>721</v>
      </c>
      <c r="I23" s="19" t="s">
        <v>66</v>
      </c>
      <c r="J23" s="27" t="s">
        <v>178</v>
      </c>
      <c r="K23" s="323" t="s">
        <v>795</v>
      </c>
      <c r="L23" s="52">
        <v>16877</v>
      </c>
      <c r="M23" s="52">
        <v>17553</v>
      </c>
      <c r="N23" s="52">
        <f t="shared" si="2"/>
        <v>3510.6000000000004</v>
      </c>
      <c r="O23" s="52">
        <f t="shared" si="3"/>
        <v>21063.599999999999</v>
      </c>
      <c r="P23" s="89" t="s">
        <v>742</v>
      </c>
      <c r="R23" s="140"/>
      <c r="S23" s="309"/>
      <c r="T23" s="141"/>
      <c r="U23" s="141"/>
      <c r="V23" s="140"/>
      <c r="W23" s="140"/>
      <c r="X23" s="140"/>
      <c r="Y23" s="139"/>
    </row>
    <row r="24" spans="2:25" ht="15" customHeight="1">
      <c r="B24" s="313">
        <v>14</v>
      </c>
      <c r="C24" s="315" t="s">
        <v>742</v>
      </c>
      <c r="D24" s="27" t="s">
        <v>299</v>
      </c>
      <c r="E24" s="27" t="s">
        <v>134</v>
      </c>
      <c r="F24" s="27" t="s">
        <v>135</v>
      </c>
      <c r="G24" s="27" t="s">
        <v>136</v>
      </c>
      <c r="H24" s="19" t="s">
        <v>700</v>
      </c>
      <c r="I24" s="19" t="s">
        <v>691</v>
      </c>
      <c r="J24" s="27" t="s">
        <v>754</v>
      </c>
      <c r="K24" s="324" t="s">
        <v>701</v>
      </c>
      <c r="L24" s="52">
        <v>22316</v>
      </c>
      <c r="M24" s="52">
        <v>25439</v>
      </c>
      <c r="N24" s="52">
        <f t="shared" si="2"/>
        <v>5087.8</v>
      </c>
      <c r="O24" s="52">
        <f t="shared" si="3"/>
        <v>30526.799999999999</v>
      </c>
      <c r="P24" s="89" t="s">
        <v>742</v>
      </c>
      <c r="R24" s="140"/>
      <c r="S24" s="309"/>
      <c r="T24" s="141"/>
      <c r="U24" s="141"/>
      <c r="V24" s="140"/>
      <c r="W24" s="140"/>
      <c r="X24" s="140"/>
      <c r="Y24" s="139"/>
    </row>
    <row r="25" spans="2:25" ht="15" customHeight="1">
      <c r="B25" s="313">
        <v>15</v>
      </c>
      <c r="C25" s="27"/>
      <c r="D25" s="27"/>
      <c r="E25" s="27" t="s">
        <v>147</v>
      </c>
      <c r="F25" s="27" t="s">
        <v>148</v>
      </c>
      <c r="G25" s="27" t="s">
        <v>149</v>
      </c>
      <c r="H25" s="19" t="s">
        <v>700</v>
      </c>
      <c r="I25" s="19" t="s">
        <v>791</v>
      </c>
      <c r="J25" s="27" t="s">
        <v>151</v>
      </c>
      <c r="K25" s="325" t="s">
        <v>796</v>
      </c>
      <c r="L25" s="52">
        <v>21626</v>
      </c>
      <c r="M25" s="52">
        <v>22483</v>
      </c>
      <c r="N25" s="52">
        <f t="shared" si="2"/>
        <v>4496.6000000000004</v>
      </c>
      <c r="O25" s="52">
        <f t="shared" si="3"/>
        <v>26979.599999999999</v>
      </c>
      <c r="P25" s="89" t="s">
        <v>878</v>
      </c>
      <c r="R25" s="140"/>
      <c r="S25" s="309"/>
      <c r="T25" s="141"/>
      <c r="U25" s="141"/>
      <c r="V25" s="140"/>
      <c r="W25" s="140"/>
      <c r="X25" s="140"/>
      <c r="Y25" s="139"/>
    </row>
    <row r="26" spans="2:25" ht="15" customHeight="1">
      <c r="B26" s="313">
        <v>16</v>
      </c>
      <c r="C26" s="27"/>
      <c r="D26" s="27"/>
      <c r="E26" s="27" t="s">
        <v>147</v>
      </c>
      <c r="F26" s="27" t="s">
        <v>208</v>
      </c>
      <c r="G26" s="27" t="s">
        <v>209</v>
      </c>
      <c r="H26" s="19" t="s">
        <v>721</v>
      </c>
      <c r="I26" s="19" t="s">
        <v>791</v>
      </c>
      <c r="J26" s="27" t="s">
        <v>207</v>
      </c>
      <c r="K26" s="314" t="s">
        <v>883</v>
      </c>
      <c r="L26" s="52">
        <v>17269</v>
      </c>
      <c r="M26" s="52">
        <v>17962</v>
      </c>
      <c r="N26" s="52">
        <f t="shared" si="2"/>
        <v>3592.4</v>
      </c>
      <c r="O26" s="52">
        <f t="shared" si="3"/>
        <v>21554.399999999998</v>
      </c>
      <c r="P26" s="89" t="s">
        <v>878</v>
      </c>
      <c r="R26" s="140"/>
      <c r="S26" s="309"/>
      <c r="T26" s="141"/>
      <c r="U26" s="141"/>
      <c r="V26" s="140"/>
      <c r="W26" s="140"/>
      <c r="X26" s="140"/>
      <c r="Y26" s="139"/>
    </row>
    <row r="27" spans="2:25" ht="15" customHeight="1">
      <c r="B27" s="313">
        <v>17</v>
      </c>
      <c r="C27" s="315" t="s">
        <v>879</v>
      </c>
      <c r="D27" s="27" t="s">
        <v>715</v>
      </c>
      <c r="E27" s="27" t="s">
        <v>869</v>
      </c>
      <c r="F27" s="27" t="s">
        <v>607</v>
      </c>
      <c r="G27" s="27" t="s">
        <v>608</v>
      </c>
      <c r="H27" s="19" t="s">
        <v>721</v>
      </c>
      <c r="I27" s="19" t="s">
        <v>691</v>
      </c>
      <c r="J27" s="27" t="s">
        <v>605</v>
      </c>
      <c r="K27" s="316" t="s">
        <v>120</v>
      </c>
      <c r="L27" s="52">
        <v>32053</v>
      </c>
      <c r="M27" s="52">
        <v>35097</v>
      </c>
      <c r="N27" s="52">
        <f t="shared" si="2"/>
        <v>7019.4000000000005</v>
      </c>
      <c r="O27" s="52">
        <f t="shared" si="3"/>
        <v>42116.4</v>
      </c>
      <c r="P27" s="89" t="s">
        <v>879</v>
      </c>
      <c r="R27" s="140"/>
      <c r="S27" s="309"/>
      <c r="T27" s="141"/>
      <c r="U27" s="141"/>
      <c r="V27" s="140"/>
      <c r="W27" s="140"/>
      <c r="X27" s="140"/>
      <c r="Y27" s="139"/>
    </row>
    <row r="28" spans="2:25" ht="18.600000000000001">
      <c r="B28" s="313">
        <v>18</v>
      </c>
      <c r="C28" s="315" t="s">
        <v>879</v>
      </c>
      <c r="D28" s="27" t="s">
        <v>379</v>
      </c>
      <c r="E28" s="27" t="s">
        <v>101</v>
      </c>
      <c r="F28" s="27" t="s">
        <v>304</v>
      </c>
      <c r="G28" s="27" t="s">
        <v>305</v>
      </c>
      <c r="H28" s="19" t="s">
        <v>700</v>
      </c>
      <c r="I28" s="19" t="s">
        <v>691</v>
      </c>
      <c r="J28" s="27" t="s">
        <v>754</v>
      </c>
      <c r="K28" s="324" t="s">
        <v>701</v>
      </c>
      <c r="L28" s="52">
        <v>22316</v>
      </c>
      <c r="M28" s="52">
        <v>25439</v>
      </c>
      <c r="N28" s="52">
        <f t="shared" si="2"/>
        <v>5087.8</v>
      </c>
      <c r="O28" s="52">
        <f t="shared" si="3"/>
        <v>30526.799999999999</v>
      </c>
      <c r="P28" s="89" t="s">
        <v>879</v>
      </c>
      <c r="R28" s="140"/>
      <c r="S28" s="309"/>
      <c r="T28" s="141"/>
      <c r="U28" s="141"/>
      <c r="V28" s="140"/>
      <c r="W28" s="140"/>
      <c r="X28" s="140"/>
      <c r="Y28" s="139"/>
    </row>
    <row r="29" spans="2:25" ht="18.600000000000001">
      <c r="B29" s="313">
        <v>19</v>
      </c>
      <c r="C29" s="27"/>
      <c r="D29" s="27"/>
      <c r="E29" s="27" t="s">
        <v>737</v>
      </c>
      <c r="F29" s="27" t="s">
        <v>192</v>
      </c>
      <c r="G29" s="27" t="s">
        <v>193</v>
      </c>
      <c r="H29" s="19" t="s">
        <v>721</v>
      </c>
      <c r="I29" s="19" t="s">
        <v>791</v>
      </c>
      <c r="J29" s="27" t="s">
        <v>189</v>
      </c>
      <c r="K29" s="314" t="s">
        <v>800</v>
      </c>
      <c r="L29" s="52">
        <v>17269</v>
      </c>
      <c r="M29" s="52">
        <v>17962</v>
      </c>
      <c r="N29" s="52">
        <f t="shared" si="2"/>
        <v>3592.4</v>
      </c>
      <c r="O29" s="52">
        <f t="shared" si="3"/>
        <v>21554.399999999998</v>
      </c>
      <c r="P29" s="89" t="s">
        <v>732</v>
      </c>
      <c r="R29" s="140"/>
      <c r="S29" s="309"/>
      <c r="T29" s="141"/>
      <c r="U29" s="141"/>
      <c r="V29" s="140"/>
      <c r="W29" s="140"/>
      <c r="X29" s="140"/>
      <c r="Y29" s="139"/>
    </row>
    <row r="30" spans="2:25" ht="18.600000000000001">
      <c r="B30" s="313">
        <v>20</v>
      </c>
      <c r="C30" s="315" t="s">
        <v>878</v>
      </c>
      <c r="D30" s="27" t="s">
        <v>881</v>
      </c>
      <c r="E30" s="27" t="s">
        <v>473</v>
      </c>
      <c r="F30" s="27" t="s">
        <v>627</v>
      </c>
      <c r="G30" s="27" t="s">
        <v>628</v>
      </c>
      <c r="H30" s="19" t="s">
        <v>721</v>
      </c>
      <c r="I30" s="19" t="s">
        <v>691</v>
      </c>
      <c r="J30" s="27" t="s">
        <v>139</v>
      </c>
      <c r="K30" s="316" t="s">
        <v>884</v>
      </c>
      <c r="L30" s="52">
        <v>24495</v>
      </c>
      <c r="M30" s="52">
        <v>27608</v>
      </c>
      <c r="N30" s="52">
        <f t="shared" si="2"/>
        <v>5521.6</v>
      </c>
      <c r="O30" s="52">
        <f t="shared" si="3"/>
        <v>33129.599999999999</v>
      </c>
      <c r="P30" s="89" t="s">
        <v>878</v>
      </c>
      <c r="R30" s="140"/>
      <c r="S30" s="309"/>
      <c r="T30" s="141"/>
      <c r="U30" s="141"/>
      <c r="V30" s="140"/>
      <c r="W30" s="140"/>
      <c r="X30" s="140"/>
      <c r="Y30" s="139"/>
    </row>
    <row r="31" spans="2:25" ht="18.600000000000001">
      <c r="B31" s="313">
        <v>21</v>
      </c>
      <c r="C31" s="315" t="s">
        <v>879</v>
      </c>
      <c r="D31" s="27" t="s">
        <v>299</v>
      </c>
      <c r="E31" s="27" t="s">
        <v>296</v>
      </c>
      <c r="F31" s="27" t="s">
        <v>297</v>
      </c>
      <c r="G31" s="27" t="s">
        <v>298</v>
      </c>
      <c r="H31" s="19" t="s">
        <v>700</v>
      </c>
      <c r="I31" s="19" t="s">
        <v>691</v>
      </c>
      <c r="J31" s="27" t="s">
        <v>724</v>
      </c>
      <c r="K31" s="316" t="s">
        <v>718</v>
      </c>
      <c r="L31" s="52">
        <v>32053</v>
      </c>
      <c r="M31" s="52">
        <v>35097</v>
      </c>
      <c r="N31" s="52">
        <f t="shared" si="2"/>
        <v>7019.4000000000005</v>
      </c>
      <c r="O31" s="52">
        <f t="shared" si="3"/>
        <v>42116.4</v>
      </c>
      <c r="P31" s="89" t="s">
        <v>773</v>
      </c>
      <c r="R31" s="140"/>
      <c r="S31" s="309"/>
      <c r="T31" s="141"/>
      <c r="U31" s="141"/>
      <c r="V31" s="140"/>
      <c r="W31" s="140"/>
      <c r="X31" s="140"/>
      <c r="Y31" s="139"/>
    </row>
    <row r="32" spans="2:25" ht="18.600000000000001">
      <c r="B32" s="313">
        <v>22</v>
      </c>
      <c r="C32" s="315" t="s">
        <v>879</v>
      </c>
      <c r="D32" s="27" t="s">
        <v>715</v>
      </c>
      <c r="E32" s="27" t="s">
        <v>322</v>
      </c>
      <c r="F32" s="27" t="s">
        <v>323</v>
      </c>
      <c r="G32" s="27" t="s">
        <v>615</v>
      </c>
      <c r="H32" s="19" t="s">
        <v>700</v>
      </c>
      <c r="I32" s="19" t="s">
        <v>691</v>
      </c>
      <c r="J32" s="27" t="s">
        <v>605</v>
      </c>
      <c r="K32" s="316" t="s">
        <v>718</v>
      </c>
      <c r="L32" s="52">
        <v>32053</v>
      </c>
      <c r="M32" s="52">
        <v>35097</v>
      </c>
      <c r="N32" s="52">
        <f t="shared" si="2"/>
        <v>7019.4000000000005</v>
      </c>
      <c r="O32" s="52">
        <f t="shared" si="3"/>
        <v>42116.4</v>
      </c>
      <c r="P32" s="89" t="s">
        <v>879</v>
      </c>
      <c r="R32" s="140"/>
      <c r="S32" s="309"/>
      <c r="T32" s="141"/>
      <c r="U32" s="141"/>
      <c r="V32" s="140"/>
      <c r="W32" s="140"/>
      <c r="X32" s="140"/>
      <c r="Y32" s="139"/>
    </row>
    <row r="33" spans="2:25" ht="18.600000000000001">
      <c r="B33" s="313">
        <v>23</v>
      </c>
      <c r="C33" s="315" t="s">
        <v>879</v>
      </c>
      <c r="D33" s="27" t="s">
        <v>715</v>
      </c>
      <c r="E33" s="27" t="s">
        <v>276</v>
      </c>
      <c r="F33" s="27" t="s">
        <v>277</v>
      </c>
      <c r="G33" s="27" t="s">
        <v>278</v>
      </c>
      <c r="H33" s="19" t="s">
        <v>721</v>
      </c>
      <c r="I33" s="19" t="s">
        <v>691</v>
      </c>
      <c r="J33" s="27" t="s">
        <v>274</v>
      </c>
      <c r="K33" s="316" t="s">
        <v>722</v>
      </c>
      <c r="L33" s="52">
        <v>35106</v>
      </c>
      <c r="M33" s="52">
        <v>38150</v>
      </c>
      <c r="N33" s="52">
        <f t="shared" si="2"/>
        <v>7630</v>
      </c>
      <c r="O33" s="52">
        <f t="shared" si="3"/>
        <v>45780</v>
      </c>
      <c r="P33" s="89" t="s">
        <v>879</v>
      </c>
      <c r="R33" s="140"/>
      <c r="S33" s="326"/>
      <c r="T33" s="141"/>
      <c r="U33" s="141"/>
      <c r="V33" s="140"/>
      <c r="W33" s="140"/>
      <c r="X33" s="140"/>
      <c r="Y33" s="139"/>
    </row>
    <row r="34" spans="2:25" ht="18.600000000000001">
      <c r="B34" s="313">
        <v>24</v>
      </c>
      <c r="C34" s="315" t="s">
        <v>885</v>
      </c>
      <c r="D34" s="27" t="s">
        <v>299</v>
      </c>
      <c r="E34" s="27" t="s">
        <v>375</v>
      </c>
      <c r="F34" s="27" t="s">
        <v>376</v>
      </c>
      <c r="G34" s="27" t="s">
        <v>377</v>
      </c>
      <c r="H34" s="19" t="s">
        <v>700</v>
      </c>
      <c r="I34" s="19" t="s">
        <v>691</v>
      </c>
      <c r="J34" s="27" t="s">
        <v>754</v>
      </c>
      <c r="K34" s="324" t="s">
        <v>701</v>
      </c>
      <c r="L34" s="52">
        <v>22316</v>
      </c>
      <c r="M34" s="52">
        <v>25439</v>
      </c>
      <c r="N34" s="52">
        <f t="shared" si="2"/>
        <v>5087.8</v>
      </c>
      <c r="O34" s="52">
        <f t="shared" si="3"/>
        <v>30526.799999999999</v>
      </c>
      <c r="P34" s="89" t="s">
        <v>885</v>
      </c>
      <c r="R34" s="140"/>
      <c r="S34" s="309"/>
      <c r="T34" s="141"/>
      <c r="U34" s="141"/>
      <c r="V34" s="140"/>
      <c r="W34" s="140"/>
      <c r="X34" s="140"/>
      <c r="Y34" s="139"/>
    </row>
    <row r="35" spans="2:25" ht="18.600000000000001">
      <c r="B35" s="313">
        <v>25</v>
      </c>
      <c r="C35" s="315" t="s">
        <v>773</v>
      </c>
      <c r="D35" s="27" t="s">
        <v>299</v>
      </c>
      <c r="E35" s="27" t="s">
        <v>99</v>
      </c>
      <c r="F35" s="27" t="s">
        <v>370</v>
      </c>
      <c r="G35" s="27" t="s">
        <v>371</v>
      </c>
      <c r="H35" s="19" t="s">
        <v>721</v>
      </c>
      <c r="I35" s="19" t="s">
        <v>691</v>
      </c>
      <c r="J35" s="27" t="s">
        <v>754</v>
      </c>
      <c r="K35" s="324" t="s">
        <v>701</v>
      </c>
      <c r="L35" s="52">
        <v>22316</v>
      </c>
      <c r="M35" s="52">
        <v>25439</v>
      </c>
      <c r="N35" s="52">
        <f t="shared" si="2"/>
        <v>5087.8</v>
      </c>
      <c r="O35" s="52">
        <f t="shared" si="3"/>
        <v>30526.799999999999</v>
      </c>
      <c r="P35" s="89" t="s">
        <v>773</v>
      </c>
      <c r="R35" s="140"/>
      <c r="S35" s="309"/>
      <c r="T35" s="141"/>
      <c r="U35" s="141"/>
      <c r="V35" s="226"/>
      <c r="W35" s="226"/>
      <c r="X35" s="226"/>
      <c r="Y35" s="226"/>
    </row>
    <row r="36" spans="2:25" ht="18.600000000000001">
      <c r="B36" s="313">
        <v>26</v>
      </c>
      <c r="C36" s="27"/>
      <c r="D36" s="27"/>
      <c r="E36" s="27" t="s">
        <v>195</v>
      </c>
      <c r="F36" s="27" t="s">
        <v>196</v>
      </c>
      <c r="G36" s="27" t="s">
        <v>197</v>
      </c>
      <c r="H36" s="19" t="s">
        <v>721</v>
      </c>
      <c r="I36" s="19" t="s">
        <v>791</v>
      </c>
      <c r="J36" s="27" t="s">
        <v>189</v>
      </c>
      <c r="K36" s="314" t="s">
        <v>800</v>
      </c>
      <c r="L36" s="52">
        <v>17269</v>
      </c>
      <c r="M36" s="52">
        <v>17962</v>
      </c>
      <c r="N36" s="52">
        <f t="shared" si="2"/>
        <v>3592.4</v>
      </c>
      <c r="O36" s="52">
        <f t="shared" si="3"/>
        <v>21554.399999999998</v>
      </c>
      <c r="P36" s="89" t="s">
        <v>879</v>
      </c>
    </row>
    <row r="37" spans="2:25" ht="18.600000000000001">
      <c r="B37" s="313">
        <v>27</v>
      </c>
      <c r="C37" s="315" t="s">
        <v>879</v>
      </c>
      <c r="D37" s="27" t="s">
        <v>715</v>
      </c>
      <c r="E37" s="27" t="s">
        <v>114</v>
      </c>
      <c r="F37" s="27" t="s">
        <v>115</v>
      </c>
      <c r="G37" s="27" t="s">
        <v>116</v>
      </c>
      <c r="H37" s="19" t="s">
        <v>721</v>
      </c>
      <c r="I37" s="19" t="s">
        <v>691</v>
      </c>
      <c r="J37" s="27" t="s">
        <v>245</v>
      </c>
      <c r="K37" s="316" t="s">
        <v>886</v>
      </c>
      <c r="L37" s="52">
        <v>46791</v>
      </c>
      <c r="M37" s="52">
        <v>49835</v>
      </c>
      <c r="N37" s="52">
        <f t="shared" si="2"/>
        <v>9967</v>
      </c>
      <c r="O37" s="52">
        <f t="shared" si="3"/>
        <v>59802</v>
      </c>
      <c r="P37" s="89" t="s">
        <v>879</v>
      </c>
    </row>
    <row r="38" spans="2:25" ht="18.600000000000001">
      <c r="B38" s="313">
        <v>28</v>
      </c>
      <c r="C38" s="27"/>
      <c r="D38" s="27"/>
      <c r="E38" s="27" t="s">
        <v>225</v>
      </c>
      <c r="F38" s="27" t="s">
        <v>226</v>
      </c>
      <c r="G38" s="27" t="s">
        <v>227</v>
      </c>
      <c r="H38" s="19" t="s">
        <v>721</v>
      </c>
      <c r="I38" s="19" t="s">
        <v>66</v>
      </c>
      <c r="J38" s="27" t="s">
        <v>220</v>
      </c>
      <c r="K38" s="323" t="s">
        <v>802</v>
      </c>
      <c r="L38" s="52">
        <v>14993</v>
      </c>
      <c r="M38" s="52">
        <v>15586</v>
      </c>
      <c r="N38" s="52">
        <f t="shared" si="2"/>
        <v>3117.2000000000003</v>
      </c>
      <c r="O38" s="52">
        <f t="shared" si="3"/>
        <v>18703.2</v>
      </c>
      <c r="P38" s="89" t="s">
        <v>879</v>
      </c>
    </row>
    <row r="39" spans="2:25" ht="18.600000000000001">
      <c r="B39" s="313">
        <v>29</v>
      </c>
      <c r="C39" s="315" t="s">
        <v>732</v>
      </c>
      <c r="D39" s="27" t="s">
        <v>715</v>
      </c>
      <c r="E39" s="27" t="s">
        <v>315</v>
      </c>
      <c r="F39" s="27" t="s">
        <v>316</v>
      </c>
      <c r="G39" s="27" t="s">
        <v>317</v>
      </c>
      <c r="H39" s="19" t="s">
        <v>700</v>
      </c>
      <c r="I39" s="19" t="s">
        <v>691</v>
      </c>
      <c r="J39" s="27" t="s">
        <v>724</v>
      </c>
      <c r="K39" s="316" t="s">
        <v>120</v>
      </c>
      <c r="L39" s="52">
        <v>32053</v>
      </c>
      <c r="M39" s="52">
        <v>35097</v>
      </c>
      <c r="N39" s="52">
        <f t="shared" si="2"/>
        <v>7019.4000000000005</v>
      </c>
      <c r="O39" s="52">
        <f t="shared" si="3"/>
        <v>42116.4</v>
      </c>
      <c r="P39" s="89" t="s">
        <v>732</v>
      </c>
    </row>
    <row r="40" spans="2:25" ht="18.600000000000001">
      <c r="B40" s="313">
        <v>30</v>
      </c>
      <c r="C40" s="315" t="s">
        <v>773</v>
      </c>
      <c r="D40" s="27" t="s">
        <v>887</v>
      </c>
      <c r="E40" s="27" t="s">
        <v>327</v>
      </c>
      <c r="F40" s="27" t="s">
        <v>328</v>
      </c>
      <c r="G40" s="27" t="s">
        <v>329</v>
      </c>
      <c r="H40" s="19" t="s">
        <v>700</v>
      </c>
      <c r="I40" s="19" t="s">
        <v>691</v>
      </c>
      <c r="J40" s="27" t="s">
        <v>754</v>
      </c>
      <c r="K40" s="324" t="s">
        <v>701</v>
      </c>
      <c r="L40" s="52">
        <v>22316</v>
      </c>
      <c r="M40" s="52">
        <v>25439</v>
      </c>
      <c r="N40" s="52">
        <f t="shared" si="2"/>
        <v>5087.8</v>
      </c>
      <c r="O40" s="52">
        <f t="shared" si="3"/>
        <v>30526.799999999999</v>
      </c>
      <c r="P40" s="89" t="s">
        <v>773</v>
      </c>
    </row>
    <row r="41" spans="2:25" ht="18.600000000000001">
      <c r="B41" s="313">
        <v>31</v>
      </c>
      <c r="C41" s="27"/>
      <c r="D41" s="27"/>
      <c r="E41" s="27" t="s">
        <v>87</v>
      </c>
      <c r="F41" s="27" t="s">
        <v>88</v>
      </c>
      <c r="G41" s="27" t="s">
        <v>89</v>
      </c>
      <c r="H41" s="19" t="s">
        <v>721</v>
      </c>
      <c r="I41" s="19" t="s">
        <v>66</v>
      </c>
      <c r="J41" s="27" t="s">
        <v>80</v>
      </c>
      <c r="K41" s="323" t="s">
        <v>794</v>
      </c>
      <c r="L41" s="52">
        <v>69963</v>
      </c>
      <c r="M41" s="52">
        <v>71511</v>
      </c>
      <c r="N41" s="52">
        <f t="shared" si="2"/>
        <v>14302.2</v>
      </c>
      <c r="O41" s="52">
        <f t="shared" si="3"/>
        <v>85813.2</v>
      </c>
      <c r="P41" s="89" t="s">
        <v>880</v>
      </c>
    </row>
    <row r="42" spans="2:25" ht="18.600000000000001">
      <c r="B42" s="313">
        <v>32</v>
      </c>
      <c r="C42" s="27"/>
      <c r="D42" s="27"/>
      <c r="E42" s="27" t="s">
        <v>70</v>
      </c>
      <c r="F42" s="27" t="s">
        <v>71</v>
      </c>
      <c r="G42" s="27" t="s">
        <v>72</v>
      </c>
      <c r="H42" s="19" t="s">
        <v>700</v>
      </c>
      <c r="I42" s="19" t="s">
        <v>66</v>
      </c>
      <c r="J42" s="27" t="s">
        <v>80</v>
      </c>
      <c r="K42" s="323" t="s">
        <v>794</v>
      </c>
      <c r="L42" s="52">
        <v>69963</v>
      </c>
      <c r="M42" s="52">
        <v>71511</v>
      </c>
      <c r="N42" s="52">
        <f t="shared" si="2"/>
        <v>14302.2</v>
      </c>
      <c r="O42" s="52">
        <f t="shared" si="3"/>
        <v>85813.2</v>
      </c>
      <c r="P42" s="89" t="s">
        <v>879</v>
      </c>
    </row>
    <row r="43" spans="2:25" ht="18.600000000000001">
      <c r="B43" s="313">
        <v>33</v>
      </c>
      <c r="C43" s="315" t="s">
        <v>742</v>
      </c>
      <c r="D43" s="27" t="s">
        <v>715</v>
      </c>
      <c r="E43" s="27" t="s">
        <v>300</v>
      </c>
      <c r="F43" s="27" t="s">
        <v>301</v>
      </c>
      <c r="G43" s="27" t="s">
        <v>302</v>
      </c>
      <c r="H43" s="19" t="s">
        <v>721</v>
      </c>
      <c r="I43" s="19" t="s">
        <v>691</v>
      </c>
      <c r="J43" s="27" t="s">
        <v>724</v>
      </c>
      <c r="K43" s="324" t="s">
        <v>718</v>
      </c>
      <c r="L43" s="52">
        <v>32053</v>
      </c>
      <c r="M43" s="52">
        <v>35097</v>
      </c>
      <c r="N43" s="52">
        <f t="shared" si="2"/>
        <v>7019.4000000000005</v>
      </c>
      <c r="O43" s="52">
        <f t="shared" si="3"/>
        <v>42116.4</v>
      </c>
      <c r="P43" s="89" t="s">
        <v>742</v>
      </c>
    </row>
    <row r="44" spans="2:25" ht="18.600000000000001">
      <c r="B44" s="313">
        <v>34</v>
      </c>
      <c r="C44" s="27"/>
      <c r="D44" s="27"/>
      <c r="E44" s="27" t="s">
        <v>180</v>
      </c>
      <c r="F44" s="27" t="s">
        <v>181</v>
      </c>
      <c r="G44" s="27" t="s">
        <v>182</v>
      </c>
      <c r="H44" s="19" t="s">
        <v>721</v>
      </c>
      <c r="I44" s="19" t="s">
        <v>66</v>
      </c>
      <c r="J44" s="27" t="s">
        <v>178</v>
      </c>
      <c r="K44" s="314" t="s">
        <v>804</v>
      </c>
      <c r="L44" s="52">
        <v>17806</v>
      </c>
      <c r="M44" s="52">
        <v>18520</v>
      </c>
      <c r="N44" s="52">
        <f t="shared" si="2"/>
        <v>3704</v>
      </c>
      <c r="O44" s="52">
        <f t="shared" si="3"/>
        <v>22224</v>
      </c>
      <c r="P44" s="89" t="s">
        <v>732</v>
      </c>
    </row>
    <row r="45" spans="2:25" ht="18.600000000000001">
      <c r="B45" s="313">
        <v>35</v>
      </c>
      <c r="C45" s="318" t="s">
        <v>879</v>
      </c>
      <c r="D45" s="319" t="s">
        <v>272</v>
      </c>
      <c r="E45" s="319" t="s">
        <v>61</v>
      </c>
      <c r="F45" s="319" t="s">
        <v>269</v>
      </c>
      <c r="G45" s="319" t="s">
        <v>888</v>
      </c>
      <c r="H45" s="19" t="s">
        <v>721</v>
      </c>
      <c r="I45" s="320" t="s">
        <v>691</v>
      </c>
      <c r="J45" s="321" t="s">
        <v>860</v>
      </c>
      <c r="K45" s="322">
        <v>18</v>
      </c>
      <c r="L45" s="327"/>
      <c r="M45" s="267">
        <v>45203</v>
      </c>
      <c r="N45" s="52">
        <f t="shared" si="2"/>
        <v>9040.6</v>
      </c>
      <c r="O45" s="52">
        <f t="shared" si="3"/>
        <v>54243.6</v>
      </c>
      <c r="P45" s="89" t="s">
        <v>879</v>
      </c>
    </row>
    <row r="46" spans="2:25" ht="18.600000000000001">
      <c r="B46" s="313">
        <v>36</v>
      </c>
      <c r="C46" s="315" t="s">
        <v>879</v>
      </c>
      <c r="D46" s="27" t="s">
        <v>284</v>
      </c>
      <c r="E46" s="27" t="s">
        <v>341</v>
      </c>
      <c r="F46" s="27" t="s">
        <v>342</v>
      </c>
      <c r="G46" s="27" t="s">
        <v>645</v>
      </c>
      <c r="H46" s="19" t="s">
        <v>721</v>
      </c>
      <c r="I46" s="19" t="s">
        <v>691</v>
      </c>
      <c r="J46" s="27" t="s">
        <v>461</v>
      </c>
      <c r="K46" s="328">
        <v>45261</v>
      </c>
      <c r="L46" s="267">
        <v>26952</v>
      </c>
      <c r="M46" s="267">
        <v>27608</v>
      </c>
      <c r="N46" s="52">
        <f t="shared" si="2"/>
        <v>5521.6</v>
      </c>
      <c r="O46" s="52">
        <f t="shared" si="3"/>
        <v>33129.599999999999</v>
      </c>
      <c r="P46" s="89" t="s">
        <v>879</v>
      </c>
    </row>
    <row r="47" spans="2:25" ht="18.600000000000001">
      <c r="B47" s="313">
        <v>37</v>
      </c>
      <c r="C47" s="315" t="s">
        <v>879</v>
      </c>
      <c r="D47" s="27" t="s">
        <v>284</v>
      </c>
      <c r="E47" s="27" t="s">
        <v>282</v>
      </c>
      <c r="F47" s="27" t="s">
        <v>283</v>
      </c>
      <c r="G47" s="27" t="s">
        <v>199</v>
      </c>
      <c r="H47" s="19" t="s">
        <v>721</v>
      </c>
      <c r="I47" s="19" t="s">
        <v>691</v>
      </c>
      <c r="J47" s="27" t="s">
        <v>274</v>
      </c>
      <c r="K47" s="316" t="s">
        <v>722</v>
      </c>
      <c r="L47" s="52">
        <v>35106</v>
      </c>
      <c r="M47" s="52">
        <v>38150</v>
      </c>
      <c r="N47" s="52">
        <f t="shared" si="2"/>
        <v>7630</v>
      </c>
      <c r="O47" s="52">
        <f t="shared" si="3"/>
        <v>45780</v>
      </c>
      <c r="P47" s="89" t="s">
        <v>879</v>
      </c>
    </row>
    <row r="48" spans="2:25" ht="18.600000000000001">
      <c r="B48" s="313">
        <v>38</v>
      </c>
      <c r="C48" s="27"/>
      <c r="D48" s="27"/>
      <c r="E48" s="27" t="s">
        <v>92</v>
      </c>
      <c r="F48" s="27" t="s">
        <v>93</v>
      </c>
      <c r="G48" s="27" t="s">
        <v>94</v>
      </c>
      <c r="H48" s="19" t="s">
        <v>721</v>
      </c>
      <c r="I48" s="19" t="s">
        <v>66</v>
      </c>
      <c r="J48" s="27" t="s">
        <v>245</v>
      </c>
      <c r="K48" s="323" t="s">
        <v>886</v>
      </c>
      <c r="L48" s="52">
        <v>49835</v>
      </c>
      <c r="M48" s="52">
        <v>51357</v>
      </c>
      <c r="N48" s="52">
        <f t="shared" si="2"/>
        <v>10271.400000000001</v>
      </c>
      <c r="O48" s="52">
        <f t="shared" si="3"/>
        <v>61628.399999999994</v>
      </c>
      <c r="P48" s="89" t="s">
        <v>879</v>
      </c>
    </row>
    <row r="49" spans="2:16" ht="18.600000000000001">
      <c r="B49" s="313">
        <v>39</v>
      </c>
      <c r="C49" s="315" t="s">
        <v>880</v>
      </c>
      <c r="D49" s="27" t="s">
        <v>715</v>
      </c>
      <c r="E49" s="27" t="s">
        <v>866</v>
      </c>
      <c r="F49" s="27" t="s">
        <v>867</v>
      </c>
      <c r="G49" s="27" t="s">
        <v>868</v>
      </c>
      <c r="H49" s="19" t="s">
        <v>721</v>
      </c>
      <c r="I49" s="79" t="s">
        <v>691</v>
      </c>
      <c r="J49" s="6" t="s">
        <v>461</v>
      </c>
      <c r="K49" s="328">
        <v>45261</v>
      </c>
      <c r="L49" s="52">
        <v>26952</v>
      </c>
      <c r="M49" s="52">
        <v>27608</v>
      </c>
      <c r="N49" s="52">
        <f t="shared" si="2"/>
        <v>5521.6</v>
      </c>
      <c r="O49" s="52">
        <f t="shared" si="3"/>
        <v>33129.599999999999</v>
      </c>
      <c r="P49" s="89" t="s">
        <v>880</v>
      </c>
    </row>
    <row r="50" spans="2:16" ht="18.600000000000001">
      <c r="B50" s="313">
        <v>40</v>
      </c>
      <c r="C50" s="27"/>
      <c r="D50" s="27"/>
      <c r="E50" s="27" t="s">
        <v>203</v>
      </c>
      <c r="F50" s="27" t="s">
        <v>204</v>
      </c>
      <c r="G50" s="27" t="s">
        <v>205</v>
      </c>
      <c r="H50" s="19" t="s">
        <v>721</v>
      </c>
      <c r="I50" s="19" t="s">
        <v>66</v>
      </c>
      <c r="J50" s="27" t="s">
        <v>178</v>
      </c>
      <c r="K50" s="314" t="s">
        <v>800</v>
      </c>
      <c r="L50" s="52">
        <v>17269</v>
      </c>
      <c r="M50" s="52">
        <v>17962</v>
      </c>
      <c r="N50" s="52">
        <f t="shared" si="2"/>
        <v>3592.4</v>
      </c>
      <c r="O50" s="52">
        <f t="shared" si="3"/>
        <v>21554.399999999998</v>
      </c>
      <c r="P50" s="89" t="s">
        <v>879</v>
      </c>
    </row>
    <row r="51" spans="2:16" ht="18.600000000000001">
      <c r="B51" s="313">
        <v>41</v>
      </c>
      <c r="C51" s="315" t="s">
        <v>879</v>
      </c>
      <c r="D51" s="27" t="s">
        <v>379</v>
      </c>
      <c r="E51" s="27" t="s">
        <v>560</v>
      </c>
      <c r="F51" s="27" t="s">
        <v>561</v>
      </c>
      <c r="G51" s="27" t="s">
        <v>562</v>
      </c>
      <c r="H51" s="19" t="s">
        <v>700</v>
      </c>
      <c r="I51" s="19" t="s">
        <v>691</v>
      </c>
      <c r="J51" s="27" t="s">
        <v>724</v>
      </c>
      <c r="K51" s="316" t="s">
        <v>718</v>
      </c>
      <c r="L51" s="52">
        <v>32053</v>
      </c>
      <c r="M51" s="52">
        <v>35097</v>
      </c>
      <c r="N51" s="52">
        <f t="shared" si="2"/>
        <v>7019.4000000000005</v>
      </c>
      <c r="O51" s="52">
        <f t="shared" si="3"/>
        <v>42116.4</v>
      </c>
      <c r="P51" s="89" t="s">
        <v>879</v>
      </c>
    </row>
    <row r="52" spans="2:16" ht="18.600000000000001">
      <c r="B52" s="313">
        <v>42</v>
      </c>
      <c r="C52" s="27"/>
      <c r="D52" s="27"/>
      <c r="E52" s="27" t="s">
        <v>153</v>
      </c>
      <c r="F52" s="27" t="s">
        <v>154</v>
      </c>
      <c r="G52" s="27" t="s">
        <v>155</v>
      </c>
      <c r="H52" s="19" t="s">
        <v>721</v>
      </c>
      <c r="I52" s="19" t="s">
        <v>791</v>
      </c>
      <c r="J52" s="27" t="s">
        <v>151</v>
      </c>
      <c r="K52" s="314" t="s">
        <v>805</v>
      </c>
      <c r="L52" s="52">
        <v>21093</v>
      </c>
      <c r="M52" s="52">
        <v>21929</v>
      </c>
      <c r="N52" s="52">
        <f t="shared" si="2"/>
        <v>4385.8</v>
      </c>
      <c r="O52" s="52">
        <f t="shared" si="3"/>
        <v>26314.799999999999</v>
      </c>
      <c r="P52" s="89" t="s">
        <v>879</v>
      </c>
    </row>
    <row r="53" spans="2:16" ht="18.600000000000001">
      <c r="B53" s="313">
        <v>43</v>
      </c>
      <c r="C53" s="27"/>
      <c r="D53" s="27"/>
      <c r="E53" s="27" t="s">
        <v>153</v>
      </c>
      <c r="F53" s="27" t="s">
        <v>167</v>
      </c>
      <c r="G53" s="27" t="s">
        <v>155</v>
      </c>
      <c r="H53" s="19" t="s">
        <v>721</v>
      </c>
      <c r="I53" s="19" t="s">
        <v>791</v>
      </c>
      <c r="J53" s="27" t="s">
        <v>151</v>
      </c>
      <c r="K53" s="314" t="s">
        <v>790</v>
      </c>
      <c r="L53" s="52">
        <v>20918</v>
      </c>
      <c r="M53" s="52">
        <v>21747</v>
      </c>
      <c r="N53" s="52">
        <f t="shared" si="2"/>
        <v>4349.4000000000005</v>
      </c>
      <c r="O53" s="52">
        <f t="shared" si="3"/>
        <v>26096.399999999998</v>
      </c>
      <c r="P53" s="89" t="s">
        <v>879</v>
      </c>
    </row>
    <row r="54" spans="2:16" ht="18.600000000000001">
      <c r="B54" s="313">
        <v>44</v>
      </c>
      <c r="C54" s="315" t="s">
        <v>879</v>
      </c>
      <c r="D54" s="27" t="s">
        <v>715</v>
      </c>
      <c r="E54" s="27" t="s">
        <v>514</v>
      </c>
      <c r="F54" s="27" t="s">
        <v>515</v>
      </c>
      <c r="G54" s="27" t="s">
        <v>516</v>
      </c>
      <c r="H54" s="19" t="s">
        <v>721</v>
      </c>
      <c r="I54" s="19" t="s">
        <v>691</v>
      </c>
      <c r="J54" s="27" t="s">
        <v>274</v>
      </c>
      <c r="K54" s="316" t="s">
        <v>722</v>
      </c>
      <c r="L54" s="52">
        <v>35106</v>
      </c>
      <c r="M54" s="52">
        <v>38150</v>
      </c>
      <c r="N54" s="52">
        <f t="shared" si="2"/>
        <v>7630</v>
      </c>
      <c r="O54" s="52">
        <f t="shared" si="3"/>
        <v>45780</v>
      </c>
      <c r="P54" s="89" t="s">
        <v>879</v>
      </c>
    </row>
    <row r="55" spans="2:16" ht="18.600000000000001">
      <c r="B55" s="313">
        <v>45</v>
      </c>
      <c r="C55" s="27"/>
      <c r="D55" s="27"/>
      <c r="E55" s="27" t="s">
        <v>169</v>
      </c>
      <c r="F55" s="27" t="s">
        <v>170</v>
      </c>
      <c r="G55" s="27" t="s">
        <v>171</v>
      </c>
      <c r="H55" s="19" t="s">
        <v>700</v>
      </c>
      <c r="I55" s="19" t="s">
        <v>791</v>
      </c>
      <c r="J55" s="27" t="s">
        <v>151</v>
      </c>
      <c r="K55" s="314" t="s">
        <v>790</v>
      </c>
      <c r="L55" s="52">
        <v>20918</v>
      </c>
      <c r="M55" s="52">
        <v>21747</v>
      </c>
      <c r="N55" s="52">
        <f t="shared" si="2"/>
        <v>4349.4000000000005</v>
      </c>
      <c r="O55" s="52">
        <f t="shared" si="3"/>
        <v>26096.399999999998</v>
      </c>
      <c r="P55" s="89" t="s">
        <v>880</v>
      </c>
    </row>
    <row r="56" spans="2:16" ht="18.600000000000001">
      <c r="B56" s="313">
        <v>46</v>
      </c>
      <c r="C56" s="27"/>
      <c r="D56" s="27"/>
      <c r="E56" s="27" t="s">
        <v>157</v>
      </c>
      <c r="F56" s="27" t="s">
        <v>158</v>
      </c>
      <c r="G56" s="27" t="s">
        <v>159</v>
      </c>
      <c r="H56" s="19" t="s">
        <v>721</v>
      </c>
      <c r="I56" s="19" t="s">
        <v>791</v>
      </c>
      <c r="J56" s="27" t="s">
        <v>151</v>
      </c>
      <c r="K56" s="314" t="s">
        <v>805</v>
      </c>
      <c r="L56" s="52">
        <v>21093</v>
      </c>
      <c r="M56" s="52">
        <v>21929</v>
      </c>
      <c r="N56" s="52">
        <f t="shared" si="2"/>
        <v>4385.8</v>
      </c>
      <c r="O56" s="52">
        <f t="shared" si="3"/>
        <v>26314.799999999999</v>
      </c>
      <c r="P56" s="89" t="s">
        <v>880</v>
      </c>
    </row>
    <row r="57" spans="2:16" ht="18.600000000000001">
      <c r="B57" s="313">
        <v>47</v>
      </c>
      <c r="C57" s="27"/>
      <c r="D57" s="27"/>
      <c r="E57" s="27" t="s">
        <v>173</v>
      </c>
      <c r="F57" s="27" t="s">
        <v>174</v>
      </c>
      <c r="G57" s="27" t="s">
        <v>175</v>
      </c>
      <c r="H57" s="19" t="s">
        <v>721</v>
      </c>
      <c r="I57" s="19" t="s">
        <v>791</v>
      </c>
      <c r="J57" s="27" t="s">
        <v>151</v>
      </c>
      <c r="K57" s="314" t="s">
        <v>790</v>
      </c>
      <c r="L57" s="52">
        <v>20918</v>
      </c>
      <c r="M57" s="52">
        <v>21747</v>
      </c>
      <c r="N57" s="52">
        <f t="shared" si="2"/>
        <v>4349.4000000000005</v>
      </c>
      <c r="O57" s="52">
        <f t="shared" si="3"/>
        <v>26096.399999999998</v>
      </c>
      <c r="P57" s="89" t="s">
        <v>880</v>
      </c>
    </row>
    <row r="58" spans="2:16" ht="18.600000000000001">
      <c r="B58" s="313">
        <v>48</v>
      </c>
      <c r="C58" s="315" t="s">
        <v>879</v>
      </c>
      <c r="D58" s="27" t="s">
        <v>455</v>
      </c>
      <c r="E58" s="27" t="s">
        <v>260</v>
      </c>
      <c r="F58" s="27" t="s">
        <v>261</v>
      </c>
      <c r="G58" s="27" t="s">
        <v>262</v>
      </c>
      <c r="H58" s="19" t="s">
        <v>721</v>
      </c>
      <c r="I58" s="19" t="s">
        <v>691</v>
      </c>
      <c r="J58" s="27" t="s">
        <v>605</v>
      </c>
      <c r="K58" s="316" t="s">
        <v>718</v>
      </c>
      <c r="L58" s="52">
        <v>32053</v>
      </c>
      <c r="M58" s="52">
        <v>35097</v>
      </c>
      <c r="N58" s="52">
        <f t="shared" si="2"/>
        <v>7019.4000000000005</v>
      </c>
      <c r="O58" s="52">
        <f t="shared" si="3"/>
        <v>42116.4</v>
      </c>
      <c r="P58" s="89" t="s">
        <v>879</v>
      </c>
    </row>
    <row r="59" spans="2:16" ht="18.600000000000001">
      <c r="B59" s="313">
        <v>49</v>
      </c>
      <c r="C59" s="27"/>
      <c r="D59" s="27"/>
      <c r="E59" s="27" t="s">
        <v>199</v>
      </c>
      <c r="F59" s="27" t="s">
        <v>200</v>
      </c>
      <c r="G59" s="27" t="s">
        <v>197</v>
      </c>
      <c r="H59" s="19" t="s">
        <v>700</v>
      </c>
      <c r="I59" s="19" t="s">
        <v>791</v>
      </c>
      <c r="J59" s="27" t="s">
        <v>189</v>
      </c>
      <c r="K59" s="314" t="s">
        <v>800</v>
      </c>
      <c r="L59" s="52">
        <v>17269</v>
      </c>
      <c r="M59" s="52">
        <v>17962</v>
      </c>
      <c r="N59" s="52">
        <f t="shared" si="2"/>
        <v>3592.4</v>
      </c>
      <c r="O59" s="52">
        <f t="shared" si="3"/>
        <v>21554.399999999998</v>
      </c>
      <c r="P59" s="89" t="s">
        <v>880</v>
      </c>
    </row>
    <row r="60" spans="2:16" ht="18.600000000000001">
      <c r="B60" s="313">
        <v>50</v>
      </c>
      <c r="C60" s="315" t="s">
        <v>880</v>
      </c>
      <c r="D60" s="27" t="s">
        <v>299</v>
      </c>
      <c r="E60" s="27" t="s">
        <v>366</v>
      </c>
      <c r="F60" s="27" t="s">
        <v>367</v>
      </c>
      <c r="G60" s="27" t="s">
        <v>89</v>
      </c>
      <c r="H60" s="19" t="s">
        <v>700</v>
      </c>
      <c r="I60" s="19" t="s">
        <v>691</v>
      </c>
      <c r="J60" s="27" t="s">
        <v>724</v>
      </c>
      <c r="K60" s="316" t="s">
        <v>718</v>
      </c>
      <c r="L60" s="52">
        <v>32053</v>
      </c>
      <c r="M60" s="52">
        <v>35097</v>
      </c>
      <c r="N60" s="52">
        <f t="shared" si="2"/>
        <v>7019.4000000000005</v>
      </c>
      <c r="O60" s="52">
        <f t="shared" si="3"/>
        <v>42116.4</v>
      </c>
      <c r="P60" s="89" t="s">
        <v>880</v>
      </c>
    </row>
    <row r="61" spans="2:16" ht="18.600000000000001">
      <c r="B61" s="313">
        <v>51</v>
      </c>
      <c r="C61" s="318" t="s">
        <v>880</v>
      </c>
      <c r="D61" s="319" t="s">
        <v>272</v>
      </c>
      <c r="E61" s="319" t="s">
        <v>386</v>
      </c>
      <c r="F61" s="319" t="s">
        <v>707</v>
      </c>
      <c r="G61" s="319" t="s">
        <v>889</v>
      </c>
      <c r="H61" s="320" t="s">
        <v>721</v>
      </c>
      <c r="I61" s="320" t="s">
        <v>691</v>
      </c>
      <c r="J61" s="321" t="s">
        <v>730</v>
      </c>
      <c r="K61" s="322">
        <v>11</v>
      </c>
      <c r="L61" s="321"/>
      <c r="M61" s="267">
        <v>25439</v>
      </c>
      <c r="N61" s="52">
        <f t="shared" si="2"/>
        <v>5087.8</v>
      </c>
      <c r="O61" s="52">
        <f t="shared" si="3"/>
        <v>30526.799999999999</v>
      </c>
      <c r="P61" s="89" t="s">
        <v>880</v>
      </c>
    </row>
    <row r="62" spans="2:16" ht="18.600000000000001">
      <c r="B62" s="313">
        <v>52</v>
      </c>
      <c r="C62" s="27"/>
      <c r="D62" s="27"/>
      <c r="E62" s="27" t="s">
        <v>106</v>
      </c>
      <c r="F62" s="27" t="s">
        <v>107</v>
      </c>
      <c r="G62" s="27" t="s">
        <v>108</v>
      </c>
      <c r="H62" s="19" t="s">
        <v>700</v>
      </c>
      <c r="I62" s="19" t="s">
        <v>66</v>
      </c>
      <c r="J62" s="27" t="s">
        <v>139</v>
      </c>
      <c r="K62" s="323" t="s">
        <v>884</v>
      </c>
      <c r="L62" s="52">
        <v>27608</v>
      </c>
      <c r="M62" s="52">
        <v>29165</v>
      </c>
      <c r="N62" s="52">
        <f t="shared" si="2"/>
        <v>5833</v>
      </c>
      <c r="O62" s="52">
        <f t="shared" si="3"/>
        <v>34998</v>
      </c>
      <c r="P62" s="89" t="s">
        <v>885</v>
      </c>
    </row>
    <row r="63" spans="2:16" ht="18.600000000000001">
      <c r="B63" s="313">
        <v>53</v>
      </c>
      <c r="C63" s="318" t="s">
        <v>879</v>
      </c>
      <c r="D63" s="27" t="s">
        <v>284</v>
      </c>
      <c r="E63" s="319" t="s">
        <v>63</v>
      </c>
      <c r="F63" s="319" t="s">
        <v>230</v>
      </c>
      <c r="G63" s="319" t="s">
        <v>517</v>
      </c>
      <c r="H63" s="19" t="s">
        <v>721</v>
      </c>
      <c r="I63" s="19" t="s">
        <v>691</v>
      </c>
      <c r="J63" s="27" t="s">
        <v>220</v>
      </c>
      <c r="K63" s="329" t="s">
        <v>221</v>
      </c>
      <c r="L63" s="267">
        <v>14400</v>
      </c>
      <c r="M63" s="267">
        <v>14993</v>
      </c>
      <c r="N63" s="52">
        <f t="shared" si="2"/>
        <v>2998.6000000000004</v>
      </c>
      <c r="O63" s="52">
        <f t="shared" si="3"/>
        <v>17991.599999999999</v>
      </c>
      <c r="P63" s="89" t="s">
        <v>879</v>
      </c>
    </row>
    <row r="64" spans="2:16" ht="18.600000000000001">
      <c r="B64" s="313">
        <v>54</v>
      </c>
      <c r="C64" s="27"/>
      <c r="D64" s="27"/>
      <c r="E64" s="27" t="s">
        <v>63</v>
      </c>
      <c r="F64" s="27" t="s">
        <v>222</v>
      </c>
      <c r="G64" s="27" t="s">
        <v>223</v>
      </c>
      <c r="H64" s="19" t="s">
        <v>721</v>
      </c>
      <c r="I64" s="19" t="s">
        <v>66</v>
      </c>
      <c r="J64" s="27" t="s">
        <v>220</v>
      </c>
      <c r="K64" s="324" t="s">
        <v>802</v>
      </c>
      <c r="L64" s="52">
        <v>14993</v>
      </c>
      <c r="M64" s="52">
        <v>15586</v>
      </c>
      <c r="N64" s="52">
        <f t="shared" si="2"/>
        <v>3117.2000000000003</v>
      </c>
      <c r="O64" s="52">
        <f t="shared" si="3"/>
        <v>18703.2</v>
      </c>
      <c r="P64" s="89" t="s">
        <v>879</v>
      </c>
    </row>
    <row r="65" spans="1:16" ht="18.600000000000001">
      <c r="B65" s="313">
        <v>55</v>
      </c>
      <c r="C65" s="315" t="s">
        <v>878</v>
      </c>
      <c r="D65" s="27" t="s">
        <v>299</v>
      </c>
      <c r="E65" s="27" t="s">
        <v>363</v>
      </c>
      <c r="F65" s="27" t="s">
        <v>364</v>
      </c>
      <c r="G65" s="27" t="s">
        <v>365</v>
      </c>
      <c r="H65" s="19" t="s">
        <v>700</v>
      </c>
      <c r="I65" s="19" t="s">
        <v>691</v>
      </c>
      <c r="J65" s="27" t="s">
        <v>754</v>
      </c>
      <c r="K65" s="324" t="s">
        <v>701</v>
      </c>
      <c r="L65" s="52">
        <v>22316</v>
      </c>
      <c r="M65" s="52">
        <v>25439</v>
      </c>
      <c r="N65" s="52">
        <f t="shared" si="2"/>
        <v>5087.8</v>
      </c>
      <c r="O65" s="52">
        <f t="shared" si="3"/>
        <v>30526.799999999999</v>
      </c>
      <c r="P65" s="89" t="s">
        <v>878</v>
      </c>
    </row>
    <row r="66" spans="1:16" ht="18.600000000000001">
      <c r="B66" s="313">
        <v>56</v>
      </c>
      <c r="C66" s="315" t="s">
        <v>885</v>
      </c>
      <c r="D66" s="27" t="s">
        <v>881</v>
      </c>
      <c r="E66" s="27" t="s">
        <v>298</v>
      </c>
      <c r="F66" s="27" t="s">
        <v>635</v>
      </c>
      <c r="G66" s="27" t="s">
        <v>636</v>
      </c>
      <c r="H66" s="19" t="s">
        <v>721</v>
      </c>
      <c r="I66" s="19" t="s">
        <v>691</v>
      </c>
      <c r="J66" s="27" t="s">
        <v>139</v>
      </c>
      <c r="K66" s="316" t="s">
        <v>884</v>
      </c>
      <c r="L66" s="52">
        <v>24495</v>
      </c>
      <c r="M66" s="52">
        <v>27608</v>
      </c>
      <c r="N66" s="52">
        <f t="shared" si="2"/>
        <v>5521.6</v>
      </c>
      <c r="O66" s="52">
        <f t="shared" si="3"/>
        <v>33129.599999999999</v>
      </c>
      <c r="P66" s="89" t="s">
        <v>885</v>
      </c>
    </row>
    <row r="67" spans="1:16" ht="18.600000000000001">
      <c r="B67" s="313">
        <v>57</v>
      </c>
      <c r="C67" s="27"/>
      <c r="D67" s="27"/>
      <c r="E67" s="27" t="s">
        <v>75</v>
      </c>
      <c r="F67" s="27" t="s">
        <v>76</v>
      </c>
      <c r="G67" s="27" t="s">
        <v>77</v>
      </c>
      <c r="H67" s="19" t="s">
        <v>700</v>
      </c>
      <c r="I67" s="19" t="s">
        <v>66</v>
      </c>
      <c r="J67" s="27" t="s">
        <v>105</v>
      </c>
      <c r="K67" s="323" t="s">
        <v>886</v>
      </c>
      <c r="L67" s="52">
        <v>49835</v>
      </c>
      <c r="M67" s="52">
        <v>51357</v>
      </c>
      <c r="N67" s="52">
        <f t="shared" si="2"/>
        <v>10271.400000000001</v>
      </c>
      <c r="O67" s="52">
        <f t="shared" si="3"/>
        <v>61628.399999999994</v>
      </c>
      <c r="P67" s="89" t="s">
        <v>879</v>
      </c>
    </row>
    <row r="68" spans="1:16" ht="15.6">
      <c r="A68" s="300"/>
      <c r="C68" s="301"/>
      <c r="D68" s="302"/>
      <c r="E68" s="302"/>
      <c r="F68" s="89"/>
      <c r="G68" s="89"/>
      <c r="H68" s="89"/>
      <c r="I68" s="89"/>
      <c r="J68" s="89"/>
      <c r="K68" s="303"/>
    </row>
    <row r="69" spans="1:16" ht="15.6">
      <c r="A69" s="300"/>
      <c r="C69" s="301"/>
      <c r="D69" s="302"/>
      <c r="E69" s="302"/>
      <c r="F69" s="89"/>
      <c r="G69" s="89"/>
      <c r="H69" s="89"/>
      <c r="I69" s="89"/>
      <c r="J69" s="89"/>
      <c r="K69" s="303"/>
    </row>
    <row r="70" spans="1:16" ht="15.6">
      <c r="A70" s="300"/>
      <c r="C70" s="301"/>
      <c r="D70" s="302"/>
      <c r="E70" s="302"/>
      <c r="F70" s="89"/>
      <c r="G70" s="89"/>
      <c r="H70" s="89"/>
      <c r="I70" s="89"/>
      <c r="J70" s="89"/>
      <c r="K70" s="303"/>
    </row>
    <row r="71" spans="1:16" ht="15.6">
      <c r="A71" s="300"/>
      <c r="C71" s="301"/>
      <c r="D71" s="302"/>
      <c r="E71" s="302"/>
      <c r="F71" s="89"/>
      <c r="G71" s="89"/>
      <c r="H71" s="89"/>
      <c r="I71" s="89"/>
      <c r="J71" s="89"/>
      <c r="K71" s="303"/>
    </row>
    <row r="72" spans="1:16" ht="15.6">
      <c r="A72" s="300"/>
      <c r="C72" s="301"/>
      <c r="D72" s="302"/>
      <c r="E72" s="302"/>
      <c r="F72" s="89"/>
      <c r="G72" s="89"/>
      <c r="H72" s="89"/>
      <c r="I72" s="89"/>
      <c r="J72" s="89"/>
      <c r="K72" s="303"/>
    </row>
    <row r="73" spans="1:16" ht="15.6">
      <c r="A73" s="300"/>
      <c r="C73" s="301"/>
      <c r="D73" s="302"/>
      <c r="E73" s="302"/>
      <c r="F73" s="89"/>
      <c r="G73" s="89"/>
      <c r="H73" s="89"/>
      <c r="I73" s="89"/>
      <c r="J73" s="89"/>
      <c r="K73" s="303"/>
    </row>
    <row r="74" spans="1:16" ht="15.6">
      <c r="A74" s="300"/>
      <c r="C74" s="301"/>
      <c r="D74" s="302"/>
      <c r="E74" s="302"/>
      <c r="F74" s="89"/>
      <c r="G74" s="89"/>
      <c r="H74" s="89"/>
      <c r="I74" s="89"/>
      <c r="J74" s="89"/>
      <c r="K74" s="303"/>
    </row>
    <row r="75" spans="1:16" ht="15.6">
      <c r="A75" s="300"/>
      <c r="C75" s="301"/>
      <c r="D75" s="302"/>
      <c r="E75" s="302"/>
      <c r="F75" s="89"/>
      <c r="G75" s="89"/>
      <c r="H75" s="89"/>
      <c r="I75" s="89"/>
      <c r="J75" s="89"/>
      <c r="K75" s="303"/>
    </row>
    <row r="76" spans="1:16" ht="15.6">
      <c r="A76" s="300"/>
      <c r="C76" s="301"/>
      <c r="D76" s="302"/>
      <c r="E76" s="302"/>
      <c r="F76" s="89"/>
      <c r="G76" s="89"/>
      <c r="H76" s="89"/>
      <c r="I76" s="89"/>
      <c r="J76" s="89"/>
      <c r="K76" s="303"/>
    </row>
    <row r="77" spans="1:16" ht="15.6">
      <c r="A77" s="300"/>
      <c r="C77" s="301"/>
      <c r="D77" s="302"/>
      <c r="E77" s="302"/>
      <c r="F77" s="89"/>
      <c r="G77" s="89"/>
      <c r="H77" s="89"/>
      <c r="I77" s="89"/>
      <c r="J77" s="89"/>
      <c r="K77" s="303"/>
    </row>
    <row r="78" spans="1:16" ht="15.6">
      <c r="A78" s="300"/>
      <c r="C78" s="301"/>
      <c r="D78" s="302"/>
      <c r="E78" s="302"/>
      <c r="F78" s="89"/>
      <c r="G78" s="89"/>
      <c r="H78" s="89"/>
      <c r="I78" s="89"/>
      <c r="J78" s="89"/>
      <c r="K78" s="303"/>
    </row>
    <row r="79" spans="1:16" ht="15.6">
      <c r="A79" s="300"/>
      <c r="C79" s="301"/>
      <c r="D79" s="302"/>
      <c r="E79" s="302"/>
      <c r="F79" s="89"/>
      <c r="G79" s="89"/>
      <c r="H79" s="89"/>
      <c r="I79" s="89"/>
      <c r="J79" s="89"/>
      <c r="K79" s="303"/>
    </row>
    <row r="80" spans="1:16" ht="15.6">
      <c r="A80" s="300"/>
      <c r="C80" s="301"/>
      <c r="D80" s="302"/>
      <c r="E80" s="302"/>
      <c r="F80" s="89"/>
      <c r="G80" s="89"/>
      <c r="H80" s="89"/>
      <c r="I80" s="89"/>
      <c r="J80" s="89"/>
      <c r="K80" s="303"/>
    </row>
    <row r="81" spans="1:11" ht="15.6">
      <c r="A81" s="300"/>
      <c r="C81" s="301"/>
      <c r="D81" s="302"/>
      <c r="E81" s="302"/>
      <c r="F81" s="89"/>
      <c r="G81" s="89"/>
      <c r="H81" s="89"/>
      <c r="I81" s="89"/>
      <c r="J81" s="89"/>
      <c r="K81" s="303"/>
    </row>
    <row r="82" spans="1:11" ht="15.6">
      <c r="A82" s="300"/>
      <c r="C82" s="301"/>
      <c r="D82" s="302"/>
      <c r="E82" s="302"/>
      <c r="F82" s="89"/>
      <c r="G82" s="89"/>
      <c r="H82" s="89"/>
      <c r="I82" s="89"/>
      <c r="J82" s="89"/>
      <c r="K82" s="303"/>
    </row>
    <row r="83" spans="1:11" ht="15.6">
      <c r="A83" s="300"/>
      <c r="C83" s="301"/>
      <c r="D83" s="302"/>
      <c r="E83" s="302"/>
      <c r="F83" s="89"/>
      <c r="G83" s="89"/>
      <c r="H83" s="89"/>
      <c r="I83" s="89"/>
      <c r="J83" s="89"/>
      <c r="K83" s="303"/>
    </row>
    <row r="84" spans="1:11" ht="15.6">
      <c r="A84" s="300"/>
      <c r="C84" s="301"/>
      <c r="D84" s="302"/>
      <c r="E84" s="302"/>
      <c r="F84" s="89"/>
      <c r="G84" s="89"/>
      <c r="H84" s="89"/>
      <c r="I84" s="89"/>
      <c r="J84" s="89"/>
      <c r="K84" s="303"/>
    </row>
    <row r="85" spans="1:11" ht="15.6">
      <c r="A85" s="300"/>
      <c r="C85" s="301"/>
      <c r="D85" s="302"/>
      <c r="E85" s="302"/>
      <c r="F85" s="89"/>
      <c r="G85" s="89"/>
      <c r="H85" s="89"/>
      <c r="I85" s="89"/>
      <c r="J85" s="89"/>
      <c r="K85" s="303"/>
    </row>
    <row r="86" spans="1:11" ht="15.6">
      <c r="A86" s="300"/>
      <c r="C86" s="301"/>
      <c r="D86" s="302"/>
      <c r="E86" s="302"/>
      <c r="F86" s="89"/>
      <c r="G86" s="89"/>
      <c r="H86" s="89"/>
      <c r="I86" s="89"/>
      <c r="J86" s="89"/>
      <c r="K86" s="303"/>
    </row>
    <row r="87" spans="1:11" ht="15.6">
      <c r="A87" s="300"/>
      <c r="C87" s="301"/>
      <c r="D87" s="302"/>
      <c r="E87" s="302"/>
      <c r="F87" s="89"/>
      <c r="G87" s="89"/>
      <c r="H87" s="89"/>
      <c r="I87" s="89"/>
      <c r="J87" s="89"/>
      <c r="K87" s="303"/>
    </row>
    <row r="88" spans="1:11" ht="15.6">
      <c r="A88" s="300"/>
      <c r="C88" s="301"/>
      <c r="D88" s="302"/>
      <c r="E88" s="302"/>
      <c r="F88" s="89"/>
      <c r="G88" s="89"/>
      <c r="H88" s="89"/>
      <c r="I88" s="89"/>
      <c r="J88" s="89"/>
      <c r="K88" s="303"/>
    </row>
    <row r="89" spans="1:11" ht="15.6">
      <c r="A89" s="300"/>
      <c r="C89" s="301"/>
      <c r="D89" s="302"/>
      <c r="E89" s="302"/>
      <c r="F89" s="89"/>
      <c r="G89" s="89"/>
      <c r="H89" s="89"/>
      <c r="I89" s="89"/>
      <c r="J89" s="89"/>
      <c r="K89" s="303"/>
    </row>
    <row r="90" spans="1:11" ht="15.6">
      <c r="A90" s="300"/>
      <c r="C90" s="301"/>
      <c r="D90" s="302"/>
      <c r="E90" s="302"/>
      <c r="F90" s="89"/>
      <c r="G90" s="89"/>
      <c r="H90" s="89"/>
      <c r="I90" s="89"/>
      <c r="J90" s="89"/>
      <c r="K90" s="303"/>
    </row>
    <row r="91" spans="1:11" ht="15.6">
      <c r="A91" s="300"/>
      <c r="C91" s="301"/>
      <c r="D91" s="302"/>
      <c r="E91" s="302"/>
      <c r="F91" s="89"/>
      <c r="G91" s="89"/>
      <c r="H91" s="89"/>
      <c r="I91" s="89"/>
      <c r="J91" s="89"/>
      <c r="K91" s="303"/>
    </row>
    <row r="92" spans="1:11" ht="15.6">
      <c r="A92" s="300"/>
      <c r="C92" s="301"/>
      <c r="D92" s="302"/>
      <c r="E92" s="302"/>
      <c r="F92" s="89"/>
      <c r="G92" s="89"/>
      <c r="H92" s="89"/>
      <c r="I92" s="89"/>
      <c r="J92" s="89"/>
      <c r="K92" s="303"/>
    </row>
    <row r="93" spans="1:11" ht="15.6">
      <c r="A93" s="300"/>
      <c r="C93" s="301"/>
      <c r="D93" s="302"/>
      <c r="E93" s="302"/>
      <c r="F93" s="89"/>
      <c r="G93" s="89"/>
      <c r="H93" s="89"/>
      <c r="I93" s="89"/>
      <c r="J93" s="89"/>
      <c r="K93" s="303"/>
    </row>
    <row r="94" spans="1:11" ht="15.6">
      <c r="A94" s="300"/>
      <c r="C94" s="301"/>
      <c r="D94" s="302"/>
      <c r="E94" s="302"/>
      <c r="F94" s="89"/>
      <c r="G94" s="89"/>
      <c r="H94" s="89"/>
      <c r="I94" s="89"/>
      <c r="J94" s="89"/>
      <c r="K94" s="303"/>
    </row>
    <row r="95" spans="1:11" ht="15.6">
      <c r="A95" s="300"/>
      <c r="C95" s="301"/>
      <c r="D95" s="302"/>
      <c r="E95" s="302"/>
      <c r="F95" s="89"/>
      <c r="G95" s="89"/>
      <c r="H95" s="89"/>
      <c r="I95" s="89"/>
      <c r="J95" s="89"/>
      <c r="K95" s="303"/>
    </row>
    <row r="96" spans="1:11" ht="15.6">
      <c r="A96" s="300"/>
      <c r="C96" s="301"/>
      <c r="D96" s="302"/>
      <c r="E96" s="302"/>
      <c r="F96" s="89"/>
      <c r="G96" s="89"/>
      <c r="H96" s="89"/>
      <c r="I96" s="89"/>
      <c r="J96" s="89"/>
      <c r="K96" s="303"/>
    </row>
    <row r="97" spans="1:11" ht="15.6">
      <c r="A97" s="300"/>
      <c r="C97" s="301"/>
      <c r="D97" s="302"/>
      <c r="E97" s="302"/>
      <c r="F97" s="89"/>
      <c r="G97" s="89"/>
      <c r="H97" s="89"/>
      <c r="I97" s="89"/>
      <c r="J97" s="89"/>
      <c r="K97" s="303"/>
    </row>
    <row r="98" spans="1:11" ht="15.6">
      <c r="A98" s="300"/>
      <c r="C98" s="301"/>
      <c r="D98" s="302"/>
      <c r="E98" s="302"/>
      <c r="F98" s="89"/>
      <c r="G98" s="89"/>
      <c r="H98" s="89"/>
      <c r="I98" s="89"/>
      <c r="J98" s="89"/>
      <c r="K98" s="303"/>
    </row>
    <row r="99" spans="1:11" ht="15.6">
      <c r="A99" s="300"/>
      <c r="C99" s="301"/>
      <c r="D99" s="302"/>
      <c r="E99" s="302"/>
      <c r="F99" s="89"/>
      <c r="G99" s="89"/>
      <c r="H99" s="89"/>
      <c r="I99" s="89"/>
      <c r="J99" s="89"/>
      <c r="K99" s="303"/>
    </row>
    <row r="100" spans="1:11" ht="15.6">
      <c r="A100" s="300"/>
      <c r="C100" s="301"/>
      <c r="D100" s="302"/>
      <c r="E100" s="302"/>
      <c r="F100" s="89"/>
      <c r="G100" s="89"/>
      <c r="H100" s="89"/>
      <c r="I100" s="89"/>
      <c r="J100" s="89"/>
      <c r="K100" s="303"/>
    </row>
    <row r="101" spans="1:11" ht="15.6">
      <c r="A101" s="300"/>
      <c r="C101" s="301"/>
      <c r="D101" s="302"/>
      <c r="E101" s="302"/>
      <c r="F101" s="89"/>
      <c r="G101" s="89"/>
      <c r="H101" s="89"/>
      <c r="I101" s="89"/>
      <c r="J101" s="89"/>
      <c r="K101" s="303"/>
    </row>
    <row r="102" spans="1:11" ht="15.6">
      <c r="A102" s="300"/>
      <c r="C102" s="301"/>
      <c r="D102" s="302"/>
      <c r="E102" s="302"/>
      <c r="F102" s="89"/>
      <c r="G102" s="89"/>
      <c r="H102" s="89"/>
      <c r="I102" s="89"/>
      <c r="J102" s="89"/>
      <c r="K102" s="303"/>
    </row>
    <row r="103" spans="1:11" ht="15.6">
      <c r="A103" s="300"/>
      <c r="C103" s="301"/>
      <c r="D103" s="302"/>
      <c r="E103" s="302"/>
      <c r="F103" s="89"/>
      <c r="G103" s="89"/>
      <c r="H103" s="89"/>
      <c r="I103" s="89"/>
      <c r="J103" s="89"/>
      <c r="K103" s="303"/>
    </row>
    <row r="104" spans="1:11" ht="15.6">
      <c r="A104" s="300"/>
      <c r="C104" s="301"/>
      <c r="D104" s="302"/>
      <c r="E104" s="302"/>
      <c r="F104" s="89"/>
      <c r="G104" s="89"/>
      <c r="H104" s="89"/>
      <c r="I104" s="89"/>
      <c r="J104" s="89"/>
      <c r="K104" s="303"/>
    </row>
    <row r="105" spans="1:11" ht="15.6">
      <c r="A105" s="300"/>
      <c r="C105" s="301"/>
      <c r="D105" s="302"/>
      <c r="E105" s="302"/>
      <c r="F105" s="89"/>
      <c r="G105" s="89"/>
      <c r="H105" s="89"/>
      <c r="I105" s="89"/>
      <c r="J105" s="89"/>
      <c r="K105" s="303"/>
    </row>
    <row r="106" spans="1:11" ht="15.6">
      <c r="A106" s="300"/>
      <c r="C106" s="301"/>
      <c r="D106" s="302"/>
      <c r="E106" s="302"/>
      <c r="F106" s="89"/>
      <c r="G106" s="89"/>
      <c r="H106" s="89"/>
      <c r="I106" s="89"/>
      <c r="J106" s="89"/>
      <c r="K106" s="303"/>
    </row>
    <row r="107" spans="1:11" ht="15.6">
      <c r="A107" s="300"/>
      <c r="C107" s="301"/>
      <c r="D107" s="302"/>
      <c r="E107" s="302"/>
      <c r="F107" s="89"/>
      <c r="G107" s="89"/>
      <c r="H107" s="89"/>
      <c r="I107" s="89"/>
      <c r="J107" s="89"/>
      <c r="K107" s="303"/>
    </row>
    <row r="108" spans="1:11" ht="15.6">
      <c r="A108" s="300"/>
      <c r="C108" s="301"/>
      <c r="D108" s="302"/>
      <c r="E108" s="302"/>
      <c r="F108" s="89"/>
      <c r="G108" s="89"/>
      <c r="H108" s="89"/>
      <c r="I108" s="89"/>
      <c r="J108" s="89"/>
      <c r="K108" s="303"/>
    </row>
    <row r="109" spans="1:11" ht="15.6">
      <c r="A109" s="300"/>
      <c r="C109" s="301"/>
      <c r="D109" s="302"/>
      <c r="E109" s="302"/>
      <c r="F109" s="89"/>
      <c r="G109" s="89"/>
      <c r="H109" s="89"/>
      <c r="I109" s="89"/>
      <c r="J109" s="89"/>
      <c r="K109" s="303"/>
    </row>
    <row r="110" spans="1:11" ht="15.6">
      <c r="A110" s="300"/>
      <c r="C110" s="301"/>
      <c r="D110" s="302"/>
      <c r="E110" s="302"/>
      <c r="F110" s="89"/>
      <c r="G110" s="89"/>
      <c r="H110" s="89"/>
      <c r="I110" s="89"/>
      <c r="J110" s="89"/>
      <c r="K110" s="303"/>
    </row>
    <row r="111" spans="1:11" ht="15.6">
      <c r="A111" s="300"/>
      <c r="C111" s="301"/>
      <c r="D111" s="302"/>
      <c r="E111" s="302"/>
      <c r="F111" s="89"/>
      <c r="G111" s="89"/>
      <c r="H111" s="89"/>
      <c r="I111" s="89"/>
      <c r="J111" s="89"/>
      <c r="K111" s="303"/>
    </row>
    <row r="112" spans="1:11" ht="15.6">
      <c r="A112" s="300"/>
      <c r="C112" s="301"/>
      <c r="D112" s="302"/>
      <c r="E112" s="302"/>
      <c r="F112" s="89"/>
      <c r="G112" s="89"/>
      <c r="H112" s="89"/>
      <c r="I112" s="89"/>
      <c r="J112" s="89"/>
      <c r="K112" s="303"/>
    </row>
    <row r="113" spans="1:11" ht="15.6">
      <c r="A113" s="300"/>
      <c r="C113" s="301"/>
      <c r="D113" s="302"/>
      <c r="E113" s="302"/>
      <c r="F113" s="89"/>
      <c r="G113" s="89"/>
      <c r="H113" s="89"/>
      <c r="I113" s="89"/>
      <c r="J113" s="89"/>
      <c r="K113" s="303"/>
    </row>
    <row r="114" spans="1:11" ht="15.6">
      <c r="A114" s="300"/>
      <c r="C114" s="301"/>
      <c r="D114" s="302"/>
      <c r="E114" s="302"/>
      <c r="F114" s="89"/>
      <c r="G114" s="89"/>
      <c r="H114" s="89"/>
      <c r="I114" s="89"/>
      <c r="J114" s="89"/>
      <c r="K114" s="303"/>
    </row>
    <row r="115" spans="1:11" ht="15.6">
      <c r="A115" s="300"/>
      <c r="C115" s="301"/>
      <c r="D115" s="302"/>
      <c r="E115" s="302"/>
      <c r="F115" s="89"/>
      <c r="G115" s="89"/>
      <c r="H115" s="89"/>
      <c r="I115" s="89"/>
      <c r="J115" s="89"/>
      <c r="K115" s="303"/>
    </row>
    <row r="116" spans="1:11" ht="15.6">
      <c r="A116" s="300"/>
      <c r="C116" s="301"/>
      <c r="D116" s="302"/>
      <c r="E116" s="302"/>
      <c r="F116" s="89"/>
      <c r="G116" s="89"/>
      <c r="H116" s="89"/>
      <c r="I116" s="89"/>
      <c r="J116" s="89"/>
      <c r="K116" s="303"/>
    </row>
    <row r="117" spans="1:11" ht="15.6">
      <c r="A117" s="300"/>
      <c r="C117" s="301"/>
      <c r="D117" s="302"/>
      <c r="E117" s="302"/>
      <c r="F117" s="89"/>
      <c r="G117" s="89"/>
      <c r="H117" s="89"/>
      <c r="I117" s="89"/>
      <c r="J117" s="89"/>
      <c r="K117" s="303"/>
    </row>
    <row r="118" spans="1:11" ht="15.6">
      <c r="A118" s="300"/>
      <c r="C118" s="301"/>
      <c r="D118" s="302"/>
      <c r="E118" s="302"/>
      <c r="F118" s="89"/>
      <c r="G118" s="89"/>
      <c r="H118" s="89"/>
      <c r="I118" s="89"/>
      <c r="J118" s="89"/>
      <c r="K118" s="303"/>
    </row>
    <row r="119" spans="1:11" ht="15.6">
      <c r="A119" s="300"/>
      <c r="C119" s="301"/>
      <c r="D119" s="302"/>
      <c r="E119" s="302"/>
      <c r="F119" s="89"/>
      <c r="G119" s="89"/>
      <c r="H119" s="89"/>
      <c r="I119" s="89"/>
      <c r="J119" s="89"/>
      <c r="K119" s="303"/>
    </row>
    <row r="120" spans="1:11" ht="15.6">
      <c r="A120" s="300"/>
      <c r="C120" s="301"/>
      <c r="D120" s="302"/>
      <c r="E120" s="302"/>
      <c r="F120" s="89"/>
      <c r="G120" s="89"/>
      <c r="H120" s="89"/>
      <c r="I120" s="89"/>
      <c r="J120" s="89"/>
      <c r="K120" s="303"/>
    </row>
    <row r="121" spans="1:11" ht="15.6">
      <c r="A121" s="300"/>
      <c r="C121" s="301"/>
      <c r="D121" s="302"/>
      <c r="E121" s="302"/>
      <c r="F121" s="89"/>
      <c r="G121" s="89"/>
      <c r="H121" s="89"/>
      <c r="I121" s="89"/>
      <c r="J121" s="89"/>
      <c r="K121" s="303"/>
    </row>
    <row r="122" spans="1:11" ht="15.6">
      <c r="A122" s="300"/>
      <c r="C122" s="301"/>
      <c r="D122" s="302"/>
      <c r="E122" s="302"/>
      <c r="F122" s="89"/>
      <c r="G122" s="89"/>
      <c r="H122" s="89"/>
      <c r="I122" s="89"/>
      <c r="J122" s="89"/>
      <c r="K122" s="303"/>
    </row>
    <row r="123" spans="1:11" ht="15.6">
      <c r="A123" s="300"/>
      <c r="C123" s="301"/>
      <c r="D123" s="302"/>
      <c r="E123" s="302"/>
      <c r="F123" s="89"/>
      <c r="G123" s="89"/>
      <c r="H123" s="89"/>
      <c r="I123" s="89"/>
      <c r="J123" s="89"/>
      <c r="K123" s="303"/>
    </row>
    <row r="124" spans="1:11" ht="15.6">
      <c r="A124" s="300"/>
      <c r="C124" s="301"/>
      <c r="D124" s="302"/>
      <c r="E124" s="302"/>
      <c r="F124" s="89"/>
      <c r="G124" s="89"/>
      <c r="H124" s="89"/>
      <c r="I124" s="89"/>
      <c r="J124" s="89"/>
      <c r="K124" s="303"/>
    </row>
    <row r="125" spans="1:11" ht="15.6">
      <c r="A125" s="300"/>
      <c r="C125" s="301"/>
      <c r="D125" s="302"/>
      <c r="E125" s="302"/>
      <c r="F125" s="89"/>
      <c r="G125" s="89"/>
      <c r="H125" s="89"/>
      <c r="I125" s="89"/>
      <c r="J125" s="89"/>
      <c r="K125" s="303"/>
    </row>
    <row r="126" spans="1:11" ht="15.6">
      <c r="A126" s="300"/>
      <c r="C126" s="301"/>
      <c r="D126" s="302"/>
      <c r="E126" s="302"/>
      <c r="F126" s="89"/>
      <c r="G126" s="89"/>
      <c r="H126" s="89"/>
      <c r="I126" s="89"/>
      <c r="J126" s="89"/>
      <c r="K126" s="303"/>
    </row>
    <row r="127" spans="1:11" ht="15.6">
      <c r="A127" s="300"/>
      <c r="C127" s="301"/>
      <c r="D127" s="302"/>
      <c r="E127" s="302"/>
      <c r="F127" s="89"/>
      <c r="G127" s="89"/>
      <c r="H127" s="89"/>
      <c r="I127" s="89"/>
      <c r="J127" s="89"/>
      <c r="K127" s="303"/>
    </row>
    <row r="128" spans="1:11" ht="15.6">
      <c r="A128" s="300"/>
      <c r="C128" s="301"/>
      <c r="D128" s="302"/>
      <c r="E128" s="302"/>
      <c r="F128" s="89"/>
      <c r="G128" s="89"/>
      <c r="H128" s="89"/>
      <c r="I128" s="89"/>
      <c r="J128" s="89"/>
      <c r="K128" s="303"/>
    </row>
    <row r="129" spans="1:11" ht="15.6">
      <c r="A129" s="300"/>
      <c r="C129" s="301"/>
      <c r="D129" s="302"/>
      <c r="E129" s="302"/>
      <c r="F129" s="89"/>
      <c r="G129" s="89"/>
      <c r="H129" s="89"/>
      <c r="I129" s="89"/>
      <c r="J129" s="89"/>
      <c r="K129" s="303"/>
    </row>
    <row r="130" spans="1:11" ht="15.6">
      <c r="A130" s="300"/>
      <c r="C130" s="301"/>
      <c r="D130" s="302"/>
      <c r="E130" s="302"/>
      <c r="F130" s="89"/>
      <c r="G130" s="89"/>
      <c r="H130" s="89"/>
      <c r="I130" s="89"/>
      <c r="J130" s="89"/>
      <c r="K130" s="303"/>
    </row>
    <row r="131" spans="1:11" ht="15.6">
      <c r="A131" s="300"/>
      <c r="C131" s="301"/>
      <c r="D131" s="302"/>
      <c r="E131" s="302"/>
      <c r="F131" s="89"/>
      <c r="G131" s="89"/>
      <c r="H131" s="89"/>
      <c r="I131" s="89"/>
      <c r="J131" s="89"/>
      <c r="K131" s="303"/>
    </row>
    <row r="132" spans="1:11" ht="15.6">
      <c r="A132" s="300"/>
      <c r="C132" s="301"/>
      <c r="D132" s="302"/>
      <c r="E132" s="302"/>
      <c r="F132" s="89"/>
      <c r="G132" s="89"/>
      <c r="H132" s="89"/>
      <c r="I132" s="89"/>
      <c r="J132" s="89"/>
      <c r="K132" s="303"/>
    </row>
    <row r="133" spans="1:11" ht="15.6">
      <c r="A133" s="300"/>
      <c r="C133" s="301"/>
      <c r="D133" s="302"/>
      <c r="E133" s="302"/>
      <c r="F133" s="89"/>
      <c r="G133" s="89"/>
      <c r="H133" s="89"/>
      <c r="I133" s="89"/>
      <c r="J133" s="89"/>
      <c r="K133" s="303"/>
    </row>
    <row r="134" spans="1:11" ht="15.6">
      <c r="A134" s="300"/>
      <c r="C134" s="301"/>
      <c r="D134" s="302"/>
      <c r="E134" s="302"/>
      <c r="F134" s="89"/>
      <c r="G134" s="89"/>
      <c r="H134" s="89"/>
      <c r="I134" s="89"/>
      <c r="J134" s="89"/>
      <c r="K134" s="303"/>
    </row>
    <row r="135" spans="1:11" ht="15.6">
      <c r="A135" s="300"/>
      <c r="C135" s="301"/>
      <c r="D135" s="302"/>
      <c r="E135" s="302"/>
      <c r="F135" s="89"/>
      <c r="G135" s="89"/>
      <c r="H135" s="89"/>
      <c r="I135" s="89"/>
      <c r="J135" s="89"/>
      <c r="K135" s="303"/>
    </row>
    <row r="136" spans="1:11" ht="15.6">
      <c r="A136" s="300"/>
      <c r="C136" s="301"/>
      <c r="D136" s="302"/>
      <c r="E136" s="302"/>
      <c r="F136" s="89"/>
      <c r="G136" s="89"/>
      <c r="H136" s="89"/>
      <c r="I136" s="89"/>
      <c r="J136" s="89"/>
      <c r="K136" s="303"/>
    </row>
    <row r="137" spans="1:11" ht="15.6">
      <c r="A137" s="300"/>
      <c r="C137" s="301"/>
      <c r="D137" s="302"/>
      <c r="E137" s="302"/>
      <c r="F137" s="89"/>
      <c r="G137" s="89"/>
      <c r="H137" s="89"/>
      <c r="I137" s="89"/>
      <c r="J137" s="89"/>
      <c r="K137" s="303"/>
    </row>
    <row r="138" spans="1:11" ht="15.6">
      <c r="A138" s="300"/>
      <c r="C138" s="301"/>
      <c r="D138" s="302"/>
      <c r="E138" s="302"/>
      <c r="F138" s="89"/>
      <c r="G138" s="89"/>
      <c r="H138" s="89"/>
      <c r="I138" s="89"/>
      <c r="J138" s="89"/>
      <c r="K138" s="303"/>
    </row>
    <row r="139" spans="1:11" ht="15.6">
      <c r="A139" s="300"/>
      <c r="C139" s="301"/>
      <c r="D139" s="302"/>
      <c r="E139" s="302"/>
      <c r="F139" s="89"/>
      <c r="G139" s="89"/>
      <c r="H139" s="89"/>
      <c r="I139" s="89"/>
      <c r="J139" s="89"/>
      <c r="K139" s="303"/>
    </row>
    <row r="140" spans="1:11" ht="15.6">
      <c r="A140" s="300"/>
      <c r="C140" s="301"/>
      <c r="D140" s="302"/>
      <c r="E140" s="302"/>
      <c r="F140" s="89"/>
      <c r="G140" s="89"/>
      <c r="H140" s="89"/>
      <c r="I140" s="89"/>
      <c r="J140" s="89"/>
      <c r="K140" s="303"/>
    </row>
    <row r="141" spans="1:11" ht="15.6">
      <c r="A141" s="300"/>
      <c r="C141" s="301"/>
      <c r="D141" s="302"/>
      <c r="E141" s="302"/>
      <c r="F141" s="89"/>
      <c r="G141" s="89"/>
      <c r="H141" s="89"/>
      <c r="I141" s="89"/>
      <c r="J141" s="89"/>
      <c r="K141" s="303"/>
    </row>
    <row r="142" spans="1:11" ht="15.6">
      <c r="A142" s="300"/>
      <c r="C142" s="301"/>
      <c r="D142" s="302"/>
      <c r="E142" s="302"/>
      <c r="F142" s="89"/>
      <c r="G142" s="89"/>
      <c r="H142" s="89"/>
      <c r="I142" s="89"/>
      <c r="J142" s="89"/>
      <c r="K142" s="303"/>
    </row>
    <row r="143" spans="1:11" ht="15.6">
      <c r="A143" s="300"/>
      <c r="C143" s="301"/>
      <c r="D143" s="302"/>
      <c r="E143" s="302"/>
      <c r="F143" s="89"/>
      <c r="G143" s="89"/>
      <c r="H143" s="89"/>
      <c r="I143" s="89"/>
      <c r="J143" s="89"/>
      <c r="K143" s="303"/>
    </row>
    <row r="144" spans="1:11" ht="15.6">
      <c r="A144" s="300"/>
      <c r="C144" s="301"/>
      <c r="D144" s="302"/>
      <c r="E144" s="302"/>
      <c r="F144" s="89"/>
      <c r="G144" s="89"/>
      <c r="H144" s="89"/>
      <c r="I144" s="89"/>
      <c r="J144" s="89"/>
      <c r="K144" s="303"/>
    </row>
    <row r="145" spans="1:11" ht="15.6">
      <c r="A145" s="300"/>
      <c r="C145" s="301"/>
      <c r="D145" s="302"/>
      <c r="E145" s="302"/>
      <c r="F145" s="89"/>
      <c r="G145" s="89"/>
      <c r="H145" s="89"/>
      <c r="I145" s="89"/>
      <c r="J145" s="89"/>
      <c r="K145" s="303"/>
    </row>
    <row r="146" spans="1:11" ht="15.6">
      <c r="A146" s="300"/>
      <c r="C146" s="301"/>
      <c r="D146" s="302"/>
      <c r="E146" s="302"/>
      <c r="F146" s="89"/>
      <c r="G146" s="89"/>
      <c r="H146" s="89"/>
      <c r="I146" s="89"/>
      <c r="J146" s="89"/>
      <c r="K146" s="303"/>
    </row>
    <row r="147" spans="1:11" ht="15.6">
      <c r="A147" s="300"/>
      <c r="C147" s="301"/>
      <c r="D147" s="302"/>
      <c r="E147" s="302"/>
      <c r="F147" s="89"/>
      <c r="G147" s="89"/>
      <c r="H147" s="89"/>
      <c r="I147" s="89"/>
      <c r="J147" s="89"/>
      <c r="K147" s="303"/>
    </row>
    <row r="148" spans="1:11" ht="15.6">
      <c r="A148" s="300"/>
      <c r="C148" s="301"/>
      <c r="D148" s="302"/>
      <c r="E148" s="302"/>
      <c r="F148" s="89"/>
      <c r="G148" s="89"/>
      <c r="H148" s="89"/>
      <c r="I148" s="89"/>
      <c r="J148" s="89"/>
      <c r="K148" s="303"/>
    </row>
    <row r="149" spans="1:11" ht="15.6">
      <c r="A149" s="300"/>
      <c r="C149" s="301"/>
      <c r="D149" s="302"/>
      <c r="E149" s="302"/>
      <c r="F149" s="89"/>
      <c r="G149" s="89"/>
      <c r="H149" s="89"/>
      <c r="I149" s="89"/>
      <c r="J149" s="89"/>
      <c r="K149" s="303"/>
    </row>
    <row r="150" spans="1:11" ht="15.6">
      <c r="A150" s="300"/>
      <c r="C150" s="301"/>
      <c r="D150" s="302"/>
      <c r="E150" s="302"/>
      <c r="F150" s="89"/>
      <c r="G150" s="89"/>
      <c r="H150" s="89"/>
      <c r="I150" s="89"/>
      <c r="J150" s="89"/>
      <c r="K150" s="303"/>
    </row>
    <row r="151" spans="1:11" ht="15.6">
      <c r="A151" s="300"/>
      <c r="C151" s="301"/>
      <c r="D151" s="302"/>
      <c r="E151" s="302"/>
      <c r="F151" s="89"/>
      <c r="G151" s="89"/>
      <c r="H151" s="89"/>
      <c r="I151" s="89"/>
      <c r="J151" s="89"/>
      <c r="K151" s="303"/>
    </row>
    <row r="152" spans="1:11" ht="15.6">
      <c r="A152" s="300"/>
      <c r="C152" s="301"/>
      <c r="D152" s="302"/>
      <c r="E152" s="302"/>
      <c r="F152" s="89"/>
      <c r="G152" s="89"/>
      <c r="H152" s="89"/>
      <c r="I152" s="89"/>
      <c r="J152" s="89"/>
      <c r="K152" s="303"/>
    </row>
    <row r="153" spans="1:11" ht="15.6">
      <c r="A153" s="300"/>
      <c r="C153" s="301"/>
      <c r="D153" s="302"/>
      <c r="E153" s="302"/>
      <c r="F153" s="89"/>
      <c r="G153" s="89"/>
      <c r="H153" s="89"/>
      <c r="I153" s="89"/>
      <c r="J153" s="89"/>
      <c r="K153" s="303"/>
    </row>
    <row r="154" spans="1:11" ht="15.6">
      <c r="A154" s="300"/>
      <c r="C154" s="301"/>
      <c r="D154" s="302"/>
      <c r="E154" s="302"/>
      <c r="F154" s="89"/>
      <c r="G154" s="89"/>
      <c r="H154" s="89"/>
      <c r="I154" s="89"/>
      <c r="J154" s="89"/>
      <c r="K154" s="303"/>
    </row>
    <row r="155" spans="1:11" ht="15.6">
      <c r="A155" s="300"/>
      <c r="C155" s="301"/>
      <c r="D155" s="302"/>
      <c r="E155" s="302"/>
      <c r="F155" s="89"/>
      <c r="G155" s="89"/>
      <c r="H155" s="89"/>
      <c r="I155" s="89"/>
      <c r="J155" s="89"/>
      <c r="K155" s="303"/>
    </row>
    <row r="156" spans="1:11" ht="15.6">
      <c r="A156" s="300"/>
      <c r="C156" s="301"/>
      <c r="D156" s="302"/>
      <c r="E156" s="302"/>
      <c r="F156" s="89"/>
      <c r="G156" s="89"/>
      <c r="H156" s="89"/>
      <c r="I156" s="89"/>
      <c r="J156" s="89"/>
      <c r="K156" s="303"/>
    </row>
    <row r="157" spans="1:11" ht="15.6">
      <c r="A157" s="300"/>
      <c r="C157" s="301"/>
      <c r="D157" s="302"/>
      <c r="E157" s="302"/>
      <c r="F157" s="89"/>
      <c r="G157" s="89"/>
      <c r="H157" s="89"/>
      <c r="I157" s="89"/>
      <c r="J157" s="89"/>
      <c r="K157" s="303"/>
    </row>
    <row r="158" spans="1:11" ht="15.6">
      <c r="A158" s="300"/>
      <c r="C158" s="301"/>
      <c r="D158" s="302"/>
      <c r="E158" s="302"/>
      <c r="F158" s="89"/>
      <c r="G158" s="89"/>
      <c r="H158" s="89"/>
      <c r="I158" s="89"/>
      <c r="J158" s="89"/>
      <c r="K158" s="303"/>
    </row>
    <row r="159" spans="1:11" ht="15.6">
      <c r="A159" s="300"/>
      <c r="C159" s="301"/>
      <c r="D159" s="302"/>
      <c r="E159" s="302"/>
      <c r="F159" s="89"/>
      <c r="G159" s="89"/>
      <c r="H159" s="89"/>
      <c r="I159" s="89"/>
      <c r="J159" s="89"/>
      <c r="K159" s="303"/>
    </row>
    <row r="160" spans="1:11" ht="15.6">
      <c r="A160" s="300"/>
      <c r="C160" s="301"/>
      <c r="D160" s="302"/>
      <c r="E160" s="302"/>
      <c r="F160" s="89"/>
      <c r="G160" s="89"/>
      <c r="H160" s="89"/>
      <c r="I160" s="89"/>
      <c r="J160" s="89"/>
      <c r="K160" s="303"/>
    </row>
    <row r="161" spans="1:11" ht="15.6">
      <c r="A161" s="300"/>
      <c r="C161" s="301"/>
      <c r="D161" s="302"/>
      <c r="E161" s="302"/>
      <c r="F161" s="89"/>
      <c r="G161" s="89"/>
      <c r="H161" s="89"/>
      <c r="I161" s="89"/>
      <c r="J161" s="89"/>
      <c r="K161" s="303"/>
    </row>
    <row r="162" spans="1:11" ht="15.6">
      <c r="A162" s="300"/>
      <c r="C162" s="301"/>
      <c r="D162" s="302"/>
      <c r="E162" s="302"/>
      <c r="F162" s="89"/>
      <c r="G162" s="89"/>
      <c r="H162" s="89"/>
      <c r="I162" s="89"/>
      <c r="J162" s="89"/>
      <c r="K162" s="303"/>
    </row>
    <row r="163" spans="1:11" ht="15.6">
      <c r="A163" s="300"/>
      <c r="C163" s="301"/>
      <c r="D163" s="302"/>
      <c r="E163" s="302"/>
      <c r="F163" s="89"/>
      <c r="G163" s="89"/>
      <c r="H163" s="89"/>
      <c r="I163" s="89"/>
      <c r="J163" s="89"/>
      <c r="K163" s="303"/>
    </row>
    <row r="164" spans="1:11" ht="15.6">
      <c r="A164" s="300"/>
      <c r="C164" s="301"/>
      <c r="D164" s="302"/>
      <c r="E164" s="302"/>
      <c r="F164" s="89"/>
      <c r="G164" s="89"/>
      <c r="H164" s="89"/>
      <c r="I164" s="89"/>
      <c r="J164" s="89"/>
      <c r="K164" s="303"/>
    </row>
    <row r="165" spans="1:11" ht="15.6">
      <c r="A165" s="300"/>
      <c r="C165" s="301"/>
      <c r="D165" s="302"/>
      <c r="E165" s="302"/>
      <c r="F165" s="89"/>
      <c r="G165" s="89"/>
      <c r="H165" s="89"/>
      <c r="I165" s="89"/>
      <c r="J165" s="89"/>
      <c r="K165" s="303"/>
    </row>
    <row r="166" spans="1:11" ht="15.6">
      <c r="A166" s="300"/>
      <c r="C166" s="301"/>
      <c r="D166" s="302"/>
      <c r="E166" s="302"/>
      <c r="F166" s="89"/>
      <c r="G166" s="89"/>
      <c r="H166" s="89"/>
      <c r="I166" s="89"/>
      <c r="J166" s="89"/>
      <c r="K166" s="303"/>
    </row>
    <row r="167" spans="1:11" ht="15.6">
      <c r="A167" s="300"/>
      <c r="C167" s="301"/>
      <c r="D167" s="302"/>
      <c r="E167" s="302"/>
      <c r="F167" s="89"/>
      <c r="G167" s="89"/>
      <c r="H167" s="89"/>
      <c r="I167" s="89"/>
      <c r="J167" s="89"/>
      <c r="K167" s="303"/>
    </row>
    <row r="168" spans="1:11" ht="15.6">
      <c r="A168" s="300"/>
      <c r="C168" s="301"/>
      <c r="D168" s="302"/>
      <c r="E168" s="302"/>
      <c r="F168" s="89"/>
      <c r="G168" s="89"/>
      <c r="H168" s="89"/>
      <c r="I168" s="89"/>
      <c r="J168" s="89"/>
      <c r="K168" s="303"/>
    </row>
    <row r="169" spans="1:11" ht="15.6">
      <c r="A169" s="300"/>
      <c r="C169" s="301"/>
      <c r="D169" s="302"/>
      <c r="E169" s="302"/>
      <c r="F169" s="89"/>
      <c r="G169" s="89"/>
      <c r="H169" s="89"/>
      <c r="I169" s="89"/>
      <c r="J169" s="89"/>
      <c r="K169" s="303"/>
    </row>
    <row r="170" spans="1:11" ht="15.6">
      <c r="A170" s="300"/>
      <c r="C170" s="301"/>
      <c r="D170" s="302"/>
      <c r="E170" s="302"/>
      <c r="F170" s="89"/>
      <c r="G170" s="89"/>
      <c r="H170" s="89"/>
      <c r="I170" s="89"/>
      <c r="J170" s="89"/>
      <c r="K170" s="303"/>
    </row>
    <row r="171" spans="1:11" ht="15.6">
      <c r="A171" s="300"/>
      <c r="C171" s="301"/>
      <c r="D171" s="302"/>
      <c r="E171" s="302"/>
      <c r="F171" s="89"/>
      <c r="G171" s="89"/>
      <c r="H171" s="89"/>
      <c r="I171" s="89"/>
      <c r="J171" s="89"/>
      <c r="K171" s="303"/>
    </row>
    <row r="172" spans="1:11" ht="15.6">
      <c r="A172" s="300"/>
      <c r="C172" s="301"/>
      <c r="D172" s="302"/>
      <c r="E172" s="302"/>
      <c r="F172" s="89"/>
      <c r="G172" s="89"/>
      <c r="H172" s="89"/>
      <c r="I172" s="89"/>
      <c r="J172" s="89"/>
      <c r="K172" s="303"/>
    </row>
    <row r="173" spans="1:11" ht="15.6">
      <c r="A173" s="300"/>
      <c r="C173" s="301"/>
      <c r="D173" s="302"/>
      <c r="E173" s="302"/>
      <c r="F173" s="89"/>
      <c r="G173" s="89"/>
      <c r="H173" s="89"/>
      <c r="I173" s="89"/>
      <c r="J173" s="89"/>
      <c r="K173" s="303"/>
    </row>
    <row r="174" spans="1:11" ht="15.6">
      <c r="A174" s="300"/>
      <c r="C174" s="301"/>
      <c r="D174" s="302"/>
      <c r="E174" s="302"/>
      <c r="F174" s="89"/>
      <c r="G174" s="89"/>
      <c r="H174" s="89"/>
      <c r="I174" s="89"/>
      <c r="J174" s="89"/>
      <c r="K174" s="303"/>
    </row>
    <row r="175" spans="1:11" ht="15.6">
      <c r="A175" s="300"/>
      <c r="C175" s="301"/>
      <c r="D175" s="302"/>
      <c r="E175" s="302"/>
      <c r="F175" s="89"/>
      <c r="G175" s="89"/>
      <c r="H175" s="89"/>
      <c r="I175" s="89"/>
      <c r="J175" s="89"/>
      <c r="K175" s="303"/>
    </row>
    <row r="176" spans="1:11" ht="15.6">
      <c r="A176" s="300"/>
      <c r="C176" s="301"/>
      <c r="D176" s="302"/>
      <c r="E176" s="302"/>
      <c r="F176" s="89"/>
      <c r="G176" s="89"/>
      <c r="H176" s="89"/>
      <c r="I176" s="89"/>
      <c r="J176" s="89"/>
      <c r="K176" s="303"/>
    </row>
    <row r="177" spans="1:11" ht="15.6">
      <c r="A177" s="300"/>
      <c r="C177" s="301"/>
      <c r="D177" s="302"/>
      <c r="E177" s="302"/>
      <c r="F177" s="89"/>
      <c r="G177" s="89"/>
      <c r="H177" s="89"/>
      <c r="I177" s="89"/>
      <c r="J177" s="89"/>
      <c r="K177" s="303"/>
    </row>
    <row r="178" spans="1:11" ht="15.6">
      <c r="A178" s="300"/>
      <c r="C178" s="301"/>
      <c r="D178" s="302"/>
      <c r="E178" s="302"/>
      <c r="F178" s="89"/>
      <c r="G178" s="89"/>
      <c r="H178" s="89"/>
      <c r="I178" s="89"/>
      <c r="J178" s="89"/>
      <c r="K178" s="303"/>
    </row>
    <row r="179" spans="1:11" ht="15.6">
      <c r="A179" s="300"/>
      <c r="C179" s="301"/>
      <c r="D179" s="302"/>
      <c r="E179" s="302"/>
      <c r="F179" s="89"/>
      <c r="G179" s="89"/>
      <c r="H179" s="89"/>
      <c r="I179" s="89"/>
      <c r="J179" s="89"/>
      <c r="K179" s="303"/>
    </row>
    <row r="180" spans="1:11" ht="15.6">
      <c r="A180" s="300"/>
      <c r="C180" s="301"/>
      <c r="D180" s="302"/>
      <c r="E180" s="302"/>
      <c r="F180" s="89"/>
      <c r="G180" s="89"/>
      <c r="H180" s="89"/>
      <c r="I180" s="89"/>
      <c r="J180" s="89"/>
      <c r="K180" s="303"/>
    </row>
    <row r="181" spans="1:11" ht="15.6">
      <c r="A181" s="300"/>
      <c r="C181" s="301"/>
      <c r="D181" s="302"/>
      <c r="E181" s="302"/>
      <c r="F181" s="89"/>
      <c r="G181" s="89"/>
      <c r="H181" s="89"/>
      <c r="I181" s="89"/>
      <c r="J181" s="89"/>
      <c r="K181" s="303"/>
    </row>
    <row r="182" spans="1:11" ht="15.6">
      <c r="A182" s="300"/>
      <c r="C182" s="301"/>
      <c r="D182" s="302"/>
      <c r="E182" s="302"/>
      <c r="F182" s="89"/>
      <c r="G182" s="89"/>
      <c r="H182" s="89"/>
      <c r="I182" s="89"/>
      <c r="J182" s="89"/>
      <c r="K182" s="303"/>
    </row>
    <row r="183" spans="1:11" ht="15.6">
      <c r="A183" s="300"/>
      <c r="C183" s="301"/>
      <c r="D183" s="302"/>
      <c r="E183" s="302"/>
      <c r="F183" s="89"/>
      <c r="G183" s="89"/>
      <c r="H183" s="89"/>
      <c r="I183" s="89"/>
      <c r="J183" s="89"/>
      <c r="K183" s="303"/>
    </row>
    <row r="184" spans="1:11" ht="15.6">
      <c r="A184" s="300"/>
      <c r="C184" s="301"/>
      <c r="D184" s="302"/>
      <c r="E184" s="302"/>
      <c r="F184" s="89"/>
      <c r="G184" s="89"/>
      <c r="H184" s="89"/>
      <c r="I184" s="89"/>
      <c r="J184" s="89"/>
      <c r="K184" s="303"/>
    </row>
    <row r="185" spans="1:11" ht="15.6">
      <c r="A185" s="300"/>
      <c r="C185" s="301"/>
      <c r="D185" s="302"/>
      <c r="E185" s="302"/>
      <c r="F185" s="89"/>
      <c r="G185" s="89"/>
      <c r="H185" s="89"/>
      <c r="I185" s="89"/>
      <c r="J185" s="89"/>
      <c r="K185" s="303"/>
    </row>
    <row r="186" spans="1:11" ht="15.6">
      <c r="A186" s="300"/>
      <c r="C186" s="301"/>
      <c r="D186" s="302"/>
      <c r="E186" s="302"/>
      <c r="F186" s="89"/>
      <c r="G186" s="89"/>
      <c r="H186" s="89"/>
      <c r="I186" s="89"/>
      <c r="J186" s="89"/>
      <c r="K186" s="303"/>
    </row>
    <row r="187" spans="1:11" ht="15.6">
      <c r="A187" s="300"/>
      <c r="C187" s="301"/>
      <c r="D187" s="302"/>
      <c r="E187" s="302"/>
      <c r="F187" s="89"/>
      <c r="G187" s="89"/>
      <c r="H187" s="89"/>
      <c r="I187" s="89"/>
      <c r="J187" s="89"/>
      <c r="K187" s="303"/>
    </row>
    <row r="188" spans="1:11" ht="15.6">
      <c r="A188" s="300"/>
      <c r="C188" s="301"/>
      <c r="D188" s="302"/>
      <c r="E188" s="302"/>
      <c r="F188" s="89"/>
      <c r="G188" s="89"/>
      <c r="H188" s="89"/>
      <c r="I188" s="89"/>
      <c r="J188" s="89"/>
      <c r="K188" s="303"/>
    </row>
    <row r="189" spans="1:11" ht="15.6">
      <c r="A189" s="300"/>
      <c r="C189" s="301"/>
      <c r="D189" s="302"/>
      <c r="E189" s="302"/>
      <c r="F189" s="89"/>
      <c r="G189" s="89"/>
      <c r="H189" s="89"/>
      <c r="I189" s="89"/>
      <c r="J189" s="89"/>
      <c r="K189" s="303"/>
    </row>
    <row r="190" spans="1:11" ht="15.6">
      <c r="A190" s="300"/>
      <c r="C190" s="301"/>
      <c r="D190" s="302"/>
      <c r="E190" s="302"/>
      <c r="F190" s="89"/>
      <c r="G190" s="89"/>
      <c r="H190" s="89"/>
      <c r="I190" s="89"/>
      <c r="J190" s="89"/>
      <c r="K190" s="303"/>
    </row>
    <row r="191" spans="1:11" ht="15.6">
      <c r="A191" s="300"/>
      <c r="C191" s="301"/>
      <c r="D191" s="302"/>
      <c r="E191" s="302"/>
      <c r="F191" s="89"/>
      <c r="G191" s="89"/>
      <c r="H191" s="89"/>
      <c r="I191" s="89"/>
      <c r="J191" s="89"/>
      <c r="K191" s="303"/>
    </row>
    <row r="192" spans="1:11" ht="15.6">
      <c r="A192" s="300"/>
      <c r="C192" s="301"/>
      <c r="D192" s="302"/>
      <c r="E192" s="302"/>
      <c r="F192" s="89"/>
      <c r="G192" s="89"/>
      <c r="H192" s="89"/>
      <c r="I192" s="89"/>
      <c r="J192" s="89"/>
      <c r="K192" s="303"/>
    </row>
    <row r="193" spans="1:11" ht="15.6">
      <c r="A193" s="300"/>
      <c r="C193" s="301"/>
      <c r="D193" s="302"/>
      <c r="E193" s="302"/>
      <c r="F193" s="89"/>
      <c r="G193" s="89"/>
      <c r="H193" s="89"/>
      <c r="I193" s="89"/>
      <c r="J193" s="89"/>
      <c r="K193" s="303"/>
    </row>
    <row r="194" spans="1:11" ht="15.6">
      <c r="A194" s="300"/>
      <c r="C194" s="301"/>
      <c r="D194" s="302"/>
      <c r="E194" s="302"/>
      <c r="F194" s="89"/>
      <c r="G194" s="89"/>
      <c r="H194" s="89"/>
      <c r="I194" s="89"/>
      <c r="J194" s="89"/>
      <c r="K194" s="303"/>
    </row>
    <row r="195" spans="1:11" ht="15.6">
      <c r="A195" s="300"/>
      <c r="C195" s="301"/>
      <c r="D195" s="302"/>
      <c r="E195" s="302"/>
      <c r="F195" s="89"/>
      <c r="G195" s="89"/>
      <c r="H195" s="89"/>
      <c r="I195" s="89"/>
      <c r="J195" s="89"/>
      <c r="K195" s="303"/>
    </row>
    <row r="196" spans="1:11" ht="15.6">
      <c r="A196" s="300"/>
      <c r="C196" s="301"/>
      <c r="D196" s="302"/>
      <c r="E196" s="302"/>
      <c r="F196" s="89"/>
      <c r="G196" s="89"/>
      <c r="H196" s="89"/>
      <c r="I196" s="89"/>
      <c r="J196" s="89"/>
      <c r="K196" s="303"/>
    </row>
    <row r="197" spans="1:11" ht="15.6">
      <c r="A197" s="300"/>
      <c r="C197" s="301"/>
      <c r="D197" s="302"/>
      <c r="E197" s="302"/>
      <c r="F197" s="89"/>
      <c r="G197" s="89"/>
      <c r="H197" s="89"/>
      <c r="I197" s="89"/>
      <c r="J197" s="89"/>
      <c r="K197" s="303"/>
    </row>
    <row r="198" spans="1:11" ht="15.6">
      <c r="A198" s="300"/>
      <c r="C198" s="301"/>
      <c r="D198" s="302"/>
      <c r="E198" s="302"/>
      <c r="F198" s="89"/>
      <c r="G198" s="89"/>
      <c r="H198" s="89"/>
      <c r="I198" s="89"/>
      <c r="J198" s="89"/>
      <c r="K198" s="303"/>
    </row>
    <row r="199" spans="1:11" ht="15.6">
      <c r="A199" s="300"/>
      <c r="C199" s="301"/>
      <c r="D199" s="302"/>
      <c r="E199" s="302"/>
      <c r="F199" s="89"/>
      <c r="G199" s="89"/>
      <c r="H199" s="89"/>
      <c r="I199" s="89"/>
      <c r="J199" s="89"/>
      <c r="K199" s="303"/>
    </row>
    <row r="200" spans="1:11" ht="15.6">
      <c r="A200" s="300"/>
      <c r="C200" s="301"/>
      <c r="D200" s="302"/>
      <c r="E200" s="302"/>
      <c r="F200" s="89"/>
      <c r="G200" s="89"/>
      <c r="H200" s="89"/>
      <c r="I200" s="89"/>
      <c r="J200" s="89"/>
      <c r="K200" s="303"/>
    </row>
    <row r="201" spans="1:11" ht="15.6">
      <c r="A201" s="300"/>
      <c r="C201" s="301"/>
      <c r="D201" s="302"/>
      <c r="E201" s="302"/>
      <c r="F201" s="89"/>
      <c r="G201" s="89"/>
      <c r="H201" s="89"/>
      <c r="I201" s="89"/>
      <c r="J201" s="89"/>
      <c r="K201" s="303"/>
    </row>
    <row r="202" spans="1:11" ht="15.6">
      <c r="A202" s="300"/>
      <c r="C202" s="301"/>
      <c r="D202" s="302"/>
      <c r="E202" s="302"/>
      <c r="F202" s="89"/>
      <c r="G202" s="89"/>
      <c r="H202" s="89"/>
      <c r="I202" s="89"/>
      <c r="J202" s="89"/>
      <c r="K202" s="303"/>
    </row>
    <row r="203" spans="1:11" ht="15.6">
      <c r="A203" s="300"/>
      <c r="C203" s="301"/>
      <c r="D203" s="302"/>
      <c r="E203" s="302"/>
      <c r="F203" s="89"/>
      <c r="G203" s="89"/>
      <c r="H203" s="89"/>
      <c r="I203" s="89"/>
      <c r="J203" s="89"/>
      <c r="K203" s="303"/>
    </row>
    <row r="204" spans="1:11" ht="15.6">
      <c r="A204" s="300"/>
      <c r="C204" s="301"/>
      <c r="D204" s="302"/>
      <c r="E204" s="302"/>
      <c r="F204" s="89"/>
      <c r="G204" s="89"/>
      <c r="H204" s="89"/>
      <c r="I204" s="89"/>
      <c r="J204" s="89"/>
      <c r="K204" s="303"/>
    </row>
    <row r="205" spans="1:11" ht="15.6">
      <c r="A205" s="300"/>
      <c r="C205" s="301"/>
      <c r="D205" s="302"/>
      <c r="E205" s="302"/>
      <c r="F205" s="89"/>
      <c r="G205" s="89"/>
      <c r="H205" s="89"/>
      <c r="I205" s="89"/>
      <c r="J205" s="89"/>
      <c r="K205" s="303"/>
    </row>
    <row r="206" spans="1:11" ht="15.6">
      <c r="A206" s="300"/>
      <c r="C206" s="301"/>
      <c r="D206" s="302"/>
      <c r="E206" s="302"/>
      <c r="F206" s="89"/>
      <c r="G206" s="89"/>
      <c r="H206" s="89"/>
      <c r="I206" s="89"/>
      <c r="J206" s="89"/>
      <c r="K206" s="303"/>
    </row>
    <row r="207" spans="1:11" ht="15.6">
      <c r="A207" s="300"/>
      <c r="C207" s="301"/>
      <c r="D207" s="302"/>
      <c r="E207" s="302"/>
      <c r="F207" s="89"/>
      <c r="G207" s="89"/>
      <c r="H207" s="89"/>
      <c r="I207" s="89"/>
      <c r="J207" s="89"/>
      <c r="K207" s="303"/>
    </row>
    <row r="208" spans="1:11" ht="15.6">
      <c r="A208" s="300"/>
      <c r="C208" s="301"/>
      <c r="D208" s="302"/>
      <c r="E208" s="302"/>
      <c r="F208" s="89"/>
      <c r="G208" s="89"/>
      <c r="H208" s="89"/>
      <c r="I208" s="89"/>
      <c r="J208" s="89"/>
      <c r="K208" s="303"/>
    </row>
    <row r="209" spans="1:11" ht="15.6">
      <c r="A209" s="300"/>
      <c r="C209" s="301"/>
      <c r="D209" s="302"/>
      <c r="E209" s="302"/>
      <c r="F209" s="89"/>
      <c r="G209" s="89"/>
      <c r="H209" s="89"/>
      <c r="I209" s="89"/>
      <c r="J209" s="89"/>
      <c r="K209" s="303"/>
    </row>
    <row r="210" spans="1:11" ht="15.6">
      <c r="A210" s="300"/>
      <c r="C210" s="301"/>
      <c r="D210" s="302"/>
      <c r="E210" s="302"/>
      <c r="F210" s="89"/>
      <c r="G210" s="89"/>
      <c r="H210" s="89"/>
      <c r="I210" s="89"/>
      <c r="J210" s="89"/>
      <c r="K210" s="303"/>
    </row>
    <row r="211" spans="1:11" ht="15.6">
      <c r="A211" s="300"/>
      <c r="C211" s="301"/>
      <c r="D211" s="302"/>
      <c r="E211" s="302"/>
      <c r="F211" s="89"/>
      <c r="G211" s="89"/>
      <c r="H211" s="89"/>
      <c r="I211" s="89"/>
      <c r="J211" s="89"/>
      <c r="K211" s="303"/>
    </row>
    <row r="212" spans="1:11" ht="15.6">
      <c r="A212" s="300"/>
      <c r="C212" s="301"/>
      <c r="D212" s="302"/>
      <c r="E212" s="302"/>
      <c r="F212" s="89"/>
      <c r="G212" s="89"/>
      <c r="H212" s="89"/>
      <c r="I212" s="89"/>
      <c r="J212" s="89"/>
      <c r="K212" s="303"/>
    </row>
    <row r="213" spans="1:11" ht="15.6">
      <c r="A213" s="300"/>
      <c r="C213" s="301"/>
      <c r="D213" s="302"/>
      <c r="E213" s="302"/>
      <c r="F213" s="89"/>
      <c r="G213" s="89"/>
      <c r="H213" s="89"/>
      <c r="I213" s="89"/>
      <c r="J213" s="89"/>
      <c r="K213" s="303"/>
    </row>
    <row r="214" spans="1:11" ht="15.6">
      <c r="A214" s="300"/>
      <c r="C214" s="301"/>
      <c r="D214" s="302"/>
      <c r="E214" s="302"/>
      <c r="F214" s="89"/>
      <c r="G214" s="89"/>
      <c r="H214" s="89"/>
      <c r="I214" s="89"/>
      <c r="J214" s="89"/>
      <c r="K214" s="303"/>
    </row>
    <row r="215" spans="1:11" ht="15.6">
      <c r="A215" s="300"/>
      <c r="C215" s="301"/>
      <c r="D215" s="302"/>
      <c r="E215" s="302"/>
      <c r="F215" s="89"/>
      <c r="G215" s="89"/>
      <c r="H215" s="89"/>
      <c r="I215" s="89"/>
      <c r="J215" s="89"/>
      <c r="K215" s="303"/>
    </row>
    <row r="216" spans="1:11" ht="15.6">
      <c r="A216" s="300"/>
      <c r="C216" s="301"/>
      <c r="D216" s="302"/>
      <c r="E216" s="302"/>
      <c r="F216" s="89"/>
      <c r="G216" s="89"/>
      <c r="H216" s="89"/>
      <c r="I216" s="89"/>
      <c r="J216" s="89"/>
      <c r="K216" s="303"/>
    </row>
    <row r="217" spans="1:11" ht="15.6">
      <c r="A217" s="300"/>
      <c r="C217" s="301"/>
      <c r="D217" s="302"/>
      <c r="E217" s="302"/>
      <c r="F217" s="89"/>
      <c r="G217" s="89"/>
      <c r="H217" s="89"/>
      <c r="I217" s="89"/>
      <c r="J217" s="89"/>
      <c r="K217" s="303"/>
    </row>
    <row r="218" spans="1:11" ht="15.6">
      <c r="A218" s="300"/>
      <c r="C218" s="301"/>
      <c r="D218" s="302"/>
      <c r="E218" s="302"/>
      <c r="F218" s="89"/>
      <c r="G218" s="89"/>
      <c r="H218" s="89"/>
      <c r="I218" s="89"/>
      <c r="J218" s="89"/>
      <c r="K218" s="303"/>
    </row>
    <row r="219" spans="1:11" ht="15.6">
      <c r="A219" s="300"/>
      <c r="C219" s="301"/>
      <c r="D219" s="302"/>
      <c r="E219" s="302"/>
      <c r="F219" s="89"/>
      <c r="G219" s="89"/>
      <c r="H219" s="89"/>
      <c r="I219" s="89"/>
      <c r="J219" s="89"/>
      <c r="K219" s="303"/>
    </row>
    <row r="220" spans="1:11" ht="15.6">
      <c r="A220" s="300"/>
      <c r="C220" s="301"/>
      <c r="D220" s="302"/>
      <c r="E220" s="302"/>
      <c r="F220" s="89"/>
      <c r="G220" s="89"/>
      <c r="H220" s="89"/>
      <c r="I220" s="89"/>
      <c r="J220" s="89"/>
      <c r="K220" s="303"/>
    </row>
    <row r="221" spans="1:11" ht="15.6">
      <c r="A221" s="300"/>
      <c r="C221" s="301"/>
      <c r="D221" s="302"/>
      <c r="E221" s="302"/>
      <c r="F221" s="89"/>
      <c r="G221" s="89"/>
      <c r="H221" s="89"/>
      <c r="I221" s="89"/>
      <c r="J221" s="89"/>
      <c r="K221" s="303"/>
    </row>
    <row r="222" spans="1:11" ht="15.6">
      <c r="A222" s="300"/>
      <c r="C222" s="301"/>
      <c r="D222" s="302"/>
      <c r="E222" s="302"/>
      <c r="F222" s="89"/>
      <c r="G222" s="89"/>
      <c r="H222" s="89"/>
      <c r="I222" s="89"/>
      <c r="J222" s="89"/>
      <c r="K222" s="303"/>
    </row>
    <row r="223" spans="1:11" ht="15.6">
      <c r="A223" s="300"/>
      <c r="C223" s="301"/>
      <c r="D223" s="302"/>
      <c r="E223" s="302"/>
      <c r="F223" s="89"/>
      <c r="G223" s="89"/>
      <c r="H223" s="89"/>
      <c r="I223" s="89"/>
      <c r="J223" s="89"/>
      <c r="K223" s="303"/>
    </row>
    <row r="224" spans="1:11" ht="15.6">
      <c r="A224" s="300"/>
      <c r="C224" s="301"/>
      <c r="D224" s="302"/>
      <c r="E224" s="302"/>
      <c r="F224" s="89"/>
      <c r="G224" s="89"/>
      <c r="H224" s="89"/>
      <c r="I224" s="89"/>
      <c r="J224" s="89"/>
      <c r="K224" s="303"/>
    </row>
    <row r="225" spans="1:11" ht="15.6">
      <c r="A225" s="300"/>
      <c r="C225" s="301"/>
      <c r="D225" s="302"/>
      <c r="E225" s="302"/>
      <c r="F225" s="89"/>
      <c r="G225" s="89"/>
      <c r="H225" s="89"/>
      <c r="I225" s="89"/>
      <c r="J225" s="89"/>
      <c r="K225" s="303"/>
    </row>
    <row r="226" spans="1:11" ht="15.6">
      <c r="A226" s="300"/>
      <c r="C226" s="301"/>
      <c r="D226" s="302"/>
      <c r="E226" s="302"/>
      <c r="F226" s="89"/>
      <c r="G226" s="89"/>
      <c r="H226" s="89"/>
      <c r="I226" s="89"/>
      <c r="J226" s="89"/>
      <c r="K226" s="303"/>
    </row>
    <row r="227" spans="1:11" ht="15.6">
      <c r="A227" s="300"/>
      <c r="C227" s="301"/>
      <c r="D227" s="302"/>
      <c r="E227" s="302"/>
      <c r="F227" s="89"/>
      <c r="G227" s="89"/>
      <c r="H227" s="89"/>
      <c r="I227" s="89"/>
      <c r="J227" s="89"/>
      <c r="K227" s="303"/>
    </row>
    <row r="228" spans="1:11" ht="15.6">
      <c r="A228" s="300"/>
      <c r="C228" s="301"/>
      <c r="D228" s="302"/>
      <c r="E228" s="302"/>
      <c r="F228" s="89"/>
      <c r="G228" s="89"/>
      <c r="H228" s="89"/>
      <c r="I228" s="89"/>
      <c r="J228" s="89"/>
      <c r="K228" s="303"/>
    </row>
    <row r="229" spans="1:11" ht="15.6">
      <c r="A229" s="300"/>
      <c r="C229" s="301"/>
      <c r="D229" s="302"/>
      <c r="E229" s="302"/>
      <c r="F229" s="89"/>
      <c r="G229" s="89"/>
      <c r="H229" s="89"/>
      <c r="I229" s="89"/>
      <c r="J229" s="89"/>
      <c r="K229" s="303"/>
    </row>
    <row r="230" spans="1:11" ht="15.6">
      <c r="A230" s="300"/>
      <c r="C230" s="301"/>
      <c r="D230" s="302"/>
      <c r="E230" s="302"/>
      <c r="F230" s="89"/>
      <c r="G230" s="89"/>
      <c r="H230" s="89"/>
      <c r="I230" s="89"/>
      <c r="J230" s="89"/>
      <c r="K230" s="303"/>
    </row>
    <row r="231" spans="1:11" ht="15.6">
      <c r="A231" s="300"/>
      <c r="C231" s="301"/>
      <c r="D231" s="302"/>
      <c r="E231" s="302"/>
      <c r="F231" s="89"/>
      <c r="G231" s="89"/>
      <c r="H231" s="89"/>
      <c r="I231" s="89"/>
      <c r="J231" s="89"/>
      <c r="K231" s="303"/>
    </row>
    <row r="232" spans="1:11" ht="15.6">
      <c r="A232" s="300"/>
      <c r="C232" s="301"/>
      <c r="D232" s="302"/>
      <c r="E232" s="302"/>
      <c r="F232" s="89"/>
      <c r="G232" s="89"/>
      <c r="H232" s="89"/>
      <c r="I232" s="89"/>
      <c r="J232" s="89"/>
      <c r="K232" s="303"/>
    </row>
    <row r="233" spans="1:11" ht="15.6">
      <c r="A233" s="300"/>
      <c r="C233" s="301"/>
      <c r="D233" s="302"/>
      <c r="E233" s="302"/>
      <c r="F233" s="89"/>
      <c r="G233" s="89"/>
      <c r="H233" s="89"/>
      <c r="I233" s="89"/>
      <c r="J233" s="89"/>
      <c r="K233" s="303"/>
    </row>
    <row r="234" spans="1:11" ht="15.6">
      <c r="A234" s="300"/>
      <c r="C234" s="301"/>
      <c r="D234" s="302"/>
      <c r="E234" s="302"/>
      <c r="F234" s="89"/>
      <c r="G234" s="89"/>
      <c r="H234" s="89"/>
      <c r="I234" s="89"/>
      <c r="J234" s="89"/>
      <c r="K234" s="303"/>
    </row>
    <row r="235" spans="1:11" ht="15.6">
      <c r="A235" s="300"/>
      <c r="C235" s="301"/>
      <c r="D235" s="302"/>
      <c r="E235" s="302"/>
      <c r="F235" s="89"/>
      <c r="G235" s="89"/>
      <c r="H235" s="89"/>
      <c r="I235" s="89"/>
      <c r="J235" s="89"/>
      <c r="K235" s="303"/>
    </row>
    <row r="236" spans="1:11" ht="15.6">
      <c r="A236" s="300"/>
      <c r="C236" s="301"/>
      <c r="D236" s="302"/>
      <c r="E236" s="302"/>
      <c r="F236" s="89"/>
      <c r="G236" s="89"/>
      <c r="H236" s="89"/>
      <c r="I236" s="89"/>
      <c r="J236" s="89"/>
      <c r="K236" s="303"/>
    </row>
    <row r="237" spans="1:11" ht="15.6">
      <c r="A237" s="300"/>
      <c r="C237" s="301"/>
      <c r="D237" s="302"/>
      <c r="E237" s="302"/>
      <c r="F237" s="89"/>
      <c r="G237" s="89"/>
      <c r="H237" s="89"/>
      <c r="I237" s="89"/>
      <c r="J237" s="89"/>
      <c r="K237" s="303"/>
    </row>
    <row r="238" spans="1:11" ht="15.6">
      <c r="A238" s="300"/>
      <c r="C238" s="301"/>
      <c r="D238" s="302"/>
      <c r="E238" s="302"/>
      <c r="F238" s="89"/>
      <c r="G238" s="89"/>
      <c r="H238" s="89"/>
      <c r="I238" s="89"/>
      <c r="J238" s="89"/>
      <c r="K238" s="303"/>
    </row>
    <row r="239" spans="1:11" ht="15.6">
      <c r="A239" s="300"/>
      <c r="C239" s="301"/>
      <c r="D239" s="302"/>
      <c r="E239" s="302"/>
      <c r="F239" s="89"/>
      <c r="G239" s="89"/>
      <c r="H239" s="89"/>
      <c r="I239" s="89"/>
      <c r="J239" s="89"/>
      <c r="K239" s="303"/>
    </row>
    <row r="240" spans="1:11" ht="15.6">
      <c r="A240" s="300"/>
      <c r="C240" s="301"/>
      <c r="D240" s="302"/>
      <c r="E240" s="302"/>
      <c r="F240" s="89"/>
      <c r="G240" s="89"/>
      <c r="H240" s="89"/>
      <c r="I240" s="89"/>
      <c r="J240" s="89"/>
      <c r="K240" s="303"/>
    </row>
    <row r="241" spans="1:11" ht="15.6">
      <c r="A241" s="300"/>
      <c r="C241" s="301"/>
      <c r="D241" s="302"/>
      <c r="E241" s="302"/>
      <c r="F241" s="89"/>
      <c r="G241" s="89"/>
      <c r="H241" s="89"/>
      <c r="I241" s="89"/>
      <c r="J241" s="89"/>
      <c r="K241" s="303"/>
    </row>
    <row r="242" spans="1:11" ht="15.6">
      <c r="A242" s="300"/>
      <c r="C242" s="301"/>
      <c r="D242" s="302"/>
      <c r="E242" s="302"/>
      <c r="F242" s="89"/>
      <c r="G242" s="89"/>
      <c r="H242" s="89"/>
      <c r="I242" s="89"/>
      <c r="J242" s="89"/>
      <c r="K242" s="303"/>
    </row>
    <row r="243" spans="1:11" ht="15.6">
      <c r="A243" s="300"/>
      <c r="C243" s="301"/>
      <c r="D243" s="302"/>
      <c r="E243" s="302"/>
      <c r="F243" s="89"/>
      <c r="G243" s="89"/>
      <c r="H243" s="89"/>
      <c r="I243" s="89"/>
      <c r="J243" s="89"/>
      <c r="K243" s="303"/>
    </row>
    <row r="244" spans="1:11" ht="15.6">
      <c r="A244" s="300"/>
      <c r="C244" s="301"/>
      <c r="D244" s="302"/>
      <c r="E244" s="302"/>
      <c r="F244" s="89"/>
      <c r="G244" s="89"/>
      <c r="H244" s="89"/>
      <c r="I244" s="89"/>
      <c r="J244" s="89"/>
      <c r="K244" s="303"/>
    </row>
    <row r="245" spans="1:11" ht="15.6">
      <c r="A245" s="300"/>
      <c r="C245" s="301"/>
      <c r="D245" s="302"/>
      <c r="E245" s="302"/>
      <c r="F245" s="89"/>
      <c r="G245" s="89"/>
      <c r="H245" s="89"/>
      <c r="I245" s="89"/>
      <c r="J245" s="89"/>
      <c r="K245" s="303"/>
    </row>
    <row r="246" spans="1:11" ht="15.6">
      <c r="A246" s="300"/>
      <c r="C246" s="301"/>
      <c r="D246" s="302"/>
      <c r="E246" s="302"/>
      <c r="F246" s="89"/>
      <c r="G246" s="89"/>
      <c r="H246" s="89"/>
      <c r="I246" s="89"/>
      <c r="J246" s="89"/>
      <c r="K246" s="303"/>
    </row>
    <row r="247" spans="1:11" ht="15.6">
      <c r="A247" s="300"/>
      <c r="C247" s="301"/>
      <c r="D247" s="302"/>
      <c r="E247" s="302"/>
      <c r="F247" s="89"/>
      <c r="G247" s="89"/>
      <c r="H247" s="89"/>
      <c r="I247" s="89"/>
      <c r="J247" s="89"/>
      <c r="K247" s="303"/>
    </row>
    <row r="248" spans="1:11" ht="15.6">
      <c r="A248" s="300"/>
      <c r="C248" s="301"/>
      <c r="D248" s="302"/>
      <c r="E248" s="302"/>
      <c r="F248" s="89"/>
      <c r="G248" s="89"/>
      <c r="H248" s="89"/>
      <c r="I248" s="89"/>
      <c r="J248" s="89"/>
      <c r="K248" s="303"/>
    </row>
    <row r="249" spans="1:11" ht="15.6">
      <c r="A249" s="300"/>
      <c r="C249" s="301"/>
      <c r="D249" s="302"/>
      <c r="E249" s="302"/>
      <c r="F249" s="89"/>
      <c r="G249" s="89"/>
      <c r="H249" s="89"/>
      <c r="I249" s="89"/>
      <c r="J249" s="89"/>
      <c r="K249" s="303"/>
    </row>
    <row r="250" spans="1:11" ht="15.6">
      <c r="A250" s="300"/>
      <c r="C250" s="301"/>
      <c r="D250" s="302"/>
      <c r="E250" s="302"/>
      <c r="F250" s="89"/>
      <c r="G250" s="89"/>
      <c r="H250" s="89"/>
      <c r="I250" s="89"/>
      <c r="J250" s="89"/>
      <c r="K250" s="303"/>
    </row>
    <row r="251" spans="1:11" ht="15.6">
      <c r="A251" s="300"/>
      <c r="C251" s="301"/>
      <c r="D251" s="302"/>
      <c r="E251" s="302"/>
      <c r="F251" s="89"/>
      <c r="G251" s="89"/>
      <c r="H251" s="89"/>
      <c r="I251" s="89"/>
      <c r="J251" s="89"/>
      <c r="K251" s="303"/>
    </row>
    <row r="252" spans="1:11" ht="15.6">
      <c r="A252" s="300"/>
      <c r="C252" s="301"/>
      <c r="D252" s="302"/>
      <c r="E252" s="302"/>
      <c r="F252" s="89"/>
      <c r="G252" s="89"/>
      <c r="H252" s="89"/>
      <c r="I252" s="89"/>
      <c r="J252" s="89"/>
      <c r="K252" s="303"/>
    </row>
    <row r="253" spans="1:11" ht="15.6">
      <c r="A253" s="300"/>
      <c r="C253" s="301"/>
      <c r="D253" s="302"/>
      <c r="E253" s="302"/>
      <c r="F253" s="89"/>
      <c r="G253" s="89"/>
      <c r="H253" s="89"/>
      <c r="I253" s="89"/>
      <c r="J253" s="89"/>
      <c r="K253" s="303"/>
    </row>
    <row r="254" spans="1:11" ht="15.6">
      <c r="A254" s="300"/>
      <c r="C254" s="301"/>
      <c r="D254" s="302"/>
      <c r="E254" s="302"/>
      <c r="F254" s="89"/>
      <c r="G254" s="89"/>
      <c r="H254" s="89"/>
      <c r="I254" s="89"/>
      <c r="J254" s="89"/>
      <c r="K254" s="303"/>
    </row>
    <row r="255" spans="1:11" ht="15.6">
      <c r="A255" s="300"/>
      <c r="C255" s="301"/>
      <c r="D255" s="302"/>
      <c r="E255" s="302"/>
      <c r="F255" s="89"/>
      <c r="G255" s="89"/>
      <c r="H255" s="89"/>
      <c r="I255" s="89"/>
      <c r="J255" s="89"/>
      <c r="K255" s="303"/>
    </row>
    <row r="256" spans="1:11" ht="15.6">
      <c r="A256" s="300"/>
      <c r="C256" s="301"/>
      <c r="D256" s="302"/>
      <c r="E256" s="302"/>
      <c r="F256" s="89"/>
      <c r="G256" s="89"/>
      <c r="H256" s="89"/>
      <c r="I256" s="89"/>
      <c r="J256" s="89"/>
      <c r="K256" s="303"/>
    </row>
    <row r="257" spans="1:11" ht="15.6">
      <c r="A257" s="300"/>
      <c r="C257" s="301"/>
      <c r="D257" s="302"/>
      <c r="E257" s="302"/>
      <c r="F257" s="89"/>
      <c r="G257" s="89"/>
      <c r="H257" s="89"/>
      <c r="I257" s="89"/>
      <c r="J257" s="89"/>
      <c r="K257" s="303"/>
    </row>
    <row r="258" spans="1:11" ht="15.6">
      <c r="A258" s="300"/>
      <c r="C258" s="301"/>
      <c r="D258" s="302"/>
      <c r="E258" s="302"/>
      <c r="F258" s="89"/>
      <c r="G258" s="89"/>
      <c r="H258" s="89"/>
      <c r="I258" s="89"/>
      <c r="J258" s="89"/>
      <c r="K258" s="303"/>
    </row>
    <row r="259" spans="1:11" ht="15.6">
      <c r="A259" s="300"/>
      <c r="C259" s="301"/>
      <c r="D259" s="302"/>
      <c r="E259" s="302"/>
      <c r="F259" s="89"/>
      <c r="G259" s="89"/>
      <c r="H259" s="89"/>
      <c r="I259" s="89"/>
      <c r="J259" s="89"/>
      <c r="K259" s="303"/>
    </row>
    <row r="260" spans="1:11" ht="15.6">
      <c r="A260" s="300"/>
      <c r="C260" s="301"/>
      <c r="D260" s="302"/>
      <c r="E260" s="302"/>
      <c r="F260" s="89"/>
      <c r="G260" s="89"/>
      <c r="H260" s="89"/>
      <c r="I260" s="89"/>
      <c r="J260" s="89"/>
      <c r="K260" s="303"/>
    </row>
    <row r="261" spans="1:11" ht="15.6">
      <c r="A261" s="300"/>
      <c r="C261" s="301"/>
      <c r="D261" s="302"/>
      <c r="E261" s="302"/>
      <c r="F261" s="89"/>
      <c r="G261" s="89"/>
      <c r="H261" s="89"/>
      <c r="I261" s="89"/>
      <c r="J261" s="89"/>
      <c r="K261" s="303"/>
    </row>
    <row r="262" spans="1:11" ht="15.6">
      <c r="A262" s="300"/>
      <c r="C262" s="301"/>
      <c r="D262" s="302"/>
      <c r="E262" s="302"/>
      <c r="F262" s="89"/>
      <c r="G262" s="89"/>
      <c r="H262" s="89"/>
      <c r="I262" s="89"/>
      <c r="J262" s="89"/>
      <c r="K262" s="303"/>
    </row>
    <row r="263" spans="1:11" ht="15.6">
      <c r="A263" s="300"/>
      <c r="C263" s="301"/>
      <c r="D263" s="302"/>
      <c r="E263" s="302"/>
      <c r="F263" s="89"/>
      <c r="G263" s="89"/>
      <c r="H263" s="89"/>
      <c r="I263" s="89"/>
      <c r="J263" s="89"/>
      <c r="K263" s="303"/>
    </row>
    <row r="264" spans="1:11" ht="15.6">
      <c r="A264" s="300"/>
      <c r="C264" s="301"/>
      <c r="D264" s="302"/>
      <c r="E264" s="302"/>
      <c r="F264" s="89"/>
      <c r="G264" s="89"/>
      <c r="H264" s="89"/>
      <c r="I264" s="89"/>
      <c r="J264" s="89"/>
      <c r="K264" s="303"/>
    </row>
    <row r="265" spans="1:11" ht="15.6">
      <c r="A265" s="300"/>
      <c r="C265" s="301"/>
      <c r="D265" s="302"/>
      <c r="E265" s="302"/>
      <c r="F265" s="89"/>
      <c r="G265" s="89"/>
      <c r="H265" s="89"/>
      <c r="I265" s="89"/>
      <c r="J265" s="89"/>
      <c r="K265" s="303"/>
    </row>
    <row r="266" spans="1:11" ht="15.6">
      <c r="A266" s="300"/>
      <c r="C266" s="301"/>
      <c r="D266" s="302"/>
      <c r="E266" s="302"/>
      <c r="F266" s="89"/>
      <c r="G266" s="89"/>
      <c r="H266" s="89"/>
      <c r="I266" s="89"/>
      <c r="J266" s="89"/>
      <c r="K266" s="303"/>
    </row>
    <row r="267" spans="1:11" ht="15.6">
      <c r="A267" s="300"/>
      <c r="C267" s="301"/>
      <c r="D267" s="302"/>
      <c r="E267" s="302"/>
      <c r="F267" s="89"/>
      <c r="G267" s="89"/>
      <c r="H267" s="89"/>
      <c r="I267" s="89"/>
      <c r="J267" s="89"/>
      <c r="K267" s="303"/>
    </row>
    <row r="268" spans="1:11" ht="15.6">
      <c r="A268" s="300"/>
      <c r="C268" s="301"/>
      <c r="D268" s="302"/>
      <c r="E268" s="302"/>
      <c r="F268" s="89"/>
      <c r="G268" s="89"/>
      <c r="H268" s="89"/>
      <c r="I268" s="89"/>
      <c r="J268" s="89"/>
      <c r="K268" s="303"/>
    </row>
    <row r="269" spans="1:11" ht="15.6">
      <c r="A269" s="300"/>
      <c r="C269" s="301"/>
      <c r="D269" s="302"/>
      <c r="E269" s="302"/>
      <c r="F269" s="89"/>
      <c r="G269" s="89"/>
      <c r="H269" s="89"/>
      <c r="I269" s="89"/>
      <c r="J269" s="89"/>
      <c r="K269" s="303"/>
    </row>
    <row r="270" spans="1:11" ht="15.6">
      <c r="A270" s="300"/>
      <c r="C270" s="301"/>
      <c r="D270" s="302"/>
      <c r="E270" s="302"/>
      <c r="F270" s="89"/>
      <c r="G270" s="89"/>
      <c r="H270" s="89"/>
      <c r="I270" s="89"/>
      <c r="J270" s="89"/>
      <c r="K270" s="303"/>
    </row>
    <row r="271" spans="1:11" ht="15.6">
      <c r="A271" s="300"/>
      <c r="C271" s="301"/>
      <c r="D271" s="302"/>
      <c r="E271" s="302"/>
      <c r="F271" s="89"/>
      <c r="G271" s="89"/>
      <c r="H271" s="89"/>
      <c r="I271" s="89"/>
      <c r="J271" s="89"/>
      <c r="K271" s="303"/>
    </row>
    <row r="272" spans="1:11" ht="15.6">
      <c r="A272" s="300"/>
      <c r="C272" s="301"/>
      <c r="D272" s="302"/>
      <c r="E272" s="302"/>
      <c r="F272" s="89"/>
      <c r="G272" s="89"/>
      <c r="H272" s="89"/>
      <c r="I272" s="89"/>
      <c r="J272" s="89"/>
      <c r="K272" s="303"/>
    </row>
    <row r="273" spans="1:11" ht="15.6">
      <c r="A273" s="300"/>
      <c r="C273" s="301"/>
      <c r="D273" s="302"/>
      <c r="E273" s="302"/>
      <c r="F273" s="89"/>
      <c r="G273" s="89"/>
      <c r="H273" s="89"/>
      <c r="I273" s="89"/>
      <c r="J273" s="89"/>
      <c r="K273" s="303"/>
    </row>
    <row r="274" spans="1:11" ht="15.6">
      <c r="A274" s="300"/>
      <c r="C274" s="301"/>
      <c r="D274" s="302"/>
      <c r="E274" s="302"/>
      <c r="F274" s="89"/>
      <c r="G274" s="89"/>
      <c r="H274" s="89"/>
      <c r="I274" s="89"/>
      <c r="J274" s="89"/>
      <c r="K274" s="303"/>
    </row>
    <row r="275" spans="1:11" ht="15.6">
      <c r="A275" s="300"/>
      <c r="C275" s="301"/>
      <c r="D275" s="302"/>
      <c r="E275" s="302"/>
      <c r="F275" s="89"/>
      <c r="G275" s="89"/>
      <c r="H275" s="89"/>
      <c r="I275" s="89"/>
      <c r="J275" s="89"/>
      <c r="K275" s="303"/>
    </row>
    <row r="276" spans="1:11" ht="15.6">
      <c r="A276" s="300"/>
      <c r="C276" s="301"/>
      <c r="D276" s="302"/>
      <c r="E276" s="302"/>
      <c r="F276" s="89"/>
      <c r="G276" s="89"/>
      <c r="H276" s="89"/>
      <c r="I276" s="89"/>
      <c r="J276" s="89"/>
      <c r="K276" s="303"/>
    </row>
    <row r="277" spans="1:11" ht="15.6">
      <c r="A277" s="300"/>
      <c r="C277" s="301"/>
      <c r="D277" s="302"/>
      <c r="E277" s="302"/>
      <c r="F277" s="89"/>
      <c r="G277" s="89"/>
      <c r="H277" s="89"/>
      <c r="I277" s="89"/>
      <c r="J277" s="89"/>
      <c r="K277" s="303"/>
    </row>
    <row r="278" spans="1:11" ht="15.6">
      <c r="A278" s="300"/>
      <c r="C278" s="301"/>
      <c r="D278" s="302"/>
      <c r="E278" s="302"/>
      <c r="F278" s="89"/>
      <c r="G278" s="89"/>
      <c r="H278" s="89"/>
      <c r="I278" s="89"/>
      <c r="J278" s="89"/>
      <c r="K278" s="303"/>
    </row>
    <row r="279" spans="1:11" ht="15.6">
      <c r="A279" s="300"/>
      <c r="C279" s="301"/>
      <c r="D279" s="302"/>
      <c r="E279" s="302"/>
      <c r="F279" s="89"/>
      <c r="G279" s="89"/>
      <c r="H279" s="89"/>
      <c r="I279" s="89"/>
      <c r="J279" s="89"/>
      <c r="K279" s="303"/>
    </row>
    <row r="280" spans="1:11" ht="15.6">
      <c r="A280" s="300"/>
      <c r="C280" s="301"/>
      <c r="D280" s="302"/>
      <c r="E280" s="302"/>
      <c r="F280" s="89"/>
      <c r="G280" s="89"/>
      <c r="H280" s="89"/>
      <c r="I280" s="89"/>
      <c r="J280" s="89"/>
      <c r="K280" s="303"/>
    </row>
    <row r="281" spans="1:11" ht="15.6">
      <c r="A281" s="300"/>
      <c r="C281" s="301"/>
      <c r="D281" s="302"/>
      <c r="E281" s="302"/>
      <c r="F281" s="89"/>
      <c r="G281" s="89"/>
      <c r="H281" s="89"/>
      <c r="I281" s="89"/>
      <c r="J281" s="89"/>
      <c r="K281" s="303"/>
    </row>
    <row r="282" spans="1:11" ht="15.6">
      <c r="A282" s="300"/>
      <c r="C282" s="301"/>
      <c r="D282" s="302"/>
      <c r="E282" s="302"/>
      <c r="F282" s="89"/>
      <c r="G282" s="89"/>
      <c r="H282" s="89"/>
      <c r="I282" s="89"/>
      <c r="J282" s="89"/>
      <c r="K282" s="303"/>
    </row>
    <row r="283" spans="1:11" ht="15.6">
      <c r="A283" s="300"/>
      <c r="C283" s="301"/>
      <c r="D283" s="302"/>
      <c r="E283" s="302"/>
      <c r="F283" s="89"/>
      <c r="G283" s="89"/>
      <c r="H283" s="89"/>
      <c r="I283" s="89"/>
      <c r="J283" s="89"/>
      <c r="K283" s="303"/>
    </row>
    <row r="284" spans="1:11" ht="15.6">
      <c r="A284" s="300"/>
      <c r="C284" s="301"/>
      <c r="D284" s="302"/>
      <c r="E284" s="302"/>
      <c r="F284" s="89"/>
      <c r="G284" s="89"/>
      <c r="H284" s="89"/>
      <c r="I284" s="89"/>
      <c r="J284" s="89"/>
      <c r="K284" s="303"/>
    </row>
    <row r="285" spans="1:11" ht="15.6">
      <c r="A285" s="300"/>
      <c r="C285" s="301"/>
      <c r="D285" s="302"/>
      <c r="E285" s="302"/>
      <c r="F285" s="89"/>
      <c r="G285" s="89"/>
      <c r="H285" s="89"/>
      <c r="I285" s="89"/>
      <c r="J285" s="89"/>
      <c r="K285" s="303"/>
    </row>
    <row r="286" spans="1:11" ht="15.6">
      <c r="A286" s="300"/>
      <c r="C286" s="301"/>
      <c r="D286" s="302"/>
      <c r="E286" s="302"/>
      <c r="F286" s="89"/>
      <c r="G286" s="89"/>
      <c r="H286" s="89"/>
      <c r="I286" s="89"/>
      <c r="J286" s="89"/>
      <c r="K286" s="303"/>
    </row>
    <row r="287" spans="1:11" ht="15.6">
      <c r="A287" s="300"/>
      <c r="C287" s="301"/>
      <c r="D287" s="302"/>
      <c r="E287" s="302"/>
      <c r="F287" s="89"/>
      <c r="G287" s="89"/>
      <c r="H287" s="89"/>
      <c r="I287" s="89"/>
      <c r="J287" s="89"/>
      <c r="K287" s="303"/>
    </row>
    <row r="288" spans="1:11" ht="15.6">
      <c r="A288" s="300"/>
      <c r="C288" s="301"/>
      <c r="D288" s="302"/>
      <c r="E288" s="302"/>
      <c r="F288" s="89"/>
      <c r="G288" s="89"/>
      <c r="H288" s="89"/>
      <c r="I288" s="89"/>
      <c r="J288" s="89"/>
      <c r="K288" s="303"/>
    </row>
    <row r="289" spans="1:11" ht="15.6">
      <c r="A289" s="300"/>
      <c r="C289" s="301"/>
      <c r="D289" s="302"/>
      <c r="E289" s="302"/>
      <c r="F289" s="89"/>
      <c r="G289" s="89"/>
      <c r="H289" s="89"/>
      <c r="I289" s="89"/>
      <c r="J289" s="89"/>
      <c r="K289" s="303"/>
    </row>
    <row r="290" spans="1:11" ht="15.6">
      <c r="A290" s="300"/>
      <c r="C290" s="301"/>
      <c r="D290" s="302"/>
      <c r="E290" s="302"/>
      <c r="F290" s="89"/>
      <c r="G290" s="89"/>
      <c r="H290" s="89"/>
      <c r="I290" s="89"/>
      <c r="J290" s="89"/>
      <c r="K290" s="303"/>
    </row>
    <row r="291" spans="1:11" ht="15.6">
      <c r="A291" s="300"/>
      <c r="C291" s="301"/>
      <c r="D291" s="302"/>
      <c r="E291" s="302"/>
      <c r="F291" s="89"/>
      <c r="G291" s="89"/>
      <c r="H291" s="89"/>
      <c r="I291" s="89"/>
      <c r="J291" s="89"/>
      <c r="K291" s="303"/>
    </row>
    <row r="292" spans="1:11" ht="15.6">
      <c r="A292" s="300"/>
      <c r="C292" s="301"/>
      <c r="D292" s="302"/>
      <c r="E292" s="302"/>
      <c r="F292" s="89"/>
      <c r="G292" s="89"/>
      <c r="H292" s="89"/>
      <c r="I292" s="89"/>
      <c r="J292" s="89"/>
      <c r="K292" s="303"/>
    </row>
    <row r="293" spans="1:11" ht="15.6">
      <c r="A293" s="300"/>
      <c r="C293" s="301"/>
      <c r="D293" s="302"/>
      <c r="E293" s="302"/>
      <c r="F293" s="89"/>
      <c r="G293" s="89"/>
      <c r="H293" s="89"/>
      <c r="I293" s="89"/>
      <c r="J293" s="89"/>
      <c r="K293" s="303"/>
    </row>
    <row r="294" spans="1:11" ht="15.6">
      <c r="A294" s="300"/>
      <c r="C294" s="301"/>
      <c r="D294" s="302"/>
      <c r="E294" s="302"/>
      <c r="F294" s="89"/>
      <c r="G294" s="89"/>
      <c r="H294" s="89"/>
      <c r="I294" s="89"/>
      <c r="J294" s="89"/>
      <c r="K294" s="303"/>
    </row>
    <row r="295" spans="1:11" ht="15.6">
      <c r="A295" s="300"/>
      <c r="C295" s="301"/>
      <c r="D295" s="302"/>
      <c r="E295" s="302"/>
      <c r="F295" s="89"/>
      <c r="G295" s="89"/>
      <c r="H295" s="89"/>
      <c r="I295" s="89"/>
      <c r="J295" s="89"/>
      <c r="K295" s="303"/>
    </row>
    <row r="296" spans="1:11" ht="15.6">
      <c r="A296" s="300"/>
      <c r="C296" s="301"/>
      <c r="D296" s="302"/>
      <c r="E296" s="302"/>
      <c r="F296" s="89"/>
      <c r="G296" s="89"/>
      <c r="H296" s="89"/>
      <c r="I296" s="89"/>
      <c r="J296" s="89"/>
      <c r="K296" s="303"/>
    </row>
    <row r="297" spans="1:11" ht="15.6">
      <c r="A297" s="300"/>
      <c r="C297" s="301"/>
      <c r="D297" s="302"/>
      <c r="E297" s="302"/>
      <c r="F297" s="89"/>
      <c r="G297" s="89"/>
      <c r="H297" s="89"/>
      <c r="I297" s="89"/>
      <c r="J297" s="89"/>
      <c r="K297" s="303"/>
    </row>
    <row r="298" spans="1:11" ht="15.6">
      <c r="A298" s="300"/>
      <c r="C298" s="301"/>
      <c r="D298" s="302"/>
      <c r="E298" s="302"/>
      <c r="F298" s="89"/>
      <c r="G298" s="89"/>
      <c r="H298" s="89"/>
      <c r="I298" s="89"/>
      <c r="J298" s="89"/>
      <c r="K298" s="303"/>
    </row>
    <row r="299" spans="1:11" ht="15.6">
      <c r="A299" s="300"/>
      <c r="C299" s="301"/>
      <c r="D299" s="302"/>
      <c r="E299" s="302"/>
      <c r="F299" s="89"/>
      <c r="G299" s="89"/>
      <c r="H299" s="89"/>
      <c r="I299" s="89"/>
      <c r="J299" s="89"/>
      <c r="K299" s="303"/>
    </row>
    <row r="300" spans="1:11" ht="15.6">
      <c r="A300" s="300"/>
      <c r="C300" s="301"/>
      <c r="D300" s="302"/>
      <c r="E300" s="302"/>
      <c r="F300" s="89"/>
      <c r="G300" s="89"/>
      <c r="H300" s="89"/>
      <c r="I300" s="89"/>
      <c r="J300" s="89"/>
      <c r="K300" s="303"/>
    </row>
    <row r="301" spans="1:11" ht="15.6">
      <c r="A301" s="300"/>
      <c r="C301" s="301"/>
      <c r="D301" s="302"/>
      <c r="E301" s="302"/>
      <c r="F301" s="89"/>
      <c r="G301" s="89"/>
      <c r="H301" s="89"/>
      <c r="I301" s="89"/>
      <c r="J301" s="89"/>
      <c r="K301" s="303"/>
    </row>
    <row r="302" spans="1:11" ht="15.6">
      <c r="A302" s="300"/>
      <c r="C302" s="301"/>
      <c r="D302" s="302"/>
      <c r="E302" s="302"/>
      <c r="F302" s="89"/>
      <c r="G302" s="89"/>
      <c r="H302" s="89"/>
      <c r="I302" s="89"/>
      <c r="J302" s="89"/>
      <c r="K302" s="303"/>
    </row>
    <row r="303" spans="1:11" ht="15.6">
      <c r="A303" s="300"/>
      <c r="C303" s="301"/>
      <c r="D303" s="302"/>
      <c r="E303" s="302"/>
      <c r="F303" s="89"/>
      <c r="G303" s="89"/>
      <c r="H303" s="89"/>
      <c r="I303" s="89"/>
      <c r="J303" s="89"/>
      <c r="K303" s="303"/>
    </row>
    <row r="304" spans="1:11" ht="15.6">
      <c r="A304" s="300"/>
      <c r="C304" s="301"/>
      <c r="D304" s="302"/>
      <c r="E304" s="302"/>
      <c r="F304" s="89"/>
      <c r="G304" s="89"/>
      <c r="H304" s="89"/>
      <c r="I304" s="89"/>
      <c r="J304" s="89"/>
      <c r="K304" s="303"/>
    </row>
    <row r="305" spans="1:11" ht="15.6">
      <c r="A305" s="300"/>
      <c r="C305" s="301"/>
      <c r="D305" s="302"/>
      <c r="E305" s="302"/>
      <c r="F305" s="89"/>
      <c r="G305" s="89"/>
      <c r="H305" s="89"/>
      <c r="I305" s="89"/>
      <c r="J305" s="89"/>
      <c r="K305" s="303"/>
    </row>
    <row r="306" spans="1:11" ht="15.6">
      <c r="A306" s="300"/>
      <c r="C306" s="301"/>
      <c r="D306" s="302"/>
      <c r="E306" s="302"/>
      <c r="F306" s="89"/>
      <c r="G306" s="89"/>
      <c r="H306" s="89"/>
      <c r="I306" s="89"/>
      <c r="J306" s="89"/>
      <c r="K306" s="303"/>
    </row>
    <row r="307" spans="1:11" ht="15.6">
      <c r="A307" s="300"/>
      <c r="C307" s="301"/>
      <c r="D307" s="302"/>
      <c r="E307" s="302"/>
      <c r="F307" s="89"/>
      <c r="G307" s="89"/>
      <c r="H307" s="89"/>
      <c r="I307" s="89"/>
      <c r="J307" s="89"/>
      <c r="K307" s="303"/>
    </row>
    <row r="308" spans="1:11" ht="15.6">
      <c r="A308" s="300"/>
      <c r="C308" s="301"/>
      <c r="D308" s="302"/>
      <c r="E308" s="302"/>
      <c r="F308" s="89"/>
      <c r="G308" s="89"/>
      <c r="H308" s="89"/>
      <c r="I308" s="89"/>
      <c r="J308" s="89"/>
      <c r="K308" s="303"/>
    </row>
    <row r="309" spans="1:11" ht="15.6">
      <c r="A309" s="300"/>
      <c r="C309" s="301"/>
      <c r="D309" s="302"/>
      <c r="E309" s="302"/>
      <c r="F309" s="89"/>
      <c r="G309" s="89"/>
      <c r="H309" s="89"/>
      <c r="I309" s="89"/>
      <c r="J309" s="89"/>
      <c r="K309" s="303"/>
    </row>
    <row r="310" spans="1:11" ht="15.6">
      <c r="A310" s="300"/>
      <c r="C310" s="301"/>
      <c r="D310" s="302"/>
      <c r="E310" s="302"/>
      <c r="F310" s="89"/>
      <c r="G310" s="89"/>
      <c r="H310" s="89"/>
      <c r="I310" s="89"/>
      <c r="J310" s="89"/>
      <c r="K310" s="303"/>
    </row>
    <row r="311" spans="1:11" ht="15.6">
      <c r="A311" s="300"/>
      <c r="C311" s="301"/>
      <c r="D311" s="302"/>
      <c r="E311" s="302"/>
      <c r="F311" s="89"/>
      <c r="G311" s="89"/>
      <c r="H311" s="89"/>
      <c r="I311" s="89"/>
      <c r="J311" s="89"/>
      <c r="K311" s="303"/>
    </row>
    <row r="312" spans="1:11" ht="15.6">
      <c r="A312" s="300"/>
      <c r="C312" s="301"/>
      <c r="D312" s="302"/>
      <c r="E312" s="302"/>
      <c r="F312" s="89"/>
      <c r="G312" s="89"/>
      <c r="H312" s="89"/>
      <c r="I312" s="89"/>
      <c r="J312" s="89"/>
      <c r="K312" s="303"/>
    </row>
    <row r="313" spans="1:11" ht="15.6">
      <c r="A313" s="300"/>
      <c r="C313" s="301"/>
      <c r="D313" s="302"/>
      <c r="E313" s="302"/>
      <c r="F313" s="89"/>
      <c r="G313" s="89"/>
      <c r="H313" s="89"/>
      <c r="I313" s="89"/>
      <c r="J313" s="89"/>
      <c r="K313" s="303"/>
    </row>
    <row r="314" spans="1:11" ht="15.6">
      <c r="A314" s="300"/>
      <c r="C314" s="301"/>
      <c r="D314" s="302"/>
      <c r="E314" s="302"/>
      <c r="F314" s="89"/>
      <c r="G314" s="89"/>
      <c r="H314" s="89"/>
      <c r="I314" s="89"/>
      <c r="J314" s="89"/>
      <c r="K314" s="303"/>
    </row>
    <row r="315" spans="1:11" ht="15.6">
      <c r="A315" s="300"/>
      <c r="C315" s="301"/>
      <c r="D315" s="302"/>
      <c r="E315" s="302"/>
      <c r="F315" s="89"/>
      <c r="G315" s="89"/>
      <c r="H315" s="89"/>
      <c r="I315" s="89"/>
      <c r="J315" s="89"/>
      <c r="K315" s="303"/>
    </row>
    <row r="316" spans="1:11" ht="15.6">
      <c r="A316" s="300"/>
      <c r="C316" s="301"/>
      <c r="D316" s="302"/>
      <c r="E316" s="302"/>
      <c r="F316" s="89"/>
      <c r="G316" s="89"/>
      <c r="H316" s="89"/>
      <c r="I316" s="89"/>
      <c r="J316" s="89"/>
      <c r="K316" s="303"/>
    </row>
    <row r="317" spans="1:11" ht="15.6">
      <c r="A317" s="300"/>
      <c r="C317" s="301"/>
      <c r="D317" s="302"/>
      <c r="E317" s="302"/>
      <c r="F317" s="89"/>
      <c r="G317" s="89"/>
      <c r="H317" s="89"/>
      <c r="I317" s="89"/>
      <c r="J317" s="89"/>
      <c r="K317" s="303"/>
    </row>
    <row r="318" spans="1:11" ht="15.6">
      <c r="A318" s="300"/>
      <c r="C318" s="301"/>
      <c r="D318" s="302"/>
      <c r="E318" s="302"/>
      <c r="F318" s="89"/>
      <c r="G318" s="89"/>
      <c r="H318" s="89"/>
      <c r="I318" s="89"/>
      <c r="J318" s="89"/>
      <c r="K318" s="303"/>
    </row>
    <row r="319" spans="1:11" ht="15.6">
      <c r="A319" s="300"/>
      <c r="C319" s="301"/>
      <c r="D319" s="302"/>
      <c r="E319" s="302"/>
      <c r="F319" s="89"/>
      <c r="G319" s="89"/>
      <c r="H319" s="89"/>
      <c r="I319" s="89"/>
      <c r="J319" s="89"/>
      <c r="K319" s="303"/>
    </row>
    <row r="320" spans="1:11" ht="15.6">
      <c r="A320" s="300"/>
      <c r="C320" s="301"/>
      <c r="D320" s="302"/>
      <c r="E320" s="302"/>
      <c r="F320" s="89"/>
      <c r="G320" s="89"/>
      <c r="H320" s="89"/>
      <c r="I320" s="89"/>
      <c r="J320" s="89"/>
      <c r="K320" s="303"/>
    </row>
    <row r="321" spans="1:11" ht="15.6">
      <c r="A321" s="300"/>
      <c r="C321" s="301"/>
      <c r="D321" s="302"/>
      <c r="E321" s="302"/>
      <c r="F321" s="89"/>
      <c r="G321" s="89"/>
      <c r="H321" s="89"/>
      <c r="I321" s="89"/>
      <c r="J321" s="89"/>
      <c r="K321" s="303"/>
    </row>
    <row r="322" spans="1:11" ht="15.6">
      <c r="A322" s="300"/>
      <c r="C322" s="301"/>
      <c r="D322" s="302"/>
      <c r="E322" s="302"/>
      <c r="F322" s="89"/>
      <c r="G322" s="89"/>
      <c r="H322" s="89"/>
      <c r="I322" s="89"/>
      <c r="J322" s="89"/>
      <c r="K322" s="303"/>
    </row>
    <row r="323" spans="1:11" ht="15.6">
      <c r="A323" s="300"/>
      <c r="C323" s="301"/>
      <c r="D323" s="302"/>
      <c r="E323" s="302"/>
      <c r="F323" s="89"/>
      <c r="G323" s="89"/>
      <c r="H323" s="89"/>
      <c r="I323" s="89"/>
      <c r="J323" s="89"/>
      <c r="K323" s="303"/>
    </row>
    <row r="324" spans="1:11" ht="15.6">
      <c r="A324" s="300"/>
      <c r="C324" s="301"/>
      <c r="D324" s="302"/>
      <c r="E324" s="302"/>
      <c r="F324" s="89"/>
      <c r="G324" s="89"/>
      <c r="H324" s="89"/>
      <c r="I324" s="89"/>
      <c r="J324" s="89"/>
      <c r="K324" s="303"/>
    </row>
    <row r="325" spans="1:11" ht="15.6">
      <c r="A325" s="300"/>
      <c r="C325" s="301"/>
      <c r="D325" s="302"/>
      <c r="E325" s="302"/>
      <c r="F325" s="89"/>
      <c r="G325" s="89"/>
      <c r="H325" s="89"/>
      <c r="I325" s="89"/>
      <c r="J325" s="89"/>
      <c r="K325" s="303"/>
    </row>
    <row r="326" spans="1:11" ht="15.6">
      <c r="A326" s="300"/>
      <c r="C326" s="301"/>
      <c r="D326" s="302"/>
      <c r="E326" s="302"/>
      <c r="F326" s="89"/>
      <c r="G326" s="89"/>
      <c r="H326" s="89"/>
      <c r="I326" s="89"/>
      <c r="J326" s="89"/>
      <c r="K326" s="303"/>
    </row>
    <row r="327" spans="1:11" ht="15.6">
      <c r="A327" s="300"/>
      <c r="C327" s="301"/>
      <c r="D327" s="302"/>
      <c r="E327" s="302"/>
      <c r="F327" s="89"/>
      <c r="G327" s="89"/>
      <c r="H327" s="89"/>
      <c r="I327" s="89"/>
      <c r="J327" s="89"/>
      <c r="K327" s="303"/>
    </row>
    <row r="328" spans="1:11" ht="15.6">
      <c r="A328" s="300"/>
      <c r="C328" s="301"/>
      <c r="D328" s="302"/>
      <c r="E328" s="302"/>
      <c r="F328" s="89"/>
      <c r="G328" s="89"/>
      <c r="H328" s="89"/>
      <c r="I328" s="89"/>
      <c r="J328" s="89"/>
      <c r="K328" s="303"/>
    </row>
    <row r="329" spans="1:11" ht="15.6">
      <c r="A329" s="300"/>
      <c r="C329" s="301"/>
      <c r="D329" s="302"/>
      <c r="E329" s="302"/>
      <c r="F329" s="89"/>
      <c r="G329" s="89"/>
      <c r="H329" s="89"/>
      <c r="I329" s="89"/>
      <c r="J329" s="89"/>
      <c r="K329" s="303"/>
    </row>
    <row r="330" spans="1:11" ht="15.6">
      <c r="A330" s="300"/>
      <c r="C330" s="301"/>
      <c r="D330" s="302"/>
      <c r="E330" s="302"/>
      <c r="F330" s="89"/>
      <c r="G330" s="89"/>
      <c r="H330" s="89"/>
      <c r="I330" s="89"/>
      <c r="J330" s="89"/>
      <c r="K330" s="303"/>
    </row>
    <row r="331" spans="1:11" ht="15.6">
      <c r="A331" s="300"/>
      <c r="C331" s="301"/>
      <c r="D331" s="302"/>
      <c r="E331" s="302"/>
      <c r="F331" s="89"/>
      <c r="G331" s="89"/>
      <c r="H331" s="89"/>
      <c r="I331" s="89"/>
      <c r="J331" s="89"/>
      <c r="K331" s="303"/>
    </row>
    <row r="332" spans="1:11" ht="15.6">
      <c r="A332" s="300"/>
      <c r="C332" s="301"/>
      <c r="D332" s="302"/>
      <c r="E332" s="302"/>
      <c r="F332" s="89"/>
      <c r="G332" s="89"/>
      <c r="H332" s="89"/>
      <c r="I332" s="89"/>
      <c r="J332" s="89"/>
      <c r="K332" s="303"/>
    </row>
    <row r="333" spans="1:11" ht="15.6">
      <c r="A333" s="300"/>
      <c r="C333" s="301"/>
      <c r="D333" s="302"/>
      <c r="E333" s="302"/>
      <c r="F333" s="89"/>
      <c r="G333" s="89"/>
      <c r="H333" s="89"/>
      <c r="I333" s="89"/>
      <c r="J333" s="89"/>
      <c r="K333" s="303"/>
    </row>
    <row r="334" spans="1:11" ht="15.6">
      <c r="A334" s="300"/>
      <c r="C334" s="301"/>
      <c r="D334" s="302"/>
      <c r="E334" s="302"/>
      <c r="F334" s="89"/>
      <c r="G334" s="89"/>
      <c r="H334" s="89"/>
      <c r="I334" s="89"/>
      <c r="J334" s="89"/>
      <c r="K334" s="303"/>
    </row>
    <row r="335" spans="1:11" ht="15.6">
      <c r="A335" s="300"/>
      <c r="C335" s="301"/>
      <c r="D335" s="302"/>
      <c r="E335" s="302"/>
      <c r="F335" s="89"/>
      <c r="G335" s="89"/>
      <c r="H335" s="89"/>
      <c r="I335" s="89"/>
      <c r="J335" s="89"/>
      <c r="K335" s="303"/>
    </row>
    <row r="336" spans="1:11" ht="15.6">
      <c r="A336" s="300"/>
      <c r="C336" s="301"/>
      <c r="D336" s="302"/>
      <c r="E336" s="302"/>
      <c r="F336" s="89"/>
      <c r="G336" s="89"/>
      <c r="H336" s="89"/>
      <c r="I336" s="89"/>
      <c r="J336" s="89"/>
      <c r="K336" s="303"/>
    </row>
    <row r="337" spans="1:11" ht="15.6">
      <c r="A337" s="300"/>
      <c r="C337" s="301"/>
      <c r="D337" s="302"/>
      <c r="E337" s="302"/>
      <c r="F337" s="89"/>
      <c r="G337" s="89"/>
      <c r="H337" s="89"/>
      <c r="I337" s="89"/>
      <c r="J337" s="89"/>
      <c r="K337" s="303"/>
    </row>
    <row r="338" spans="1:11" ht="15.6">
      <c r="A338" s="300"/>
      <c r="C338" s="301"/>
      <c r="D338" s="302"/>
      <c r="E338" s="302"/>
      <c r="F338" s="89"/>
      <c r="G338" s="89"/>
      <c r="H338" s="89"/>
      <c r="I338" s="89"/>
      <c r="J338" s="89"/>
      <c r="K338" s="303"/>
    </row>
    <row r="339" spans="1:11" ht="15.6">
      <c r="A339" s="300"/>
      <c r="C339" s="301"/>
      <c r="D339" s="302"/>
      <c r="E339" s="302"/>
      <c r="F339" s="89"/>
      <c r="G339" s="89"/>
      <c r="H339" s="89"/>
      <c r="I339" s="89"/>
      <c r="J339" s="89"/>
      <c r="K339" s="303"/>
    </row>
    <row r="340" spans="1:11" ht="15.6">
      <c r="A340" s="300"/>
      <c r="C340" s="301"/>
      <c r="D340" s="302"/>
      <c r="E340" s="302"/>
      <c r="F340" s="89"/>
      <c r="G340" s="89"/>
      <c r="H340" s="89"/>
      <c r="I340" s="89"/>
      <c r="J340" s="89"/>
      <c r="K340" s="303"/>
    </row>
    <row r="341" spans="1:11" ht="15.6">
      <c r="A341" s="300"/>
      <c r="C341" s="301"/>
      <c r="D341" s="302"/>
      <c r="E341" s="302"/>
      <c r="F341" s="89"/>
      <c r="G341" s="89"/>
      <c r="H341" s="89"/>
      <c r="I341" s="89"/>
      <c r="J341" s="89"/>
      <c r="K341" s="303"/>
    </row>
    <row r="342" spans="1:11" ht="15.6">
      <c r="A342" s="300"/>
      <c r="C342" s="301"/>
      <c r="D342" s="302"/>
      <c r="E342" s="302"/>
      <c r="F342" s="89"/>
      <c r="G342" s="89"/>
      <c r="H342" s="89"/>
      <c r="I342" s="89"/>
      <c r="J342" s="89"/>
      <c r="K342" s="303"/>
    </row>
    <row r="343" spans="1:11" ht="15.6">
      <c r="A343" s="300"/>
      <c r="C343" s="301"/>
      <c r="D343" s="302"/>
      <c r="E343" s="302"/>
      <c r="F343" s="89"/>
      <c r="G343" s="89"/>
      <c r="H343" s="89"/>
      <c r="I343" s="89"/>
      <c r="J343" s="89"/>
      <c r="K343" s="303"/>
    </row>
    <row r="344" spans="1:11" ht="15.6">
      <c r="A344" s="300"/>
      <c r="C344" s="301"/>
      <c r="D344" s="302"/>
      <c r="E344" s="302"/>
      <c r="F344" s="89"/>
      <c r="G344" s="89"/>
      <c r="H344" s="89"/>
      <c r="I344" s="89"/>
      <c r="J344" s="89"/>
      <c r="K344" s="303"/>
    </row>
    <row r="345" spans="1:11" ht="15.6">
      <c r="A345" s="300"/>
      <c r="C345" s="301"/>
      <c r="D345" s="302"/>
      <c r="E345" s="302"/>
      <c r="F345" s="89"/>
      <c r="G345" s="89"/>
      <c r="H345" s="89"/>
      <c r="I345" s="89"/>
      <c r="J345" s="89"/>
      <c r="K345" s="303"/>
    </row>
    <row r="346" spans="1:11" ht="15.6">
      <c r="A346" s="300"/>
      <c r="C346" s="301"/>
      <c r="D346" s="302"/>
      <c r="E346" s="302"/>
      <c r="F346" s="89"/>
      <c r="G346" s="89"/>
      <c r="H346" s="89"/>
      <c r="I346" s="89"/>
      <c r="J346" s="89"/>
      <c r="K346" s="303"/>
    </row>
    <row r="347" spans="1:11" ht="15.6">
      <c r="A347" s="300"/>
      <c r="C347" s="301"/>
      <c r="D347" s="302"/>
      <c r="E347" s="302"/>
      <c r="F347" s="89"/>
      <c r="G347" s="89"/>
      <c r="H347" s="89"/>
      <c r="I347" s="89"/>
      <c r="J347" s="89"/>
      <c r="K347" s="303"/>
    </row>
    <row r="348" spans="1:11" ht="15.6">
      <c r="A348" s="300"/>
      <c r="C348" s="301"/>
      <c r="D348" s="302"/>
      <c r="E348" s="302"/>
      <c r="F348" s="89"/>
      <c r="G348" s="89"/>
      <c r="H348" s="89"/>
      <c r="I348" s="89"/>
      <c r="J348" s="89"/>
      <c r="K348" s="303"/>
    </row>
    <row r="349" spans="1:11" ht="15.6">
      <c r="A349" s="300"/>
      <c r="C349" s="301"/>
      <c r="D349" s="302"/>
      <c r="E349" s="302"/>
      <c r="F349" s="89"/>
      <c r="G349" s="89"/>
      <c r="H349" s="89"/>
      <c r="I349" s="89"/>
      <c r="J349" s="89"/>
      <c r="K349" s="303"/>
    </row>
    <row r="350" spans="1:11" ht="15.6">
      <c r="A350" s="300"/>
      <c r="C350" s="301"/>
      <c r="D350" s="302"/>
      <c r="E350" s="302"/>
      <c r="F350" s="89"/>
      <c r="G350" s="89"/>
      <c r="H350" s="89"/>
      <c r="I350" s="89"/>
      <c r="J350" s="89"/>
      <c r="K350" s="303"/>
    </row>
    <row r="351" spans="1:11" ht="15.6">
      <c r="A351" s="300"/>
      <c r="C351" s="301"/>
      <c r="D351" s="302"/>
      <c r="E351" s="302"/>
      <c r="F351" s="89"/>
      <c r="G351" s="89"/>
      <c r="H351" s="89"/>
      <c r="I351" s="89"/>
      <c r="J351" s="89"/>
      <c r="K351" s="303"/>
    </row>
    <row r="352" spans="1:11" ht="15.6">
      <c r="A352" s="300"/>
      <c r="C352" s="301"/>
      <c r="D352" s="302"/>
      <c r="E352" s="302"/>
      <c r="F352" s="89"/>
      <c r="G352" s="89"/>
      <c r="H352" s="89"/>
      <c r="I352" s="89"/>
      <c r="J352" s="89"/>
      <c r="K352" s="303"/>
    </row>
    <row r="353" spans="1:11" ht="15.6">
      <c r="A353" s="300"/>
      <c r="C353" s="301"/>
      <c r="D353" s="302"/>
      <c r="E353" s="302"/>
      <c r="F353" s="89"/>
      <c r="G353" s="89"/>
      <c r="H353" s="89"/>
      <c r="I353" s="89"/>
      <c r="J353" s="89"/>
      <c r="K353" s="303"/>
    </row>
    <row r="354" spans="1:11" ht="15.6">
      <c r="A354" s="300"/>
      <c r="C354" s="301"/>
      <c r="D354" s="302"/>
      <c r="E354" s="302"/>
      <c r="F354" s="89"/>
      <c r="G354" s="89"/>
      <c r="H354" s="89"/>
      <c r="I354" s="89"/>
      <c r="J354" s="89"/>
      <c r="K354" s="303"/>
    </row>
    <row r="355" spans="1:11" ht="15.6">
      <c r="A355" s="300"/>
      <c r="C355" s="301"/>
      <c r="D355" s="302"/>
      <c r="E355" s="302"/>
      <c r="F355" s="89"/>
      <c r="G355" s="89"/>
      <c r="H355" s="89"/>
      <c r="I355" s="89"/>
      <c r="J355" s="89"/>
      <c r="K355" s="303"/>
    </row>
    <row r="356" spans="1:11" ht="15.6">
      <c r="A356" s="300"/>
      <c r="C356" s="301"/>
      <c r="D356" s="302"/>
      <c r="E356" s="302"/>
      <c r="F356" s="89"/>
      <c r="G356" s="89"/>
      <c r="H356" s="89"/>
      <c r="I356" s="89"/>
      <c r="J356" s="89"/>
      <c r="K356" s="303"/>
    </row>
    <row r="357" spans="1:11" ht="15.6">
      <c r="A357" s="300"/>
      <c r="C357" s="301"/>
      <c r="D357" s="302"/>
      <c r="E357" s="302"/>
      <c r="F357" s="89"/>
      <c r="G357" s="89"/>
      <c r="H357" s="89"/>
      <c r="I357" s="89"/>
      <c r="J357" s="89"/>
      <c r="K357" s="303"/>
    </row>
    <row r="358" spans="1:11" ht="15.6">
      <c r="A358" s="300"/>
      <c r="C358" s="301"/>
      <c r="D358" s="302"/>
      <c r="E358" s="302"/>
      <c r="F358" s="89"/>
      <c r="G358" s="89"/>
      <c r="H358" s="89"/>
      <c r="I358" s="89"/>
      <c r="J358" s="89"/>
      <c r="K358" s="303"/>
    </row>
    <row r="359" spans="1:11" ht="15.6">
      <c r="A359" s="300"/>
      <c r="C359" s="301"/>
      <c r="D359" s="302"/>
      <c r="E359" s="302"/>
      <c r="F359" s="89"/>
      <c r="G359" s="89"/>
      <c r="H359" s="89"/>
      <c r="I359" s="89"/>
      <c r="J359" s="89"/>
      <c r="K359" s="303"/>
    </row>
    <row r="360" spans="1:11" ht="15.6">
      <c r="A360" s="300"/>
      <c r="C360" s="301"/>
      <c r="D360" s="302"/>
      <c r="E360" s="302"/>
      <c r="F360" s="89"/>
      <c r="G360" s="89"/>
      <c r="H360" s="89"/>
      <c r="I360" s="89"/>
      <c r="J360" s="89"/>
      <c r="K360" s="303"/>
    </row>
    <row r="361" spans="1:11" ht="15.6">
      <c r="A361" s="300"/>
      <c r="C361" s="301"/>
      <c r="D361" s="302"/>
      <c r="E361" s="302"/>
      <c r="F361" s="89"/>
      <c r="G361" s="89"/>
      <c r="H361" s="89"/>
      <c r="I361" s="89"/>
      <c r="J361" s="89"/>
      <c r="K361" s="303"/>
    </row>
    <row r="362" spans="1:11" ht="15.6">
      <c r="A362" s="300"/>
      <c r="C362" s="301"/>
      <c r="D362" s="302"/>
      <c r="E362" s="302"/>
      <c r="F362" s="89"/>
      <c r="G362" s="89"/>
      <c r="H362" s="89"/>
      <c r="I362" s="89"/>
      <c r="J362" s="89"/>
      <c r="K362" s="303"/>
    </row>
    <row r="363" spans="1:11" ht="15.6">
      <c r="A363" s="300"/>
      <c r="C363" s="301"/>
      <c r="D363" s="302"/>
      <c r="E363" s="302"/>
      <c r="F363" s="89"/>
      <c r="G363" s="89"/>
      <c r="H363" s="89"/>
      <c r="I363" s="89"/>
      <c r="J363" s="89"/>
      <c r="K363" s="303"/>
    </row>
    <row r="364" spans="1:11" ht="15.6">
      <c r="A364" s="300"/>
      <c r="C364" s="301"/>
      <c r="D364" s="302"/>
      <c r="E364" s="302"/>
      <c r="F364" s="89"/>
      <c r="G364" s="89"/>
      <c r="H364" s="89"/>
      <c r="I364" s="89"/>
      <c r="J364" s="89"/>
      <c r="K364" s="303"/>
    </row>
    <row r="365" spans="1:11" ht="15.6">
      <c r="A365" s="300"/>
      <c r="C365" s="301"/>
      <c r="D365" s="302"/>
      <c r="E365" s="302"/>
      <c r="F365" s="89"/>
      <c r="G365" s="89"/>
      <c r="H365" s="89"/>
      <c r="I365" s="89"/>
      <c r="J365" s="89"/>
      <c r="K365" s="303"/>
    </row>
    <row r="366" spans="1:11" ht="15.6">
      <c r="A366" s="300"/>
      <c r="C366" s="301"/>
      <c r="D366" s="302"/>
      <c r="E366" s="302"/>
      <c r="F366" s="89"/>
      <c r="G366" s="89"/>
      <c r="H366" s="89"/>
      <c r="I366" s="89"/>
      <c r="J366" s="89"/>
      <c r="K366" s="303"/>
    </row>
    <row r="367" spans="1:11" ht="15.6">
      <c r="A367" s="300"/>
      <c r="C367" s="301"/>
      <c r="D367" s="302"/>
      <c r="E367" s="302"/>
      <c r="F367" s="89"/>
      <c r="G367" s="89"/>
      <c r="H367" s="89"/>
      <c r="I367" s="89"/>
      <c r="J367" s="89"/>
      <c r="K367" s="303"/>
    </row>
    <row r="368" spans="1:11" ht="15.6">
      <c r="A368" s="300"/>
      <c r="C368" s="301"/>
      <c r="D368" s="302"/>
      <c r="E368" s="302"/>
      <c r="F368" s="89"/>
      <c r="G368" s="89"/>
      <c r="H368" s="89"/>
      <c r="I368" s="89"/>
      <c r="J368" s="89"/>
      <c r="K368" s="303"/>
    </row>
    <row r="369" spans="1:11" ht="15.6">
      <c r="A369" s="300"/>
      <c r="C369" s="301"/>
      <c r="D369" s="302"/>
      <c r="E369" s="302"/>
      <c r="F369" s="89"/>
      <c r="G369" s="89"/>
      <c r="H369" s="89"/>
      <c r="I369" s="89"/>
      <c r="J369" s="89"/>
      <c r="K369" s="303"/>
    </row>
    <row r="370" spans="1:11" ht="15.6">
      <c r="A370" s="300"/>
      <c r="C370" s="301"/>
      <c r="D370" s="302"/>
      <c r="E370" s="302"/>
      <c r="F370" s="89"/>
      <c r="G370" s="89"/>
      <c r="H370" s="89"/>
      <c r="I370" s="89"/>
      <c r="J370" s="89"/>
      <c r="K370" s="303"/>
    </row>
    <row r="371" spans="1:11" ht="15.6">
      <c r="A371" s="300"/>
      <c r="C371" s="301"/>
      <c r="D371" s="302"/>
      <c r="E371" s="302"/>
      <c r="F371" s="89"/>
      <c r="G371" s="89"/>
      <c r="H371" s="89"/>
      <c r="I371" s="89"/>
      <c r="J371" s="89"/>
      <c r="K371" s="303"/>
    </row>
    <row r="372" spans="1:11" ht="15.6">
      <c r="A372" s="300"/>
      <c r="C372" s="301"/>
      <c r="D372" s="302"/>
      <c r="E372" s="302"/>
      <c r="F372" s="89"/>
      <c r="G372" s="89"/>
      <c r="H372" s="89"/>
      <c r="I372" s="89"/>
      <c r="J372" s="89"/>
      <c r="K372" s="303"/>
    </row>
    <row r="373" spans="1:11" ht="15.6">
      <c r="A373" s="300"/>
      <c r="C373" s="301"/>
      <c r="D373" s="302"/>
      <c r="E373" s="302"/>
      <c r="F373" s="89"/>
      <c r="G373" s="89"/>
      <c r="H373" s="89"/>
      <c r="I373" s="89"/>
      <c r="J373" s="89"/>
      <c r="K373" s="303"/>
    </row>
    <row r="374" spans="1:11" ht="15.6">
      <c r="A374" s="300"/>
      <c r="C374" s="301"/>
      <c r="D374" s="302"/>
      <c r="E374" s="302"/>
      <c r="F374" s="89"/>
      <c r="G374" s="89"/>
      <c r="H374" s="89"/>
      <c r="I374" s="89"/>
      <c r="J374" s="89"/>
      <c r="K374" s="303"/>
    </row>
    <row r="375" spans="1:11" ht="15.6">
      <c r="A375" s="300"/>
      <c r="C375" s="301"/>
      <c r="D375" s="302"/>
      <c r="E375" s="302"/>
      <c r="F375" s="89"/>
      <c r="G375" s="89"/>
      <c r="H375" s="89"/>
      <c r="I375" s="89"/>
      <c r="J375" s="89"/>
      <c r="K375" s="303"/>
    </row>
    <row r="376" spans="1:11" ht="15.6">
      <c r="A376" s="300"/>
      <c r="C376" s="301"/>
      <c r="D376" s="302"/>
      <c r="E376" s="302"/>
      <c r="F376" s="89"/>
      <c r="G376" s="89"/>
      <c r="H376" s="89"/>
      <c r="I376" s="89"/>
      <c r="J376" s="89"/>
      <c r="K376" s="303"/>
    </row>
    <row r="377" spans="1:11" ht="15.6">
      <c r="A377" s="300"/>
      <c r="C377" s="301"/>
      <c r="D377" s="302"/>
      <c r="E377" s="302"/>
      <c r="F377" s="89"/>
      <c r="G377" s="89"/>
      <c r="H377" s="89"/>
      <c r="I377" s="89"/>
      <c r="J377" s="89"/>
      <c r="K377" s="303"/>
    </row>
    <row r="378" spans="1:11" ht="15.6">
      <c r="A378" s="300"/>
      <c r="C378" s="301"/>
      <c r="D378" s="302"/>
      <c r="E378" s="302"/>
      <c r="F378" s="89"/>
      <c r="G378" s="89"/>
      <c r="H378" s="89"/>
      <c r="I378" s="89"/>
      <c r="J378" s="89"/>
      <c r="K378" s="303"/>
    </row>
    <row r="379" spans="1:11" ht="15.6">
      <c r="A379" s="300"/>
      <c r="C379" s="301"/>
      <c r="D379" s="302"/>
      <c r="E379" s="302"/>
      <c r="F379" s="89"/>
      <c r="G379" s="89"/>
      <c r="H379" s="89"/>
      <c r="I379" s="89"/>
      <c r="J379" s="89"/>
      <c r="K379" s="303"/>
    </row>
    <row r="380" spans="1:11" ht="15.6">
      <c r="A380" s="300"/>
      <c r="C380" s="301"/>
      <c r="D380" s="302"/>
      <c r="E380" s="302"/>
      <c r="F380" s="89"/>
      <c r="G380" s="89"/>
      <c r="H380" s="89"/>
      <c r="I380" s="89"/>
      <c r="J380" s="89"/>
      <c r="K380" s="303"/>
    </row>
    <row r="381" spans="1:11" ht="15.6">
      <c r="A381" s="300"/>
      <c r="C381" s="301"/>
      <c r="D381" s="302"/>
      <c r="E381" s="302"/>
      <c r="F381" s="89"/>
      <c r="G381" s="89"/>
      <c r="H381" s="89"/>
      <c r="I381" s="89"/>
      <c r="J381" s="89"/>
      <c r="K381" s="303"/>
    </row>
    <row r="382" spans="1:11" ht="15.6">
      <c r="A382" s="300"/>
      <c r="C382" s="301"/>
      <c r="D382" s="302"/>
      <c r="E382" s="302"/>
      <c r="F382" s="89"/>
      <c r="G382" s="89"/>
      <c r="H382" s="89"/>
      <c r="I382" s="89"/>
      <c r="J382" s="89"/>
      <c r="K382" s="303"/>
    </row>
    <row r="383" spans="1:11" ht="15.6">
      <c r="A383" s="300"/>
      <c r="C383" s="301"/>
      <c r="D383" s="302"/>
      <c r="E383" s="302"/>
      <c r="F383" s="89"/>
      <c r="G383" s="89"/>
      <c r="H383" s="89"/>
      <c r="I383" s="89"/>
      <c r="J383" s="89"/>
      <c r="K383" s="303"/>
    </row>
    <row r="384" spans="1:11" ht="15.6">
      <c r="A384" s="300"/>
      <c r="C384" s="301"/>
      <c r="D384" s="302"/>
      <c r="E384" s="302"/>
      <c r="F384" s="89"/>
      <c r="G384" s="89"/>
      <c r="H384" s="89"/>
      <c r="I384" s="89"/>
      <c r="J384" s="89"/>
      <c r="K384" s="303"/>
    </row>
    <row r="385" spans="1:11" ht="15.6">
      <c r="A385" s="300"/>
      <c r="C385" s="301"/>
      <c r="D385" s="302"/>
      <c r="E385" s="302"/>
      <c r="F385" s="89"/>
      <c r="G385" s="89"/>
      <c r="H385" s="89"/>
      <c r="I385" s="89"/>
      <c r="J385" s="89"/>
      <c r="K385" s="303"/>
    </row>
    <row r="386" spans="1:11" ht="15.6">
      <c r="A386" s="300"/>
      <c r="C386" s="301"/>
      <c r="D386" s="302"/>
      <c r="E386" s="302"/>
      <c r="F386" s="89"/>
      <c r="G386" s="89"/>
      <c r="H386" s="89"/>
      <c r="I386" s="89"/>
      <c r="J386" s="89"/>
      <c r="K386" s="303"/>
    </row>
    <row r="387" spans="1:11" ht="15.6">
      <c r="A387" s="300"/>
      <c r="C387" s="301"/>
      <c r="D387" s="302"/>
      <c r="E387" s="302"/>
      <c r="F387" s="89"/>
      <c r="G387" s="89"/>
      <c r="H387" s="89"/>
      <c r="I387" s="89"/>
      <c r="J387" s="89"/>
      <c r="K387" s="303"/>
    </row>
    <row r="388" spans="1:11" ht="15.6">
      <c r="A388" s="300"/>
      <c r="C388" s="301"/>
      <c r="D388" s="302"/>
      <c r="E388" s="302"/>
      <c r="F388" s="89"/>
      <c r="G388" s="89"/>
      <c r="H388" s="89"/>
      <c r="I388" s="89"/>
      <c r="J388" s="89"/>
      <c r="K388" s="303"/>
    </row>
    <row r="389" spans="1:11" ht="15.6">
      <c r="A389" s="300"/>
      <c r="C389" s="301"/>
      <c r="D389" s="302"/>
      <c r="E389" s="302"/>
      <c r="F389" s="89"/>
      <c r="G389" s="89"/>
      <c r="H389" s="89"/>
      <c r="I389" s="89"/>
      <c r="J389" s="89"/>
      <c r="K389" s="303"/>
    </row>
    <row r="390" spans="1:11" ht="15.6">
      <c r="A390" s="300"/>
      <c r="C390" s="301"/>
      <c r="D390" s="302"/>
      <c r="E390" s="302"/>
      <c r="F390" s="89"/>
      <c r="G390" s="89"/>
      <c r="H390" s="89"/>
      <c r="I390" s="89"/>
      <c r="J390" s="89"/>
      <c r="K390" s="303"/>
    </row>
    <row r="391" spans="1:11" ht="15.6">
      <c r="A391" s="300"/>
      <c r="C391" s="301"/>
      <c r="D391" s="302"/>
      <c r="E391" s="302"/>
      <c r="F391" s="89"/>
      <c r="G391" s="89"/>
      <c r="H391" s="89"/>
      <c r="I391" s="89"/>
      <c r="J391" s="89"/>
      <c r="K391" s="303"/>
    </row>
    <row r="392" spans="1:11" ht="15.6">
      <c r="A392" s="300"/>
      <c r="C392" s="301"/>
      <c r="D392" s="302"/>
      <c r="E392" s="302"/>
      <c r="F392" s="89"/>
      <c r="G392" s="89"/>
      <c r="H392" s="89"/>
      <c r="I392" s="89"/>
      <c r="J392" s="89"/>
      <c r="K392" s="303"/>
    </row>
    <row r="393" spans="1:11" ht="15.6">
      <c r="A393" s="300"/>
      <c r="C393" s="301"/>
      <c r="D393" s="302"/>
      <c r="E393" s="302"/>
      <c r="F393" s="89"/>
      <c r="G393" s="89"/>
      <c r="H393" s="89"/>
      <c r="I393" s="89"/>
      <c r="J393" s="89"/>
      <c r="K393" s="303"/>
    </row>
    <row r="394" spans="1:11" ht="15.6">
      <c r="A394" s="300"/>
      <c r="C394" s="301"/>
      <c r="D394" s="302"/>
      <c r="E394" s="302"/>
      <c r="F394" s="89"/>
      <c r="G394" s="89"/>
      <c r="H394" s="89"/>
      <c r="I394" s="89"/>
      <c r="J394" s="89"/>
      <c r="K394" s="303"/>
    </row>
    <row r="395" spans="1:11" ht="15.6">
      <c r="A395" s="300"/>
      <c r="C395" s="301"/>
      <c r="D395" s="302"/>
      <c r="E395" s="302"/>
      <c r="F395" s="89"/>
      <c r="G395" s="89"/>
      <c r="H395" s="89"/>
      <c r="I395" s="89"/>
      <c r="J395" s="89"/>
      <c r="K395" s="303"/>
    </row>
    <row r="396" spans="1:11" ht="15.6">
      <c r="A396" s="300"/>
      <c r="C396" s="301"/>
      <c r="D396" s="302"/>
      <c r="E396" s="302"/>
      <c r="F396" s="89"/>
      <c r="G396" s="89"/>
      <c r="H396" s="89"/>
      <c r="I396" s="89"/>
      <c r="J396" s="89"/>
      <c r="K396" s="303"/>
    </row>
    <row r="397" spans="1:11" ht="15.6">
      <c r="A397" s="300"/>
      <c r="C397" s="301"/>
      <c r="D397" s="302"/>
      <c r="E397" s="302"/>
      <c r="F397" s="89"/>
      <c r="G397" s="89"/>
      <c r="H397" s="89"/>
      <c r="I397" s="89"/>
      <c r="J397" s="89"/>
      <c r="K397" s="303"/>
    </row>
    <row r="398" spans="1:11" ht="15.6">
      <c r="A398" s="300"/>
      <c r="C398" s="301"/>
      <c r="D398" s="302"/>
      <c r="E398" s="302"/>
      <c r="F398" s="89"/>
      <c r="G398" s="89"/>
      <c r="H398" s="89"/>
      <c r="I398" s="89"/>
      <c r="J398" s="89"/>
      <c r="K398" s="303"/>
    </row>
    <row r="399" spans="1:11" ht="15.6">
      <c r="A399" s="300"/>
      <c r="C399" s="301"/>
      <c r="D399" s="302"/>
      <c r="E399" s="302"/>
      <c r="F399" s="89"/>
      <c r="G399" s="89"/>
      <c r="H399" s="89"/>
      <c r="I399" s="89"/>
      <c r="J399" s="89"/>
      <c r="K399" s="303"/>
    </row>
    <row r="400" spans="1:11" ht="15.6">
      <c r="A400" s="300"/>
      <c r="C400" s="301"/>
      <c r="D400" s="302"/>
      <c r="E400" s="302"/>
      <c r="F400" s="89"/>
      <c r="G400" s="89"/>
      <c r="H400" s="89"/>
      <c r="I400" s="89"/>
      <c r="J400" s="89"/>
      <c r="K400" s="303"/>
    </row>
    <row r="401" spans="1:11" ht="15.6">
      <c r="A401" s="300"/>
      <c r="C401" s="301"/>
      <c r="D401" s="302"/>
      <c r="E401" s="302"/>
      <c r="F401" s="89"/>
      <c r="G401" s="89"/>
      <c r="H401" s="89"/>
      <c r="I401" s="89"/>
      <c r="J401" s="89"/>
      <c r="K401" s="303"/>
    </row>
    <row r="402" spans="1:11" ht="15.6">
      <c r="A402" s="300"/>
      <c r="C402" s="301"/>
      <c r="D402" s="302"/>
      <c r="E402" s="302"/>
      <c r="F402" s="89"/>
      <c r="G402" s="89"/>
      <c r="H402" s="89"/>
      <c r="I402" s="89"/>
      <c r="J402" s="89"/>
      <c r="K402" s="303"/>
    </row>
    <row r="403" spans="1:11" ht="15.6">
      <c r="A403" s="300"/>
      <c r="C403" s="301"/>
      <c r="D403" s="302"/>
      <c r="E403" s="302"/>
      <c r="F403" s="89"/>
      <c r="G403" s="89"/>
      <c r="H403" s="89"/>
      <c r="I403" s="89"/>
      <c r="J403" s="89"/>
      <c r="K403" s="303"/>
    </row>
    <row r="404" spans="1:11" ht="15.6">
      <c r="A404" s="300"/>
      <c r="C404" s="301"/>
      <c r="D404" s="302"/>
      <c r="E404" s="302"/>
      <c r="F404" s="89"/>
      <c r="G404" s="89"/>
      <c r="H404" s="89"/>
      <c r="I404" s="89"/>
      <c r="J404" s="89"/>
      <c r="K404" s="303"/>
    </row>
    <row r="405" spans="1:11" ht="15.6">
      <c r="A405" s="300"/>
      <c r="C405" s="301"/>
      <c r="D405" s="302"/>
      <c r="E405" s="302"/>
      <c r="F405" s="89"/>
      <c r="G405" s="89"/>
      <c r="H405" s="89"/>
      <c r="I405" s="89"/>
      <c r="J405" s="89"/>
      <c r="K405" s="303"/>
    </row>
    <row r="406" spans="1:11" ht="15.6">
      <c r="A406" s="300"/>
      <c r="C406" s="301"/>
      <c r="D406" s="302"/>
      <c r="E406" s="302"/>
      <c r="F406" s="89"/>
      <c r="G406" s="89"/>
      <c r="H406" s="89"/>
      <c r="I406" s="89"/>
      <c r="J406" s="89"/>
      <c r="K406" s="303"/>
    </row>
    <row r="407" spans="1:11" ht="15.6">
      <c r="A407" s="300"/>
      <c r="C407" s="301"/>
      <c r="D407" s="302"/>
      <c r="E407" s="302"/>
      <c r="F407" s="89"/>
      <c r="G407" s="89"/>
      <c r="H407" s="89"/>
      <c r="I407" s="89"/>
      <c r="J407" s="89"/>
      <c r="K407" s="303"/>
    </row>
    <row r="408" spans="1:11" ht="15.6">
      <c r="A408" s="300"/>
      <c r="C408" s="301"/>
      <c r="D408" s="302"/>
      <c r="E408" s="302"/>
      <c r="F408" s="89"/>
      <c r="G408" s="89"/>
      <c r="H408" s="89"/>
      <c r="I408" s="89"/>
      <c r="J408" s="89"/>
      <c r="K408" s="303"/>
    </row>
    <row r="409" spans="1:11" ht="15.6">
      <c r="A409" s="300"/>
      <c r="C409" s="301"/>
      <c r="D409" s="302"/>
      <c r="E409" s="302"/>
      <c r="F409" s="89"/>
      <c r="G409" s="89"/>
      <c r="H409" s="89"/>
      <c r="I409" s="89"/>
      <c r="J409" s="89"/>
      <c r="K409" s="303"/>
    </row>
    <row r="410" spans="1:11" ht="15.6">
      <c r="A410" s="300"/>
      <c r="C410" s="301"/>
      <c r="D410" s="302"/>
      <c r="E410" s="302"/>
      <c r="F410" s="89"/>
      <c r="G410" s="89"/>
      <c r="H410" s="89"/>
      <c r="I410" s="89"/>
      <c r="J410" s="89"/>
      <c r="K410" s="303"/>
    </row>
    <row r="411" spans="1:11" ht="15.6">
      <c r="A411" s="300"/>
      <c r="C411" s="301"/>
      <c r="D411" s="302"/>
      <c r="E411" s="302"/>
      <c r="F411" s="89"/>
      <c r="G411" s="89"/>
      <c r="H411" s="89"/>
      <c r="I411" s="89"/>
      <c r="J411" s="89"/>
      <c r="K411" s="303"/>
    </row>
    <row r="412" spans="1:11" ht="15.6">
      <c r="A412" s="300"/>
      <c r="C412" s="301"/>
      <c r="D412" s="302"/>
      <c r="E412" s="302"/>
      <c r="F412" s="89"/>
      <c r="G412" s="89"/>
      <c r="H412" s="89"/>
      <c r="I412" s="89"/>
      <c r="J412" s="89"/>
      <c r="K412" s="303"/>
    </row>
    <row r="413" spans="1:11" ht="15.6">
      <c r="A413" s="300"/>
      <c r="C413" s="301"/>
      <c r="D413" s="302"/>
      <c r="E413" s="302"/>
      <c r="F413" s="89"/>
      <c r="G413" s="89"/>
      <c r="H413" s="89"/>
      <c r="I413" s="89"/>
      <c r="J413" s="89"/>
      <c r="K413" s="303"/>
    </row>
    <row r="414" spans="1:11" ht="15.6">
      <c r="A414" s="300"/>
      <c r="C414" s="301"/>
      <c r="D414" s="302"/>
      <c r="E414" s="302"/>
      <c r="F414" s="89"/>
      <c r="G414" s="89"/>
      <c r="H414" s="89"/>
      <c r="I414" s="89"/>
      <c r="J414" s="89"/>
      <c r="K414" s="303"/>
    </row>
    <row r="415" spans="1:11" ht="15.6">
      <c r="A415" s="300"/>
      <c r="C415" s="301"/>
      <c r="D415" s="302"/>
      <c r="E415" s="302"/>
      <c r="F415" s="89"/>
      <c r="G415" s="89"/>
      <c r="H415" s="89"/>
      <c r="I415" s="89"/>
      <c r="J415" s="89"/>
      <c r="K415" s="303"/>
    </row>
    <row r="416" spans="1:11" ht="15.6">
      <c r="A416" s="300"/>
      <c r="C416" s="301"/>
      <c r="D416" s="302"/>
      <c r="E416" s="302"/>
      <c r="F416" s="89"/>
      <c r="G416" s="89"/>
      <c r="H416" s="89"/>
      <c r="I416" s="89"/>
      <c r="J416" s="89"/>
      <c r="K416" s="303"/>
    </row>
    <row r="417" spans="1:11" ht="15.6">
      <c r="A417" s="300"/>
      <c r="C417" s="301"/>
      <c r="D417" s="302"/>
      <c r="E417" s="302"/>
      <c r="F417" s="89"/>
      <c r="G417" s="89"/>
      <c r="H417" s="89"/>
      <c r="I417" s="89"/>
      <c r="J417" s="89"/>
      <c r="K417" s="303"/>
    </row>
    <row r="418" spans="1:11" ht="15.6">
      <c r="A418" s="300"/>
      <c r="C418" s="301"/>
      <c r="D418" s="302"/>
      <c r="E418" s="302"/>
      <c r="F418" s="89"/>
      <c r="G418" s="89"/>
      <c r="H418" s="89"/>
      <c r="I418" s="89"/>
      <c r="J418" s="89"/>
      <c r="K418" s="303"/>
    </row>
    <row r="419" spans="1:11" ht="15.6">
      <c r="A419" s="300"/>
      <c r="C419" s="301"/>
      <c r="D419" s="302"/>
      <c r="E419" s="302"/>
      <c r="F419" s="89"/>
      <c r="G419" s="89"/>
      <c r="H419" s="89"/>
      <c r="I419" s="89"/>
      <c r="J419" s="89"/>
      <c r="K419" s="303"/>
    </row>
    <row r="420" spans="1:11" ht="15.6">
      <c r="A420" s="300"/>
      <c r="C420" s="301"/>
      <c r="D420" s="302"/>
      <c r="E420" s="302"/>
      <c r="F420" s="89"/>
      <c r="G420" s="89"/>
      <c r="H420" s="89"/>
      <c r="I420" s="89"/>
      <c r="J420" s="89"/>
      <c r="K420" s="303"/>
    </row>
    <row r="421" spans="1:11" ht="15.6">
      <c r="A421" s="300"/>
      <c r="C421" s="301"/>
      <c r="D421" s="302"/>
      <c r="E421" s="302"/>
      <c r="F421" s="89"/>
      <c r="G421" s="89"/>
      <c r="H421" s="89"/>
      <c r="I421" s="89"/>
      <c r="J421" s="89"/>
      <c r="K421" s="303"/>
    </row>
    <row r="422" spans="1:11" ht="15.6">
      <c r="A422" s="300"/>
      <c r="C422" s="301"/>
      <c r="D422" s="302"/>
      <c r="E422" s="302"/>
      <c r="F422" s="89"/>
      <c r="G422" s="89"/>
      <c r="H422" s="89"/>
      <c r="I422" s="89"/>
      <c r="J422" s="89"/>
      <c r="K422" s="303"/>
    </row>
    <row r="423" spans="1:11" ht="15.6">
      <c r="A423" s="300"/>
      <c r="C423" s="301"/>
      <c r="D423" s="302"/>
      <c r="E423" s="302"/>
      <c r="F423" s="89"/>
      <c r="G423" s="89"/>
      <c r="H423" s="89"/>
      <c r="I423" s="89"/>
      <c r="J423" s="89"/>
      <c r="K423" s="303"/>
    </row>
    <row r="424" spans="1:11" ht="15.6">
      <c r="A424" s="300"/>
      <c r="C424" s="301"/>
      <c r="D424" s="302"/>
      <c r="E424" s="302"/>
      <c r="F424" s="89"/>
      <c r="G424" s="89"/>
      <c r="H424" s="89"/>
      <c r="I424" s="89"/>
      <c r="J424" s="89"/>
      <c r="K424" s="303"/>
    </row>
    <row r="425" spans="1:11" ht="15.6">
      <c r="A425" s="300"/>
      <c r="C425" s="301"/>
      <c r="D425" s="302"/>
      <c r="E425" s="302"/>
      <c r="F425" s="89"/>
      <c r="G425" s="89"/>
      <c r="H425" s="89"/>
      <c r="I425" s="89"/>
      <c r="J425" s="89"/>
      <c r="K425" s="303"/>
    </row>
    <row r="426" spans="1:11" ht="15.6">
      <c r="A426" s="300"/>
      <c r="C426" s="301"/>
      <c r="D426" s="302"/>
      <c r="E426" s="302"/>
      <c r="F426" s="89"/>
      <c r="G426" s="89"/>
      <c r="H426" s="89"/>
      <c r="I426" s="89"/>
      <c r="J426" s="89"/>
      <c r="K426" s="303"/>
    </row>
    <row r="427" spans="1:11" ht="15.6">
      <c r="A427" s="300"/>
      <c r="C427" s="301"/>
      <c r="D427" s="302"/>
      <c r="E427" s="302"/>
      <c r="F427" s="89"/>
      <c r="G427" s="89"/>
      <c r="H427" s="89"/>
      <c r="I427" s="89"/>
      <c r="J427" s="89"/>
      <c r="K427" s="303"/>
    </row>
    <row r="428" spans="1:11" ht="15.6">
      <c r="A428" s="300"/>
      <c r="C428" s="301"/>
      <c r="D428" s="302"/>
      <c r="E428" s="302"/>
      <c r="F428" s="89"/>
      <c r="G428" s="89"/>
      <c r="H428" s="89"/>
      <c r="I428" s="89"/>
      <c r="J428" s="89"/>
      <c r="K428" s="303"/>
    </row>
    <row r="429" spans="1:11" ht="15.6">
      <c r="A429" s="300"/>
      <c r="C429" s="301"/>
      <c r="D429" s="302"/>
      <c r="E429" s="302"/>
      <c r="F429" s="89"/>
      <c r="G429" s="89"/>
      <c r="H429" s="89"/>
      <c r="I429" s="89"/>
      <c r="J429" s="89"/>
      <c r="K429" s="303"/>
    </row>
    <row r="430" spans="1:11" ht="15.6">
      <c r="A430" s="300"/>
      <c r="C430" s="301"/>
      <c r="D430" s="302"/>
      <c r="E430" s="302"/>
      <c r="F430" s="89"/>
      <c r="G430" s="89"/>
      <c r="H430" s="89"/>
      <c r="I430" s="89"/>
      <c r="J430" s="89"/>
      <c r="K430" s="303"/>
    </row>
    <row r="431" spans="1:11" ht="15.6">
      <c r="A431" s="300"/>
      <c r="C431" s="301"/>
      <c r="D431" s="302"/>
      <c r="E431" s="302"/>
      <c r="F431" s="89"/>
      <c r="G431" s="89"/>
      <c r="H431" s="89"/>
      <c r="I431" s="89"/>
      <c r="J431" s="89"/>
      <c r="K431" s="303"/>
    </row>
    <row r="432" spans="1:11" ht="15.6">
      <c r="A432" s="300"/>
      <c r="C432" s="301"/>
      <c r="D432" s="302"/>
      <c r="E432" s="302"/>
      <c r="F432" s="89"/>
      <c r="G432" s="89"/>
      <c r="H432" s="89"/>
      <c r="I432" s="89"/>
      <c r="J432" s="89"/>
      <c r="K432" s="303"/>
    </row>
    <row r="433" spans="1:11" ht="15.6">
      <c r="A433" s="300"/>
      <c r="C433" s="301"/>
      <c r="D433" s="302"/>
      <c r="E433" s="302"/>
      <c r="F433" s="89"/>
      <c r="G433" s="89"/>
      <c r="H433" s="89"/>
      <c r="I433" s="89"/>
      <c r="J433" s="89"/>
      <c r="K433" s="303"/>
    </row>
    <row r="434" spans="1:11" ht="15.6">
      <c r="A434" s="300"/>
      <c r="C434" s="301"/>
      <c r="D434" s="302"/>
      <c r="E434" s="302"/>
      <c r="F434" s="89"/>
      <c r="G434" s="89"/>
      <c r="H434" s="89"/>
      <c r="I434" s="89"/>
      <c r="J434" s="89"/>
      <c r="K434" s="303"/>
    </row>
    <row r="435" spans="1:11" ht="15.6">
      <c r="A435" s="300"/>
      <c r="C435" s="301"/>
      <c r="D435" s="302"/>
      <c r="E435" s="302"/>
      <c r="F435" s="89"/>
      <c r="G435" s="89"/>
      <c r="H435" s="89"/>
      <c r="I435" s="89"/>
      <c r="J435" s="89"/>
      <c r="K435" s="303"/>
    </row>
    <row r="436" spans="1:11" ht="15.6">
      <c r="A436" s="300"/>
      <c r="C436" s="301"/>
      <c r="D436" s="302"/>
      <c r="E436" s="302"/>
      <c r="F436" s="89"/>
      <c r="G436" s="89"/>
      <c r="H436" s="89"/>
      <c r="I436" s="89"/>
      <c r="J436" s="89"/>
      <c r="K436" s="303"/>
    </row>
    <row r="437" spans="1:11" ht="15.6">
      <c r="A437" s="300"/>
      <c r="C437" s="301"/>
      <c r="D437" s="302"/>
      <c r="E437" s="302"/>
      <c r="F437" s="89"/>
      <c r="G437" s="89"/>
      <c r="H437" s="89"/>
      <c r="I437" s="89"/>
      <c r="J437" s="89"/>
      <c r="K437" s="303"/>
    </row>
    <row r="438" spans="1:11" ht="15.6">
      <c r="A438" s="300"/>
      <c r="C438" s="301"/>
      <c r="D438" s="302"/>
      <c r="E438" s="302"/>
      <c r="F438" s="89"/>
      <c r="G438" s="89"/>
      <c r="H438" s="89"/>
      <c r="I438" s="89"/>
      <c r="J438" s="89"/>
      <c r="K438" s="303"/>
    </row>
    <row r="439" spans="1:11" ht="15.6">
      <c r="A439" s="300"/>
      <c r="C439" s="301"/>
      <c r="D439" s="302"/>
      <c r="E439" s="302"/>
      <c r="F439" s="89"/>
      <c r="G439" s="89"/>
      <c r="H439" s="89"/>
      <c r="I439" s="89"/>
      <c r="J439" s="89"/>
      <c r="K439" s="303"/>
    </row>
    <row r="440" spans="1:11" ht="15.6">
      <c r="A440" s="300"/>
      <c r="C440" s="301"/>
      <c r="D440" s="302"/>
      <c r="E440" s="302"/>
      <c r="F440" s="89"/>
      <c r="G440" s="89"/>
      <c r="H440" s="89"/>
      <c r="I440" s="89"/>
      <c r="J440" s="89"/>
      <c r="K440" s="303"/>
    </row>
    <row r="441" spans="1:11" ht="15.6">
      <c r="A441" s="300"/>
      <c r="C441" s="301"/>
      <c r="D441" s="302"/>
      <c r="E441" s="302"/>
      <c r="F441" s="89"/>
      <c r="G441" s="89"/>
      <c r="H441" s="89"/>
      <c r="I441" s="89"/>
      <c r="J441" s="89"/>
      <c r="K441" s="303"/>
    </row>
    <row r="442" spans="1:11" ht="15.6">
      <c r="A442" s="300"/>
      <c r="C442" s="301"/>
      <c r="D442" s="302"/>
      <c r="E442" s="302"/>
      <c r="F442" s="89"/>
      <c r="G442" s="89"/>
      <c r="H442" s="89"/>
      <c r="I442" s="89"/>
      <c r="J442" s="89"/>
      <c r="K442" s="303"/>
    </row>
    <row r="443" spans="1:11" ht="15.6">
      <c r="A443" s="300"/>
      <c r="C443" s="301"/>
      <c r="D443" s="302"/>
      <c r="E443" s="302"/>
      <c r="F443" s="89"/>
      <c r="G443" s="89"/>
      <c r="H443" s="89"/>
      <c r="I443" s="89"/>
      <c r="J443" s="89"/>
      <c r="K443" s="303"/>
    </row>
    <row r="444" spans="1:11" ht="15.6">
      <c r="A444" s="300"/>
      <c r="C444" s="301"/>
      <c r="D444" s="302"/>
      <c r="E444" s="302"/>
      <c r="F444" s="89"/>
      <c r="G444" s="89"/>
      <c r="H444" s="89"/>
      <c r="I444" s="89"/>
      <c r="J444" s="89"/>
      <c r="K444" s="303"/>
    </row>
    <row r="445" spans="1:11" ht="15.6">
      <c r="A445" s="300"/>
      <c r="C445" s="301"/>
      <c r="D445" s="302"/>
      <c r="E445" s="302"/>
      <c r="F445" s="89"/>
      <c r="G445" s="89"/>
      <c r="H445" s="89"/>
      <c r="I445" s="89"/>
      <c r="J445" s="89"/>
      <c r="K445" s="303"/>
    </row>
    <row r="446" spans="1:11" ht="15.6">
      <c r="A446" s="300"/>
      <c r="C446" s="301"/>
      <c r="D446" s="302"/>
      <c r="E446" s="302"/>
      <c r="F446" s="89"/>
      <c r="G446" s="89"/>
      <c r="H446" s="89"/>
      <c r="I446" s="89"/>
      <c r="J446" s="89"/>
      <c r="K446" s="303"/>
    </row>
    <row r="447" spans="1:11" ht="15.6">
      <c r="A447" s="300"/>
      <c r="C447" s="301"/>
      <c r="D447" s="302"/>
      <c r="E447" s="302"/>
      <c r="F447" s="89"/>
      <c r="G447" s="89"/>
      <c r="H447" s="89"/>
      <c r="I447" s="89"/>
      <c r="J447" s="89"/>
      <c r="K447" s="303"/>
    </row>
    <row r="448" spans="1:11" ht="15.6">
      <c r="A448" s="300"/>
      <c r="C448" s="301"/>
      <c r="D448" s="302"/>
      <c r="E448" s="302"/>
      <c r="F448" s="89"/>
      <c r="G448" s="89"/>
      <c r="H448" s="89"/>
      <c r="I448" s="89"/>
      <c r="J448" s="89"/>
      <c r="K448" s="303"/>
    </row>
    <row r="449" spans="1:11" ht="15.6">
      <c r="A449" s="300"/>
      <c r="C449" s="301"/>
      <c r="D449" s="302"/>
      <c r="E449" s="302"/>
      <c r="F449" s="89"/>
      <c r="G449" s="89"/>
      <c r="H449" s="89"/>
      <c r="I449" s="89"/>
      <c r="J449" s="89"/>
      <c r="K449" s="303"/>
    </row>
    <row r="450" spans="1:11" ht="15.6">
      <c r="A450" s="300"/>
      <c r="C450" s="301"/>
      <c r="D450" s="302"/>
      <c r="E450" s="302"/>
      <c r="F450" s="89"/>
      <c r="G450" s="89"/>
      <c r="H450" s="89"/>
      <c r="I450" s="89"/>
      <c r="J450" s="89"/>
      <c r="K450" s="303"/>
    </row>
    <row r="451" spans="1:11" ht="15.6">
      <c r="A451" s="300"/>
      <c r="C451" s="301"/>
      <c r="D451" s="302"/>
      <c r="E451" s="302"/>
      <c r="F451" s="89"/>
      <c r="G451" s="89"/>
      <c r="H451" s="89"/>
      <c r="I451" s="89"/>
      <c r="J451" s="89"/>
      <c r="K451" s="303"/>
    </row>
    <row r="452" spans="1:11" ht="15.6">
      <c r="A452" s="300"/>
      <c r="C452" s="301"/>
      <c r="D452" s="302"/>
      <c r="E452" s="302"/>
      <c r="F452" s="89"/>
      <c r="G452" s="89"/>
      <c r="H452" s="89"/>
      <c r="I452" s="89"/>
      <c r="J452" s="89"/>
      <c r="K452" s="303"/>
    </row>
    <row r="453" spans="1:11" ht="15.6">
      <c r="A453" s="300"/>
      <c r="C453" s="301"/>
      <c r="D453" s="302"/>
      <c r="E453" s="302"/>
      <c r="F453" s="89"/>
      <c r="G453" s="89"/>
      <c r="H453" s="89"/>
      <c r="I453" s="89"/>
      <c r="J453" s="89"/>
      <c r="K453" s="303"/>
    </row>
    <row r="454" spans="1:11" ht="15.6">
      <c r="A454" s="300"/>
      <c r="C454" s="301"/>
      <c r="D454" s="302"/>
      <c r="E454" s="302"/>
      <c r="F454" s="89"/>
      <c r="G454" s="89"/>
      <c r="H454" s="89"/>
      <c r="I454" s="89"/>
      <c r="J454" s="89"/>
      <c r="K454" s="303"/>
    </row>
    <row r="455" spans="1:11" ht="15.6">
      <c r="A455" s="300"/>
      <c r="C455" s="301"/>
      <c r="D455" s="302"/>
      <c r="E455" s="302"/>
      <c r="F455" s="89"/>
      <c r="G455" s="89"/>
      <c r="H455" s="89"/>
      <c r="I455" s="89"/>
      <c r="J455" s="89"/>
      <c r="K455" s="303"/>
    </row>
    <row r="456" spans="1:11" ht="15.6">
      <c r="A456" s="300"/>
      <c r="C456" s="301"/>
      <c r="D456" s="302"/>
      <c r="E456" s="302"/>
      <c r="F456" s="89"/>
      <c r="G456" s="89"/>
      <c r="H456" s="89"/>
      <c r="I456" s="89"/>
      <c r="J456" s="89"/>
      <c r="K456" s="303"/>
    </row>
    <row r="457" spans="1:11" ht="15.6">
      <c r="A457" s="300"/>
      <c r="C457" s="301"/>
      <c r="D457" s="302"/>
      <c r="E457" s="302"/>
      <c r="F457" s="89"/>
      <c r="G457" s="89"/>
      <c r="H457" s="89"/>
      <c r="I457" s="89"/>
      <c r="J457" s="89"/>
      <c r="K457" s="303"/>
    </row>
    <row r="458" spans="1:11" ht="15.6">
      <c r="A458" s="300"/>
      <c r="C458" s="301"/>
      <c r="D458" s="302"/>
      <c r="E458" s="302"/>
      <c r="F458" s="89"/>
      <c r="G458" s="89"/>
      <c r="H458" s="89"/>
      <c r="I458" s="89"/>
      <c r="J458" s="89"/>
      <c r="K458" s="303"/>
    </row>
    <row r="459" spans="1:11" ht="15.6">
      <c r="A459" s="300"/>
      <c r="C459" s="301"/>
      <c r="D459" s="302"/>
      <c r="E459" s="302"/>
      <c r="F459" s="89"/>
      <c r="G459" s="89"/>
      <c r="H459" s="89"/>
      <c r="I459" s="89"/>
      <c r="J459" s="89"/>
      <c r="K459" s="303"/>
    </row>
    <row r="460" spans="1:11" ht="15.6">
      <c r="A460" s="300"/>
      <c r="C460" s="301"/>
      <c r="D460" s="302"/>
      <c r="E460" s="302"/>
      <c r="F460" s="89"/>
      <c r="G460" s="89"/>
      <c r="H460" s="89"/>
      <c r="I460" s="89"/>
      <c r="J460" s="89"/>
      <c r="K460" s="303"/>
    </row>
    <row r="461" spans="1:11" ht="15.6">
      <c r="A461" s="300"/>
      <c r="C461" s="301"/>
      <c r="D461" s="302"/>
      <c r="E461" s="302"/>
      <c r="F461" s="89"/>
      <c r="G461" s="89"/>
      <c r="H461" s="89"/>
      <c r="I461" s="89"/>
      <c r="J461" s="89"/>
      <c r="K461" s="303"/>
    </row>
    <row r="462" spans="1:11" ht="15.6">
      <c r="A462" s="300"/>
      <c r="C462" s="301"/>
      <c r="D462" s="302"/>
      <c r="E462" s="302"/>
      <c r="F462" s="89"/>
      <c r="G462" s="89"/>
      <c r="H462" s="89"/>
      <c r="I462" s="89"/>
      <c r="J462" s="89"/>
      <c r="K462" s="303"/>
    </row>
    <row r="463" spans="1:11" ht="15.6">
      <c r="A463" s="300"/>
      <c r="C463" s="301"/>
      <c r="D463" s="302"/>
      <c r="E463" s="302"/>
      <c r="F463" s="89"/>
      <c r="G463" s="89"/>
      <c r="H463" s="89"/>
      <c r="I463" s="89"/>
      <c r="J463" s="89"/>
      <c r="K463" s="303"/>
    </row>
    <row r="464" spans="1:11" ht="15.6">
      <c r="A464" s="300"/>
      <c r="C464" s="301"/>
      <c r="D464" s="302"/>
      <c r="E464" s="302"/>
      <c r="F464" s="89"/>
      <c r="G464" s="89"/>
      <c r="H464" s="89"/>
      <c r="I464" s="89"/>
      <c r="J464" s="89"/>
      <c r="K464" s="303"/>
    </row>
    <row r="465" spans="1:11" ht="15.6">
      <c r="A465" s="300"/>
      <c r="C465" s="301"/>
      <c r="D465" s="302"/>
      <c r="E465" s="302"/>
      <c r="F465" s="89"/>
      <c r="G465" s="89"/>
      <c r="H465" s="89"/>
      <c r="I465" s="89"/>
      <c r="J465" s="89"/>
      <c r="K465" s="303"/>
    </row>
    <row r="466" spans="1:11" ht="15.6">
      <c r="A466" s="300"/>
      <c r="C466" s="301"/>
      <c r="D466" s="302"/>
      <c r="E466" s="302"/>
      <c r="F466" s="89"/>
      <c r="G466" s="89"/>
      <c r="H466" s="89"/>
      <c r="I466" s="89"/>
      <c r="J466" s="89"/>
      <c r="K466" s="303"/>
    </row>
    <row r="467" spans="1:11" ht="15.6">
      <c r="A467" s="300"/>
      <c r="C467" s="301"/>
      <c r="D467" s="302"/>
      <c r="E467" s="302"/>
      <c r="F467" s="89"/>
      <c r="G467" s="89"/>
      <c r="H467" s="89"/>
      <c r="I467" s="89"/>
      <c r="J467" s="89"/>
      <c r="K467" s="303"/>
    </row>
    <row r="468" spans="1:11" ht="15.6">
      <c r="A468" s="300"/>
      <c r="C468" s="301"/>
      <c r="D468" s="302"/>
      <c r="E468" s="302"/>
      <c r="F468" s="89"/>
      <c r="G468" s="89"/>
      <c r="H468" s="89"/>
      <c r="I468" s="89"/>
      <c r="J468" s="89"/>
      <c r="K468" s="303"/>
    </row>
    <row r="469" spans="1:11" ht="15.6">
      <c r="A469" s="300"/>
      <c r="C469" s="301"/>
      <c r="D469" s="302"/>
      <c r="E469" s="302"/>
      <c r="F469" s="89"/>
      <c r="G469" s="89"/>
      <c r="H469" s="89"/>
      <c r="I469" s="89"/>
      <c r="J469" s="89"/>
      <c r="K469" s="303"/>
    </row>
    <row r="470" spans="1:11" ht="15.6">
      <c r="A470" s="300"/>
      <c r="C470" s="301"/>
      <c r="D470" s="302"/>
      <c r="E470" s="302"/>
      <c r="F470" s="89"/>
      <c r="G470" s="89"/>
      <c r="H470" s="89"/>
      <c r="I470" s="89"/>
      <c r="J470" s="89"/>
      <c r="K470" s="303"/>
    </row>
    <row r="471" spans="1:11" ht="15.6">
      <c r="A471" s="300"/>
      <c r="C471" s="301"/>
      <c r="D471" s="302"/>
      <c r="E471" s="302"/>
      <c r="F471" s="89"/>
      <c r="G471" s="89"/>
      <c r="H471" s="89"/>
      <c r="I471" s="89"/>
      <c r="J471" s="89"/>
      <c r="K471" s="303"/>
    </row>
    <row r="472" spans="1:11" ht="15.6">
      <c r="A472" s="300"/>
      <c r="C472" s="301"/>
      <c r="D472" s="302"/>
      <c r="E472" s="302"/>
      <c r="F472" s="89"/>
      <c r="G472" s="89"/>
      <c r="H472" s="89"/>
      <c r="I472" s="89"/>
      <c r="J472" s="89"/>
      <c r="K472" s="303"/>
    </row>
    <row r="473" spans="1:11" ht="15.6">
      <c r="A473" s="300"/>
      <c r="C473" s="301"/>
      <c r="D473" s="302"/>
      <c r="E473" s="302"/>
      <c r="F473" s="89"/>
      <c r="G473" s="89"/>
      <c r="H473" s="89"/>
      <c r="I473" s="89"/>
      <c r="J473" s="89"/>
      <c r="K473" s="303"/>
    </row>
    <row r="474" spans="1:11" ht="15.6">
      <c r="A474" s="300"/>
      <c r="C474" s="301"/>
      <c r="D474" s="302"/>
      <c r="E474" s="302"/>
      <c r="F474" s="89"/>
      <c r="G474" s="89"/>
      <c r="H474" s="89"/>
      <c r="I474" s="89"/>
      <c r="J474" s="89"/>
      <c r="K474" s="303"/>
    </row>
    <row r="475" spans="1:11" ht="15.6">
      <c r="A475" s="300"/>
      <c r="C475" s="301"/>
      <c r="D475" s="302"/>
      <c r="E475" s="302"/>
      <c r="F475" s="89"/>
      <c r="G475" s="89"/>
      <c r="H475" s="89"/>
      <c r="I475" s="89"/>
      <c r="J475" s="89"/>
      <c r="K475" s="303"/>
    </row>
    <row r="476" spans="1:11" ht="15.6">
      <c r="A476" s="300"/>
      <c r="C476" s="301"/>
      <c r="D476" s="302"/>
      <c r="E476" s="302"/>
      <c r="F476" s="89"/>
      <c r="G476" s="89"/>
      <c r="H476" s="89"/>
      <c r="I476" s="89"/>
      <c r="J476" s="89"/>
      <c r="K476" s="303"/>
    </row>
    <row r="477" spans="1:11" ht="15.6">
      <c r="A477" s="300"/>
      <c r="C477" s="301"/>
      <c r="D477" s="302"/>
      <c r="E477" s="302"/>
      <c r="F477" s="89"/>
      <c r="G477" s="89"/>
      <c r="H477" s="89"/>
      <c r="I477" s="89"/>
      <c r="J477" s="89"/>
      <c r="K477" s="303"/>
    </row>
    <row r="478" spans="1:11" ht="15.6">
      <c r="A478" s="300"/>
      <c r="C478" s="301"/>
      <c r="D478" s="302"/>
      <c r="E478" s="302"/>
      <c r="F478" s="89"/>
      <c r="G478" s="89"/>
      <c r="H478" s="89"/>
      <c r="I478" s="89"/>
      <c r="J478" s="89"/>
      <c r="K478" s="303"/>
    </row>
    <row r="479" spans="1:11" ht="15.6">
      <c r="A479" s="300"/>
      <c r="C479" s="301"/>
      <c r="D479" s="302"/>
      <c r="E479" s="302"/>
      <c r="F479" s="89"/>
      <c r="G479" s="89"/>
      <c r="H479" s="89"/>
      <c r="I479" s="89"/>
      <c r="J479" s="89"/>
      <c r="K479" s="303"/>
    </row>
    <row r="480" spans="1:11" ht="15.6">
      <c r="A480" s="300"/>
      <c r="C480" s="301"/>
      <c r="D480" s="302"/>
      <c r="E480" s="302"/>
      <c r="F480" s="89"/>
      <c r="G480" s="89"/>
      <c r="H480" s="89"/>
      <c r="I480" s="89"/>
      <c r="J480" s="89"/>
      <c r="K480" s="303"/>
    </row>
    <row r="481" spans="1:11" ht="15.6">
      <c r="A481" s="300"/>
      <c r="C481" s="301"/>
      <c r="D481" s="302"/>
      <c r="E481" s="302"/>
      <c r="F481" s="89"/>
      <c r="G481" s="89"/>
      <c r="H481" s="89"/>
      <c r="I481" s="89"/>
      <c r="J481" s="89"/>
      <c r="K481" s="303"/>
    </row>
    <row r="482" spans="1:11" ht="15.6">
      <c r="A482" s="300"/>
      <c r="C482" s="301"/>
      <c r="D482" s="302"/>
      <c r="E482" s="302"/>
      <c r="F482" s="89"/>
      <c r="G482" s="89"/>
      <c r="H482" s="89"/>
      <c r="I482" s="89"/>
      <c r="J482" s="89"/>
      <c r="K482" s="303"/>
    </row>
    <row r="483" spans="1:11" ht="15.6">
      <c r="A483" s="300"/>
      <c r="C483" s="301"/>
      <c r="D483" s="302"/>
      <c r="E483" s="302"/>
      <c r="F483" s="89"/>
      <c r="G483" s="89"/>
      <c r="H483" s="89"/>
      <c r="I483" s="89"/>
      <c r="J483" s="89"/>
      <c r="K483" s="303"/>
    </row>
    <row r="484" spans="1:11" ht="15.6">
      <c r="A484" s="300"/>
      <c r="C484" s="301"/>
      <c r="D484" s="302"/>
      <c r="E484" s="302"/>
      <c r="F484" s="89"/>
      <c r="G484" s="89"/>
      <c r="H484" s="89"/>
      <c r="I484" s="89"/>
      <c r="J484" s="89"/>
      <c r="K484" s="303"/>
    </row>
    <row r="485" spans="1:11" ht="15.6">
      <c r="A485" s="300"/>
      <c r="C485" s="301"/>
      <c r="D485" s="302"/>
      <c r="E485" s="302"/>
      <c r="F485" s="89"/>
      <c r="G485" s="89"/>
      <c r="H485" s="89"/>
      <c r="I485" s="89"/>
      <c r="J485" s="89"/>
      <c r="K485" s="303"/>
    </row>
    <row r="486" spans="1:11" ht="15.6">
      <c r="A486" s="300"/>
      <c r="C486" s="301"/>
      <c r="D486" s="302"/>
      <c r="E486" s="302"/>
      <c r="F486" s="89"/>
      <c r="G486" s="89"/>
      <c r="H486" s="89"/>
      <c r="I486" s="89"/>
      <c r="J486" s="89"/>
      <c r="K486" s="303"/>
    </row>
    <row r="487" spans="1:11" ht="15.6">
      <c r="A487" s="300"/>
      <c r="C487" s="301"/>
      <c r="D487" s="302"/>
      <c r="E487" s="302"/>
      <c r="F487" s="89"/>
      <c r="G487" s="89"/>
      <c r="H487" s="89"/>
      <c r="I487" s="89"/>
      <c r="J487" s="89"/>
      <c r="K487" s="303"/>
    </row>
    <row r="488" spans="1:11" ht="15.6">
      <c r="A488" s="300"/>
      <c r="C488" s="301"/>
      <c r="D488" s="302"/>
      <c r="E488" s="302"/>
      <c r="F488" s="89"/>
      <c r="G488" s="89"/>
      <c r="H488" s="89"/>
      <c r="I488" s="89"/>
      <c r="J488" s="89"/>
      <c r="K488" s="303"/>
    </row>
    <row r="489" spans="1:11" ht="15.6">
      <c r="A489" s="300"/>
      <c r="C489" s="301"/>
      <c r="D489" s="302"/>
      <c r="E489" s="302"/>
      <c r="F489" s="89"/>
      <c r="G489" s="89"/>
      <c r="H489" s="89"/>
      <c r="I489" s="89"/>
      <c r="J489" s="89"/>
      <c r="K489" s="303"/>
    </row>
    <row r="490" spans="1:11" ht="15.6">
      <c r="A490" s="300"/>
      <c r="C490" s="301"/>
      <c r="D490" s="302"/>
      <c r="E490" s="302"/>
      <c r="F490" s="89"/>
      <c r="G490" s="89"/>
      <c r="H490" s="89"/>
      <c r="I490" s="89"/>
      <c r="J490" s="89"/>
      <c r="K490" s="303"/>
    </row>
    <row r="491" spans="1:11" ht="15.6">
      <c r="A491" s="300"/>
      <c r="C491" s="301"/>
      <c r="D491" s="302"/>
      <c r="E491" s="302"/>
      <c r="F491" s="89"/>
      <c r="G491" s="89"/>
      <c r="H491" s="89"/>
      <c r="I491" s="89"/>
      <c r="J491" s="89"/>
      <c r="K491" s="303"/>
    </row>
    <row r="492" spans="1:11" ht="15.6">
      <c r="A492" s="300"/>
      <c r="C492" s="301"/>
      <c r="D492" s="302"/>
      <c r="E492" s="302"/>
      <c r="F492" s="89"/>
      <c r="G492" s="89"/>
      <c r="H492" s="89"/>
      <c r="I492" s="89"/>
      <c r="J492" s="89"/>
      <c r="K492" s="303"/>
    </row>
    <row r="493" spans="1:11" ht="15.6">
      <c r="A493" s="300"/>
      <c r="C493" s="301"/>
      <c r="D493" s="302"/>
      <c r="E493" s="302"/>
      <c r="F493" s="89"/>
      <c r="G493" s="89"/>
      <c r="H493" s="89"/>
      <c r="I493" s="89"/>
      <c r="J493" s="89"/>
      <c r="K493" s="303"/>
    </row>
    <row r="494" spans="1:11" ht="15.6">
      <c r="A494" s="300"/>
      <c r="C494" s="301"/>
      <c r="D494" s="302"/>
      <c r="E494" s="302"/>
      <c r="F494" s="89"/>
      <c r="G494" s="89"/>
      <c r="H494" s="89"/>
      <c r="I494" s="89"/>
      <c r="J494" s="89"/>
      <c r="K494" s="303"/>
    </row>
    <row r="495" spans="1:11" ht="15.6">
      <c r="A495" s="300"/>
      <c r="C495" s="301"/>
      <c r="D495" s="302"/>
      <c r="E495" s="302"/>
      <c r="F495" s="89"/>
      <c r="G495" s="89"/>
      <c r="H495" s="89"/>
      <c r="I495" s="89"/>
      <c r="J495" s="89"/>
      <c r="K495" s="303"/>
    </row>
    <row r="496" spans="1:11" ht="15.6">
      <c r="A496" s="300"/>
      <c r="C496" s="301"/>
      <c r="D496" s="302"/>
      <c r="E496" s="302"/>
      <c r="F496" s="89"/>
      <c r="G496" s="89"/>
      <c r="H496" s="89"/>
      <c r="I496" s="89"/>
      <c r="J496" s="89"/>
      <c r="K496" s="303"/>
    </row>
    <row r="497" spans="1:11" ht="15.6">
      <c r="A497" s="300"/>
      <c r="C497" s="301"/>
      <c r="D497" s="302"/>
      <c r="E497" s="302"/>
      <c r="F497" s="89"/>
      <c r="G497" s="89"/>
      <c r="H497" s="89"/>
      <c r="I497" s="89"/>
      <c r="J497" s="89"/>
      <c r="K497" s="303"/>
    </row>
    <row r="498" spans="1:11" ht="15.6">
      <c r="A498" s="300"/>
      <c r="C498" s="301"/>
      <c r="D498" s="302"/>
      <c r="E498" s="302"/>
      <c r="F498" s="89"/>
      <c r="G498" s="89"/>
      <c r="H498" s="89"/>
      <c r="I498" s="89"/>
      <c r="J498" s="89"/>
      <c r="K498" s="303"/>
    </row>
    <row r="499" spans="1:11" ht="15.6">
      <c r="A499" s="300"/>
      <c r="C499" s="301"/>
      <c r="D499" s="302"/>
      <c r="E499" s="302"/>
      <c r="F499" s="89"/>
      <c r="G499" s="89"/>
      <c r="H499" s="89"/>
      <c r="I499" s="89"/>
      <c r="J499" s="89"/>
      <c r="K499" s="303"/>
    </row>
    <row r="500" spans="1:11" ht="15.6">
      <c r="A500" s="300"/>
      <c r="C500" s="301"/>
      <c r="D500" s="302"/>
      <c r="E500" s="302"/>
      <c r="F500" s="89"/>
      <c r="G500" s="89"/>
      <c r="H500" s="89"/>
      <c r="I500" s="89"/>
      <c r="J500" s="89"/>
      <c r="K500" s="303"/>
    </row>
    <row r="501" spans="1:11" ht="15.6">
      <c r="A501" s="300"/>
      <c r="C501" s="301"/>
      <c r="D501" s="302"/>
      <c r="E501" s="302"/>
      <c r="F501" s="89"/>
      <c r="G501" s="89"/>
      <c r="H501" s="89"/>
      <c r="I501" s="89"/>
      <c r="J501" s="89"/>
      <c r="K501" s="303"/>
    </row>
    <row r="502" spans="1:11" ht="15.6">
      <c r="A502" s="300"/>
      <c r="C502" s="301"/>
      <c r="D502" s="302"/>
      <c r="E502" s="302"/>
      <c r="F502" s="89"/>
      <c r="G502" s="89"/>
      <c r="H502" s="89"/>
      <c r="I502" s="89"/>
      <c r="J502" s="89"/>
      <c r="K502" s="303"/>
    </row>
    <row r="503" spans="1:11" ht="15.6">
      <c r="A503" s="300"/>
      <c r="C503" s="301"/>
      <c r="D503" s="302"/>
      <c r="E503" s="302"/>
      <c r="F503" s="89"/>
      <c r="G503" s="89"/>
      <c r="H503" s="89"/>
      <c r="I503" s="89"/>
      <c r="J503" s="89"/>
      <c r="K503" s="303"/>
    </row>
    <row r="504" spans="1:11" ht="15.6">
      <c r="A504" s="300"/>
      <c r="C504" s="301"/>
      <c r="D504" s="302"/>
      <c r="E504" s="302"/>
      <c r="F504" s="89"/>
      <c r="G504" s="89"/>
      <c r="H504" s="89"/>
      <c r="I504" s="89"/>
      <c r="J504" s="89"/>
      <c r="K504" s="303"/>
    </row>
    <row r="505" spans="1:11" ht="15.6">
      <c r="A505" s="300"/>
      <c r="C505" s="301"/>
      <c r="D505" s="302"/>
      <c r="E505" s="302"/>
      <c r="F505" s="89"/>
      <c r="G505" s="89"/>
      <c r="H505" s="89"/>
      <c r="I505" s="89"/>
      <c r="J505" s="89"/>
      <c r="K505" s="303"/>
    </row>
    <row r="506" spans="1:11" ht="15.6">
      <c r="A506" s="300"/>
      <c r="C506" s="301"/>
      <c r="D506" s="302"/>
      <c r="E506" s="302"/>
      <c r="F506" s="89"/>
      <c r="G506" s="89"/>
      <c r="H506" s="89"/>
      <c r="I506" s="89"/>
      <c r="J506" s="89"/>
      <c r="K506" s="303"/>
    </row>
    <row r="507" spans="1:11" ht="15.6">
      <c r="A507" s="300"/>
      <c r="C507" s="301"/>
      <c r="D507" s="302"/>
      <c r="E507" s="302"/>
      <c r="F507" s="89"/>
      <c r="G507" s="89"/>
      <c r="H507" s="89"/>
      <c r="I507" s="89"/>
      <c r="J507" s="89"/>
      <c r="K507" s="303"/>
    </row>
    <row r="508" spans="1:11" ht="15.6">
      <c r="A508" s="300"/>
      <c r="C508" s="301"/>
      <c r="D508" s="302"/>
      <c r="E508" s="302"/>
      <c r="F508" s="89"/>
      <c r="G508" s="89"/>
      <c r="H508" s="89"/>
      <c r="I508" s="89"/>
      <c r="J508" s="89"/>
      <c r="K508" s="303"/>
    </row>
    <row r="509" spans="1:11" ht="15.6">
      <c r="A509" s="300"/>
      <c r="C509" s="301"/>
      <c r="D509" s="302"/>
      <c r="E509" s="302"/>
      <c r="F509" s="89"/>
      <c r="G509" s="89"/>
      <c r="H509" s="89"/>
      <c r="I509" s="89"/>
      <c r="J509" s="89"/>
      <c r="K509" s="303"/>
    </row>
    <row r="510" spans="1:11" ht="15.6">
      <c r="A510" s="300"/>
      <c r="C510" s="301"/>
      <c r="D510" s="302"/>
      <c r="E510" s="302"/>
      <c r="F510" s="89"/>
      <c r="G510" s="89"/>
      <c r="H510" s="89"/>
      <c r="I510" s="89"/>
      <c r="J510" s="89"/>
      <c r="K510" s="303"/>
    </row>
    <row r="511" spans="1:11" ht="15.6">
      <c r="A511" s="300"/>
      <c r="C511" s="301"/>
      <c r="D511" s="302"/>
      <c r="E511" s="302"/>
      <c r="F511" s="89"/>
      <c r="G511" s="89"/>
      <c r="H511" s="89"/>
      <c r="I511" s="89"/>
      <c r="J511" s="89"/>
      <c r="K511" s="303"/>
    </row>
    <row r="512" spans="1:11" ht="15.6">
      <c r="A512" s="300"/>
      <c r="C512" s="301"/>
      <c r="D512" s="302"/>
      <c r="E512" s="302"/>
      <c r="F512" s="89"/>
      <c r="G512" s="89"/>
      <c r="H512" s="89"/>
      <c r="I512" s="89"/>
      <c r="J512" s="89"/>
      <c r="K512" s="303"/>
    </row>
    <row r="513" spans="1:11" ht="15.6">
      <c r="A513" s="300"/>
      <c r="C513" s="301"/>
      <c r="D513" s="302"/>
      <c r="E513" s="302"/>
      <c r="F513" s="89"/>
      <c r="G513" s="89"/>
      <c r="H513" s="89"/>
      <c r="I513" s="89"/>
      <c r="J513" s="89"/>
      <c r="K513" s="303"/>
    </row>
    <row r="514" spans="1:11" ht="15.6">
      <c r="A514" s="300"/>
      <c r="C514" s="301"/>
      <c r="D514" s="302"/>
      <c r="E514" s="302"/>
      <c r="F514" s="89"/>
      <c r="G514" s="89"/>
      <c r="H514" s="89"/>
      <c r="I514" s="89"/>
      <c r="J514" s="89"/>
      <c r="K514" s="303"/>
    </row>
    <row r="515" spans="1:11" ht="15.6">
      <c r="A515" s="300"/>
      <c r="C515" s="301"/>
      <c r="D515" s="302"/>
      <c r="E515" s="302"/>
      <c r="F515" s="89"/>
      <c r="G515" s="89"/>
      <c r="H515" s="89"/>
      <c r="I515" s="89"/>
      <c r="J515" s="89"/>
      <c r="K515" s="303"/>
    </row>
    <row r="516" spans="1:11" ht="15.6">
      <c r="A516" s="300"/>
      <c r="C516" s="301"/>
      <c r="D516" s="302"/>
      <c r="E516" s="302"/>
      <c r="F516" s="89"/>
      <c r="G516" s="89"/>
      <c r="H516" s="89"/>
      <c r="I516" s="89"/>
      <c r="J516" s="89"/>
      <c r="K516" s="303"/>
    </row>
    <row r="517" spans="1:11" ht="15.6">
      <c r="A517" s="300"/>
      <c r="C517" s="301"/>
      <c r="D517" s="302"/>
      <c r="E517" s="302"/>
      <c r="F517" s="89"/>
      <c r="G517" s="89"/>
      <c r="H517" s="89"/>
      <c r="I517" s="89"/>
      <c r="J517" s="89"/>
      <c r="K517" s="303"/>
    </row>
    <row r="518" spans="1:11" ht="15.6">
      <c r="A518" s="300"/>
      <c r="C518" s="301"/>
      <c r="D518" s="302"/>
      <c r="E518" s="302"/>
      <c r="F518" s="89"/>
      <c r="G518" s="89"/>
      <c r="H518" s="89"/>
      <c r="I518" s="89"/>
      <c r="J518" s="89"/>
      <c r="K518" s="303"/>
    </row>
    <row r="519" spans="1:11" ht="15.6">
      <c r="A519" s="300"/>
      <c r="C519" s="301"/>
      <c r="D519" s="302"/>
      <c r="E519" s="302"/>
      <c r="F519" s="89"/>
      <c r="G519" s="89"/>
      <c r="H519" s="89"/>
      <c r="I519" s="89"/>
      <c r="J519" s="89"/>
      <c r="K519" s="303"/>
    </row>
    <row r="520" spans="1:11" ht="15.6">
      <c r="A520" s="300"/>
      <c r="C520" s="301"/>
      <c r="D520" s="302"/>
      <c r="E520" s="302"/>
      <c r="F520" s="89"/>
      <c r="G520" s="89"/>
      <c r="H520" s="89"/>
      <c r="I520" s="89"/>
      <c r="J520" s="89"/>
      <c r="K520" s="303"/>
    </row>
    <row r="521" spans="1:11" ht="15.6">
      <c r="A521" s="300"/>
      <c r="C521" s="301"/>
      <c r="D521" s="302"/>
      <c r="E521" s="302"/>
      <c r="F521" s="89"/>
      <c r="G521" s="89"/>
      <c r="H521" s="89"/>
      <c r="I521" s="89"/>
      <c r="J521" s="89"/>
      <c r="K521" s="303"/>
    </row>
    <row r="522" spans="1:11" ht="15.6">
      <c r="A522" s="300"/>
      <c r="C522" s="301"/>
      <c r="D522" s="302"/>
      <c r="E522" s="302"/>
      <c r="F522" s="89"/>
      <c r="G522" s="89"/>
      <c r="H522" s="89"/>
      <c r="I522" s="89"/>
      <c r="J522" s="89"/>
      <c r="K522" s="303"/>
    </row>
    <row r="523" spans="1:11" ht="15.6">
      <c r="A523" s="300"/>
      <c r="C523" s="301"/>
      <c r="D523" s="302"/>
      <c r="E523" s="302"/>
      <c r="F523" s="89"/>
      <c r="G523" s="89"/>
      <c r="H523" s="89"/>
      <c r="I523" s="89"/>
      <c r="J523" s="89"/>
      <c r="K523" s="303"/>
    </row>
    <row r="524" spans="1:11" ht="15.6">
      <c r="A524" s="300"/>
      <c r="C524" s="301"/>
      <c r="D524" s="302"/>
      <c r="E524" s="302"/>
      <c r="F524" s="89"/>
      <c r="G524" s="89"/>
      <c r="H524" s="89"/>
      <c r="I524" s="89"/>
      <c r="J524" s="89"/>
      <c r="K524" s="303"/>
    </row>
    <row r="525" spans="1:11" ht="15.6">
      <c r="A525" s="300"/>
      <c r="C525" s="301"/>
      <c r="D525" s="302"/>
      <c r="E525" s="302"/>
      <c r="F525" s="89"/>
      <c r="G525" s="89"/>
      <c r="H525" s="89"/>
      <c r="I525" s="89"/>
      <c r="J525" s="89"/>
      <c r="K525" s="303"/>
    </row>
    <row r="526" spans="1:11" ht="15.6">
      <c r="A526" s="300"/>
      <c r="C526" s="301"/>
      <c r="D526" s="302"/>
      <c r="E526" s="302"/>
      <c r="F526" s="89"/>
      <c r="G526" s="89"/>
      <c r="H526" s="89"/>
      <c r="I526" s="89"/>
      <c r="J526" s="89"/>
      <c r="K526" s="303"/>
    </row>
    <row r="527" spans="1:11" ht="15.6">
      <c r="A527" s="300"/>
      <c r="C527" s="301"/>
      <c r="D527" s="302"/>
      <c r="E527" s="302"/>
      <c r="F527" s="89"/>
      <c r="G527" s="89"/>
      <c r="H527" s="89"/>
      <c r="I527" s="89"/>
      <c r="J527" s="89"/>
      <c r="K527" s="303"/>
    </row>
    <row r="528" spans="1:11" ht="15.6">
      <c r="A528" s="300"/>
      <c r="C528" s="301"/>
      <c r="D528" s="302"/>
      <c r="E528" s="302"/>
      <c r="F528" s="89"/>
      <c r="G528" s="89"/>
      <c r="H528" s="89"/>
      <c r="I528" s="89"/>
      <c r="J528" s="89"/>
      <c r="K528" s="303"/>
    </row>
    <row r="529" spans="1:11" ht="15.6">
      <c r="A529" s="300"/>
      <c r="C529" s="301"/>
      <c r="D529" s="302"/>
      <c r="E529" s="302"/>
      <c r="F529" s="89"/>
      <c r="G529" s="89"/>
      <c r="H529" s="89"/>
      <c r="I529" s="89"/>
      <c r="J529" s="89"/>
      <c r="K529" s="303"/>
    </row>
    <row r="530" spans="1:11" ht="15.6">
      <c r="A530" s="300"/>
      <c r="C530" s="301"/>
      <c r="D530" s="302"/>
      <c r="E530" s="302"/>
      <c r="F530" s="89"/>
      <c r="G530" s="89"/>
      <c r="H530" s="89"/>
      <c r="I530" s="89"/>
      <c r="J530" s="89"/>
      <c r="K530" s="303"/>
    </row>
    <row r="531" spans="1:11" ht="15.6">
      <c r="A531" s="300"/>
      <c r="C531" s="301"/>
      <c r="D531" s="302"/>
      <c r="E531" s="302"/>
      <c r="F531" s="89"/>
      <c r="G531" s="89"/>
      <c r="H531" s="89"/>
      <c r="I531" s="89"/>
      <c r="J531" s="89"/>
      <c r="K531" s="303"/>
    </row>
    <row r="532" spans="1:11" ht="15.6">
      <c r="A532" s="300"/>
      <c r="C532" s="301"/>
      <c r="D532" s="302"/>
      <c r="E532" s="302"/>
      <c r="F532" s="89"/>
      <c r="G532" s="89"/>
      <c r="H532" s="89"/>
      <c r="I532" s="89"/>
      <c r="J532" s="89"/>
      <c r="K532" s="303"/>
    </row>
    <row r="533" spans="1:11" ht="15.6">
      <c r="A533" s="300"/>
      <c r="C533" s="301"/>
      <c r="D533" s="302"/>
      <c r="E533" s="302"/>
      <c r="F533" s="89"/>
      <c r="G533" s="89"/>
      <c r="H533" s="89"/>
      <c r="I533" s="89"/>
      <c r="J533" s="89"/>
      <c r="K533" s="303"/>
    </row>
    <row r="534" spans="1:11" ht="15.6">
      <c r="A534" s="300"/>
      <c r="C534" s="301"/>
      <c r="D534" s="302"/>
      <c r="E534" s="302"/>
      <c r="F534" s="89"/>
      <c r="G534" s="89"/>
      <c r="H534" s="89"/>
      <c r="I534" s="89"/>
      <c r="J534" s="89"/>
      <c r="K534" s="303"/>
    </row>
    <row r="535" spans="1:11" ht="15.6">
      <c r="A535" s="300"/>
      <c r="C535" s="301"/>
      <c r="D535" s="302"/>
      <c r="E535" s="302"/>
      <c r="F535" s="89"/>
      <c r="G535" s="89"/>
      <c r="H535" s="89"/>
      <c r="I535" s="89"/>
      <c r="J535" s="89"/>
      <c r="K535" s="303"/>
    </row>
    <row r="536" spans="1:11" ht="15.6">
      <c r="A536" s="300"/>
      <c r="C536" s="301"/>
      <c r="D536" s="302"/>
      <c r="E536" s="302"/>
      <c r="F536" s="89"/>
      <c r="G536" s="89"/>
      <c r="H536" s="89"/>
      <c r="I536" s="89"/>
      <c r="J536" s="89"/>
      <c r="K536" s="303"/>
    </row>
    <row r="537" spans="1:11" ht="15.6">
      <c r="A537" s="300"/>
      <c r="C537" s="301"/>
      <c r="D537" s="302"/>
      <c r="E537" s="302"/>
      <c r="F537" s="89"/>
      <c r="G537" s="89"/>
      <c r="H537" s="89"/>
      <c r="I537" s="89"/>
      <c r="J537" s="89"/>
      <c r="K537" s="303"/>
    </row>
    <row r="538" spans="1:11" ht="15.6">
      <c r="A538" s="300"/>
      <c r="C538" s="301"/>
      <c r="D538" s="302"/>
      <c r="E538" s="302"/>
      <c r="F538" s="89"/>
      <c r="G538" s="89"/>
      <c r="H538" s="89"/>
      <c r="I538" s="89"/>
      <c r="J538" s="89"/>
      <c r="K538" s="303"/>
    </row>
    <row r="539" spans="1:11" ht="15.6">
      <c r="A539" s="300"/>
      <c r="C539" s="301"/>
      <c r="D539" s="302"/>
      <c r="E539" s="302"/>
      <c r="F539" s="89"/>
      <c r="G539" s="89"/>
      <c r="H539" s="89"/>
      <c r="I539" s="89"/>
      <c r="J539" s="89"/>
      <c r="K539" s="303"/>
    </row>
    <row r="540" spans="1:11" ht="15.6">
      <c r="A540" s="300"/>
      <c r="C540" s="301"/>
      <c r="D540" s="302"/>
      <c r="E540" s="302"/>
      <c r="F540" s="89"/>
      <c r="G540" s="89"/>
      <c r="H540" s="89"/>
      <c r="I540" s="89"/>
      <c r="J540" s="89"/>
      <c r="K540" s="303"/>
    </row>
    <row r="541" spans="1:11" ht="15.6">
      <c r="A541" s="300"/>
      <c r="C541" s="301"/>
      <c r="D541" s="302"/>
      <c r="E541" s="302"/>
      <c r="F541" s="89"/>
      <c r="G541" s="89"/>
      <c r="H541" s="89"/>
      <c r="I541" s="89"/>
      <c r="J541" s="89"/>
      <c r="K541" s="303"/>
    </row>
    <row r="542" spans="1:11" ht="15.6">
      <c r="A542" s="300"/>
      <c r="C542" s="301"/>
      <c r="D542" s="302"/>
      <c r="E542" s="302"/>
      <c r="F542" s="89"/>
      <c r="G542" s="89"/>
      <c r="H542" s="89"/>
      <c r="I542" s="89"/>
      <c r="J542" s="89"/>
      <c r="K542" s="303"/>
    </row>
    <row r="543" spans="1:11" ht="15.6">
      <c r="A543" s="300"/>
      <c r="C543" s="301"/>
      <c r="D543" s="302"/>
      <c r="E543" s="302"/>
      <c r="F543" s="89"/>
      <c r="G543" s="89"/>
      <c r="H543" s="89"/>
      <c r="I543" s="89"/>
      <c r="J543" s="89"/>
      <c r="K543" s="303"/>
    </row>
    <row r="544" spans="1:11" ht="15.6">
      <c r="A544" s="300"/>
      <c r="C544" s="301"/>
      <c r="D544" s="302"/>
      <c r="E544" s="302"/>
      <c r="F544" s="89"/>
      <c r="G544" s="89"/>
      <c r="H544" s="89"/>
      <c r="I544" s="89"/>
      <c r="J544" s="89"/>
      <c r="K544" s="303"/>
    </row>
    <row r="545" spans="1:11" ht="15.6">
      <c r="A545" s="300"/>
      <c r="C545" s="301"/>
      <c r="D545" s="302"/>
      <c r="E545" s="302"/>
      <c r="F545" s="89"/>
      <c r="G545" s="89"/>
      <c r="H545" s="89"/>
      <c r="I545" s="89"/>
      <c r="J545" s="89"/>
      <c r="K545" s="303"/>
    </row>
    <row r="546" spans="1:11" ht="15.6">
      <c r="A546" s="300"/>
      <c r="C546" s="301"/>
      <c r="D546" s="302"/>
      <c r="E546" s="302"/>
      <c r="F546" s="89"/>
      <c r="G546" s="89"/>
      <c r="H546" s="89"/>
      <c r="I546" s="89"/>
      <c r="J546" s="89"/>
      <c r="K546" s="303"/>
    </row>
    <row r="547" spans="1:11" ht="15.6">
      <c r="A547" s="300"/>
      <c r="C547" s="301"/>
      <c r="D547" s="302"/>
      <c r="E547" s="302"/>
      <c r="F547" s="89"/>
      <c r="G547" s="89"/>
      <c r="H547" s="89"/>
      <c r="I547" s="89"/>
      <c r="J547" s="89"/>
      <c r="K547" s="303"/>
    </row>
    <row r="548" spans="1:11" ht="15.6">
      <c r="A548" s="300"/>
      <c r="C548" s="301"/>
      <c r="D548" s="302"/>
      <c r="E548" s="302"/>
      <c r="F548" s="89"/>
      <c r="G548" s="89"/>
      <c r="H548" s="89"/>
      <c r="I548" s="89"/>
      <c r="J548" s="89"/>
      <c r="K548" s="303"/>
    </row>
    <row r="549" spans="1:11" ht="15.6">
      <c r="A549" s="300"/>
      <c r="C549" s="301"/>
      <c r="D549" s="302"/>
      <c r="E549" s="302"/>
      <c r="F549" s="89"/>
      <c r="G549" s="89"/>
      <c r="H549" s="89"/>
      <c r="I549" s="89"/>
      <c r="J549" s="89"/>
      <c r="K549" s="303"/>
    </row>
    <row r="550" spans="1:11" ht="15.6">
      <c r="A550" s="300"/>
      <c r="C550" s="301"/>
      <c r="D550" s="302"/>
      <c r="E550" s="302"/>
      <c r="F550" s="89"/>
      <c r="G550" s="89"/>
      <c r="H550" s="89"/>
      <c r="I550" s="89"/>
      <c r="J550" s="89"/>
      <c r="K550" s="303"/>
    </row>
    <row r="551" spans="1:11" ht="15.6">
      <c r="A551" s="300"/>
      <c r="C551" s="301"/>
      <c r="D551" s="302"/>
      <c r="E551" s="302"/>
      <c r="F551" s="89"/>
      <c r="G551" s="89"/>
      <c r="H551" s="89"/>
      <c r="I551" s="89"/>
      <c r="J551" s="89"/>
      <c r="K551" s="303"/>
    </row>
    <row r="552" spans="1:11" ht="15.6">
      <c r="A552" s="300"/>
      <c r="C552" s="301"/>
      <c r="D552" s="302"/>
      <c r="E552" s="302"/>
      <c r="F552" s="89"/>
      <c r="G552" s="89"/>
      <c r="H552" s="89"/>
      <c r="I552" s="89"/>
      <c r="J552" s="89"/>
      <c r="K552" s="303"/>
    </row>
    <row r="553" spans="1:11" ht="15.6">
      <c r="A553" s="300"/>
      <c r="C553" s="301"/>
      <c r="D553" s="302"/>
      <c r="E553" s="302"/>
      <c r="F553" s="89"/>
      <c r="G553" s="89"/>
      <c r="H553" s="89"/>
      <c r="I553" s="89"/>
      <c r="J553" s="89"/>
      <c r="K553" s="303"/>
    </row>
    <row r="554" spans="1:11" ht="15.6">
      <c r="A554" s="300"/>
      <c r="C554" s="301"/>
      <c r="D554" s="302"/>
      <c r="E554" s="302"/>
      <c r="F554" s="89"/>
      <c r="G554" s="89"/>
      <c r="H554" s="89"/>
      <c r="I554" s="89"/>
      <c r="J554" s="89"/>
      <c r="K554" s="303"/>
    </row>
    <row r="555" spans="1:11" ht="15.6">
      <c r="A555" s="300"/>
      <c r="C555" s="301"/>
      <c r="D555" s="302"/>
      <c r="E555" s="302"/>
      <c r="F555" s="89"/>
      <c r="G555" s="89"/>
      <c r="H555" s="89"/>
      <c r="I555" s="89"/>
      <c r="J555" s="89"/>
      <c r="K555" s="303"/>
    </row>
    <row r="556" spans="1:11" ht="15.6">
      <c r="A556" s="300"/>
      <c r="C556" s="301"/>
      <c r="D556" s="302"/>
      <c r="E556" s="302"/>
      <c r="F556" s="89"/>
      <c r="G556" s="89"/>
      <c r="H556" s="89"/>
      <c r="I556" s="89"/>
      <c r="J556" s="89"/>
      <c r="K556" s="303"/>
    </row>
    <row r="557" spans="1:11" ht="15.6">
      <c r="A557" s="300"/>
      <c r="C557" s="301"/>
      <c r="D557" s="302"/>
      <c r="E557" s="302"/>
      <c r="F557" s="89"/>
      <c r="G557" s="89"/>
      <c r="H557" s="89"/>
      <c r="I557" s="89"/>
      <c r="J557" s="89"/>
      <c r="K557" s="303"/>
    </row>
    <row r="558" spans="1:11" ht="15.6">
      <c r="A558" s="300"/>
      <c r="C558" s="301"/>
      <c r="D558" s="302"/>
      <c r="E558" s="302"/>
      <c r="F558" s="89"/>
      <c r="G558" s="89"/>
      <c r="H558" s="89"/>
      <c r="I558" s="89"/>
      <c r="J558" s="89"/>
      <c r="K558" s="303"/>
    </row>
    <row r="559" spans="1:11" ht="15.6">
      <c r="A559" s="300"/>
      <c r="C559" s="301"/>
      <c r="D559" s="302"/>
      <c r="E559" s="302"/>
      <c r="F559" s="89"/>
      <c r="G559" s="89"/>
      <c r="H559" s="89"/>
      <c r="I559" s="89"/>
      <c r="J559" s="89"/>
      <c r="K559" s="303"/>
    </row>
    <row r="560" spans="1:11" ht="15.6">
      <c r="A560" s="300"/>
      <c r="C560" s="301"/>
      <c r="D560" s="302"/>
      <c r="E560" s="302"/>
      <c r="F560" s="89"/>
      <c r="G560" s="89"/>
      <c r="H560" s="89"/>
      <c r="I560" s="89"/>
      <c r="J560" s="89"/>
      <c r="K560" s="303"/>
    </row>
    <row r="561" spans="1:11" ht="15.6">
      <c r="A561" s="300"/>
      <c r="C561" s="301"/>
      <c r="D561" s="302"/>
      <c r="E561" s="302"/>
      <c r="F561" s="89"/>
      <c r="G561" s="89"/>
      <c r="H561" s="89"/>
      <c r="I561" s="89"/>
      <c r="J561" s="89"/>
      <c r="K561" s="303"/>
    </row>
    <row r="562" spans="1:11" ht="15.6">
      <c r="A562" s="300"/>
      <c r="C562" s="301"/>
      <c r="D562" s="302"/>
      <c r="E562" s="302"/>
      <c r="F562" s="89"/>
      <c r="G562" s="89"/>
      <c r="H562" s="89"/>
      <c r="I562" s="89"/>
      <c r="J562" s="89"/>
      <c r="K562" s="303"/>
    </row>
    <row r="563" spans="1:11" ht="15.6">
      <c r="A563" s="300"/>
      <c r="C563" s="301"/>
      <c r="D563" s="302"/>
      <c r="E563" s="302"/>
      <c r="F563" s="89"/>
      <c r="G563" s="89"/>
      <c r="H563" s="89"/>
      <c r="I563" s="89"/>
      <c r="J563" s="89"/>
      <c r="K563" s="303"/>
    </row>
    <row r="564" spans="1:11" ht="15.6">
      <c r="A564" s="300"/>
      <c r="C564" s="301"/>
      <c r="D564" s="302"/>
      <c r="E564" s="302"/>
      <c r="F564" s="89"/>
      <c r="G564" s="89"/>
      <c r="H564" s="89"/>
      <c r="I564" s="89"/>
      <c r="J564" s="89"/>
      <c r="K564" s="303"/>
    </row>
    <row r="565" spans="1:11" ht="15.6">
      <c r="A565" s="300"/>
      <c r="C565" s="301"/>
      <c r="D565" s="302"/>
      <c r="E565" s="302"/>
      <c r="F565" s="89"/>
      <c r="G565" s="89"/>
      <c r="H565" s="89"/>
      <c r="I565" s="89"/>
      <c r="J565" s="89"/>
      <c r="K565" s="303"/>
    </row>
    <row r="566" spans="1:11" ht="15.6">
      <c r="A566" s="300"/>
      <c r="C566" s="301"/>
      <c r="D566" s="302"/>
      <c r="E566" s="302"/>
      <c r="F566" s="89"/>
      <c r="G566" s="89"/>
      <c r="H566" s="89"/>
      <c r="I566" s="89"/>
      <c r="J566" s="89"/>
      <c r="K566" s="303"/>
    </row>
    <row r="567" spans="1:11" ht="15.6">
      <c r="A567" s="300"/>
      <c r="C567" s="301"/>
      <c r="D567" s="302"/>
      <c r="E567" s="302"/>
      <c r="F567" s="89"/>
      <c r="G567" s="89"/>
      <c r="H567" s="89"/>
      <c r="I567" s="89"/>
      <c r="J567" s="89"/>
      <c r="K567" s="303"/>
    </row>
    <row r="568" spans="1:11" ht="15.6">
      <c r="A568" s="300"/>
      <c r="C568" s="301"/>
      <c r="D568" s="302"/>
      <c r="E568" s="302"/>
      <c r="F568" s="89"/>
      <c r="G568" s="89"/>
      <c r="H568" s="89"/>
      <c r="I568" s="89"/>
      <c r="J568" s="89"/>
      <c r="K568" s="303"/>
    </row>
    <row r="569" spans="1:11" ht="15.6">
      <c r="A569" s="300"/>
      <c r="C569" s="301"/>
      <c r="D569" s="302"/>
      <c r="E569" s="302"/>
      <c r="F569" s="89"/>
      <c r="G569" s="89"/>
      <c r="H569" s="89"/>
      <c r="I569" s="89"/>
      <c r="J569" s="89"/>
      <c r="K569" s="303"/>
    </row>
    <row r="570" spans="1:11" ht="15.6">
      <c r="A570" s="300"/>
      <c r="C570" s="301"/>
      <c r="D570" s="302"/>
      <c r="E570" s="302"/>
      <c r="F570" s="89"/>
      <c r="G570" s="89"/>
      <c r="H570" s="89"/>
      <c r="I570" s="89"/>
      <c r="J570" s="89"/>
      <c r="K570" s="303"/>
    </row>
    <row r="571" spans="1:11" ht="15.6">
      <c r="A571" s="300"/>
      <c r="C571" s="301"/>
      <c r="D571" s="302"/>
      <c r="E571" s="302"/>
      <c r="F571" s="89"/>
      <c r="G571" s="89"/>
      <c r="H571" s="89"/>
      <c r="I571" s="89"/>
      <c r="J571" s="89"/>
      <c r="K571" s="303"/>
    </row>
    <row r="572" spans="1:11" ht="15.6">
      <c r="A572" s="300"/>
      <c r="C572" s="301"/>
      <c r="D572" s="302"/>
      <c r="E572" s="302"/>
      <c r="F572" s="89"/>
      <c r="G572" s="89"/>
      <c r="H572" s="89"/>
      <c r="I572" s="89"/>
      <c r="J572" s="89"/>
      <c r="K572" s="303"/>
    </row>
    <row r="573" spans="1:11" ht="15.6">
      <c r="A573" s="300"/>
      <c r="C573" s="301"/>
      <c r="D573" s="302"/>
      <c r="E573" s="302"/>
      <c r="F573" s="89"/>
      <c r="G573" s="89"/>
      <c r="H573" s="89"/>
      <c r="I573" s="89"/>
      <c r="J573" s="89"/>
      <c r="K573" s="303"/>
    </row>
    <row r="574" spans="1:11" ht="15.6">
      <c r="A574" s="300"/>
      <c r="C574" s="301"/>
      <c r="D574" s="302"/>
      <c r="E574" s="302"/>
      <c r="F574" s="89"/>
      <c r="G574" s="89"/>
      <c r="H574" s="89"/>
      <c r="I574" s="89"/>
      <c r="J574" s="89"/>
      <c r="K574" s="303"/>
    </row>
    <row r="575" spans="1:11" ht="15.6">
      <c r="A575" s="300"/>
      <c r="C575" s="301"/>
      <c r="D575" s="302"/>
      <c r="E575" s="302"/>
      <c r="F575" s="89"/>
      <c r="G575" s="89"/>
      <c r="H575" s="89"/>
      <c r="I575" s="89"/>
      <c r="J575" s="89"/>
      <c r="K575" s="303"/>
    </row>
    <row r="576" spans="1:11" ht="15.6">
      <c r="A576" s="300"/>
      <c r="C576" s="301"/>
      <c r="D576" s="302"/>
      <c r="E576" s="302"/>
      <c r="F576" s="89"/>
      <c r="G576" s="89"/>
      <c r="H576" s="89"/>
      <c r="I576" s="89"/>
      <c r="J576" s="89"/>
      <c r="K576" s="303"/>
    </row>
    <row r="577" spans="1:11" ht="15.6">
      <c r="A577" s="300"/>
      <c r="C577" s="301"/>
      <c r="D577" s="302"/>
      <c r="E577" s="302"/>
      <c r="F577" s="89"/>
      <c r="G577" s="89"/>
      <c r="H577" s="89"/>
      <c r="I577" s="89"/>
      <c r="J577" s="89"/>
      <c r="K577" s="303"/>
    </row>
    <row r="578" spans="1:11" ht="15.6">
      <c r="A578" s="300"/>
      <c r="C578" s="301"/>
      <c r="D578" s="302"/>
      <c r="E578" s="302"/>
      <c r="F578" s="89"/>
      <c r="G578" s="89"/>
      <c r="H578" s="89"/>
      <c r="I578" s="89"/>
      <c r="J578" s="89"/>
      <c r="K578" s="303"/>
    </row>
    <row r="579" spans="1:11" ht="15.6">
      <c r="A579" s="300"/>
      <c r="C579" s="301"/>
      <c r="D579" s="302"/>
      <c r="E579" s="302"/>
      <c r="F579" s="89"/>
      <c r="G579" s="89"/>
      <c r="H579" s="89"/>
      <c r="I579" s="89"/>
      <c r="J579" s="89"/>
      <c r="K579" s="303"/>
    </row>
    <row r="580" spans="1:11" ht="15.6">
      <c r="A580" s="300"/>
      <c r="C580" s="301"/>
      <c r="D580" s="302"/>
      <c r="E580" s="302"/>
      <c r="F580" s="89"/>
      <c r="G580" s="89"/>
      <c r="H580" s="89"/>
      <c r="I580" s="89"/>
      <c r="J580" s="89"/>
      <c r="K580" s="303"/>
    </row>
    <row r="581" spans="1:11" ht="15.6">
      <c r="A581" s="300"/>
      <c r="C581" s="301"/>
      <c r="D581" s="302"/>
      <c r="E581" s="302"/>
      <c r="F581" s="89"/>
      <c r="G581" s="89"/>
      <c r="H581" s="89"/>
      <c r="I581" s="89"/>
      <c r="J581" s="89"/>
      <c r="K581" s="303"/>
    </row>
    <row r="582" spans="1:11" ht="15.6">
      <c r="A582" s="300"/>
      <c r="C582" s="301"/>
      <c r="D582" s="302"/>
      <c r="E582" s="302"/>
      <c r="F582" s="89"/>
      <c r="G582" s="89"/>
      <c r="H582" s="89"/>
      <c r="I582" s="89"/>
      <c r="J582" s="89"/>
      <c r="K582" s="303"/>
    </row>
    <row r="583" spans="1:11" ht="15.6">
      <c r="A583" s="300"/>
      <c r="C583" s="301"/>
      <c r="D583" s="302"/>
      <c r="E583" s="302"/>
      <c r="F583" s="89"/>
      <c r="G583" s="89"/>
      <c r="H583" s="89"/>
      <c r="I583" s="89"/>
      <c r="J583" s="89"/>
      <c r="K583" s="303"/>
    </row>
    <row r="584" spans="1:11" ht="15.6">
      <c r="A584" s="300"/>
      <c r="C584" s="301"/>
      <c r="D584" s="302"/>
      <c r="E584" s="302"/>
      <c r="F584" s="89"/>
      <c r="G584" s="89"/>
      <c r="H584" s="89"/>
      <c r="I584" s="89"/>
      <c r="J584" s="89"/>
      <c r="K584" s="303"/>
    </row>
    <row r="585" spans="1:11" ht="15.6">
      <c r="A585" s="300"/>
      <c r="C585" s="301"/>
      <c r="D585" s="302"/>
      <c r="E585" s="302"/>
      <c r="F585" s="89"/>
      <c r="G585" s="89"/>
      <c r="H585" s="89"/>
      <c r="I585" s="89"/>
      <c r="J585" s="89"/>
      <c r="K585" s="303"/>
    </row>
    <row r="586" spans="1:11" ht="15.6">
      <c r="A586" s="300"/>
      <c r="C586" s="301"/>
      <c r="D586" s="302"/>
      <c r="E586" s="302"/>
      <c r="F586" s="89"/>
      <c r="G586" s="89"/>
      <c r="H586" s="89"/>
      <c r="I586" s="89"/>
      <c r="J586" s="89"/>
      <c r="K586" s="303"/>
    </row>
    <row r="587" spans="1:11" ht="15.6">
      <c r="A587" s="300"/>
      <c r="C587" s="301"/>
      <c r="D587" s="302"/>
      <c r="E587" s="302"/>
      <c r="F587" s="89"/>
      <c r="G587" s="89"/>
      <c r="H587" s="89"/>
      <c r="I587" s="89"/>
      <c r="J587" s="89"/>
      <c r="K587" s="303"/>
    </row>
    <row r="588" spans="1:11" ht="15.6">
      <c r="A588" s="300"/>
      <c r="C588" s="301"/>
      <c r="D588" s="302"/>
      <c r="E588" s="302"/>
      <c r="F588" s="89"/>
      <c r="G588" s="89"/>
      <c r="H588" s="89"/>
      <c r="I588" s="89"/>
      <c r="J588" s="89"/>
      <c r="K588" s="303"/>
    </row>
    <row r="589" spans="1:11" ht="15.6">
      <c r="A589" s="300"/>
      <c r="C589" s="301"/>
      <c r="D589" s="302"/>
      <c r="E589" s="302"/>
      <c r="F589" s="89"/>
      <c r="G589" s="89"/>
      <c r="H589" s="89"/>
      <c r="I589" s="89"/>
      <c r="J589" s="89"/>
      <c r="K589" s="303"/>
    </row>
    <row r="590" spans="1:11" ht="15.6">
      <c r="A590" s="300"/>
      <c r="C590" s="301"/>
      <c r="D590" s="302"/>
      <c r="E590" s="302"/>
      <c r="F590" s="89"/>
      <c r="G590" s="89"/>
      <c r="H590" s="89"/>
      <c r="I590" s="89"/>
      <c r="J590" s="89"/>
      <c r="K590" s="303"/>
    </row>
    <row r="591" spans="1:11" ht="15.6">
      <c r="A591" s="300"/>
      <c r="C591" s="301"/>
      <c r="D591" s="302"/>
      <c r="E591" s="302"/>
      <c r="F591" s="89"/>
      <c r="G591" s="89"/>
      <c r="H591" s="89"/>
      <c r="I591" s="89"/>
      <c r="J591" s="89"/>
      <c r="K591" s="303"/>
    </row>
    <row r="592" spans="1:11" ht="15.6">
      <c r="A592" s="300"/>
      <c r="C592" s="301"/>
      <c r="D592" s="302"/>
      <c r="E592" s="302"/>
      <c r="F592" s="89"/>
      <c r="G592" s="89"/>
      <c r="H592" s="89"/>
      <c r="I592" s="89"/>
      <c r="J592" s="89"/>
      <c r="K592" s="303"/>
    </row>
    <row r="593" spans="1:11" ht="15.6">
      <c r="A593" s="300"/>
      <c r="C593" s="301"/>
      <c r="D593" s="302"/>
      <c r="E593" s="302"/>
      <c r="F593" s="89"/>
      <c r="G593" s="89"/>
      <c r="H593" s="89"/>
      <c r="I593" s="89"/>
      <c r="J593" s="89"/>
      <c r="K593" s="303"/>
    </row>
    <row r="594" spans="1:11" ht="15.6">
      <c r="A594" s="300"/>
      <c r="C594" s="301"/>
      <c r="D594" s="302"/>
      <c r="E594" s="302"/>
      <c r="F594" s="89"/>
      <c r="G594" s="89"/>
      <c r="H594" s="89"/>
      <c r="I594" s="89"/>
      <c r="J594" s="89"/>
      <c r="K594" s="303"/>
    </row>
    <row r="595" spans="1:11" ht="15.6">
      <c r="A595" s="300"/>
      <c r="C595" s="301"/>
      <c r="D595" s="302"/>
      <c r="E595" s="302"/>
      <c r="F595" s="89"/>
      <c r="G595" s="89"/>
      <c r="H595" s="89"/>
      <c r="I595" s="89"/>
      <c r="J595" s="89"/>
      <c r="K595" s="303"/>
    </row>
    <row r="596" spans="1:11" ht="15.6">
      <c r="A596" s="300"/>
      <c r="C596" s="301"/>
      <c r="D596" s="302"/>
      <c r="E596" s="302"/>
      <c r="F596" s="89"/>
      <c r="G596" s="89"/>
      <c r="H596" s="89"/>
      <c r="I596" s="89"/>
      <c r="J596" s="89"/>
      <c r="K596" s="303"/>
    </row>
    <row r="597" spans="1:11" ht="15.6">
      <c r="A597" s="300"/>
      <c r="C597" s="301"/>
      <c r="D597" s="302"/>
      <c r="E597" s="302"/>
      <c r="F597" s="89"/>
      <c r="G597" s="89"/>
      <c r="H597" s="89"/>
      <c r="I597" s="89"/>
      <c r="J597" s="89"/>
      <c r="K597" s="303"/>
    </row>
    <row r="598" spans="1:11" ht="15.6">
      <c r="A598" s="300"/>
      <c r="C598" s="301"/>
      <c r="D598" s="302"/>
      <c r="E598" s="302"/>
      <c r="F598" s="89"/>
      <c r="G598" s="89"/>
      <c r="H598" s="89"/>
      <c r="I598" s="89"/>
      <c r="J598" s="89"/>
      <c r="K598" s="303"/>
    </row>
    <row r="599" spans="1:11" ht="15.6">
      <c r="A599" s="300"/>
      <c r="C599" s="301"/>
      <c r="D599" s="302"/>
      <c r="E599" s="302"/>
      <c r="F599" s="89"/>
      <c r="G599" s="89"/>
      <c r="H599" s="89"/>
      <c r="I599" s="89"/>
      <c r="J599" s="89"/>
      <c r="K599" s="303"/>
    </row>
    <row r="600" spans="1:11" ht="15.6">
      <c r="A600" s="300"/>
      <c r="C600" s="301"/>
      <c r="D600" s="302"/>
      <c r="E600" s="302"/>
      <c r="F600" s="89"/>
      <c r="G600" s="89"/>
      <c r="H600" s="89"/>
      <c r="I600" s="89"/>
      <c r="J600" s="89"/>
      <c r="K600" s="303"/>
    </row>
    <row r="601" spans="1:11" ht="15.6">
      <c r="A601" s="300"/>
      <c r="C601" s="301"/>
      <c r="D601" s="302"/>
      <c r="E601" s="302"/>
      <c r="F601" s="89"/>
      <c r="G601" s="89"/>
      <c r="H601" s="89"/>
      <c r="I601" s="89"/>
      <c r="J601" s="89"/>
      <c r="K601" s="303"/>
    </row>
    <row r="602" spans="1:11" ht="15.6">
      <c r="A602" s="300"/>
      <c r="C602" s="301"/>
      <c r="D602" s="302"/>
      <c r="E602" s="302"/>
      <c r="F602" s="89"/>
      <c r="G602" s="89"/>
      <c r="H602" s="89"/>
      <c r="I602" s="89"/>
      <c r="J602" s="89"/>
      <c r="K602" s="303"/>
    </row>
    <row r="603" spans="1:11" ht="15.6">
      <c r="A603" s="300"/>
      <c r="C603" s="301"/>
      <c r="D603" s="302"/>
      <c r="E603" s="302"/>
      <c r="F603" s="89"/>
      <c r="G603" s="89"/>
      <c r="H603" s="89"/>
      <c r="I603" s="89"/>
      <c r="J603" s="89"/>
      <c r="K603" s="303"/>
    </row>
    <row r="604" spans="1:11" ht="15.6">
      <c r="A604" s="300"/>
      <c r="C604" s="301"/>
      <c r="D604" s="302"/>
      <c r="E604" s="302"/>
      <c r="F604" s="89"/>
      <c r="G604" s="89"/>
      <c r="H604" s="89"/>
      <c r="I604" s="89"/>
      <c r="J604" s="89"/>
      <c r="K604" s="303"/>
    </row>
    <row r="605" spans="1:11" ht="15.6">
      <c r="A605" s="300"/>
      <c r="C605" s="301"/>
      <c r="D605" s="302"/>
      <c r="E605" s="302"/>
      <c r="F605" s="89"/>
      <c r="G605" s="89"/>
      <c r="H605" s="89"/>
      <c r="I605" s="89"/>
      <c r="J605" s="89"/>
      <c r="K605" s="303"/>
    </row>
    <row r="606" spans="1:11" ht="15.6">
      <c r="A606" s="300"/>
      <c r="C606" s="301"/>
      <c r="D606" s="302"/>
      <c r="E606" s="302"/>
      <c r="F606" s="89"/>
      <c r="G606" s="89"/>
      <c r="H606" s="89"/>
      <c r="I606" s="89"/>
      <c r="J606" s="89"/>
      <c r="K606" s="303"/>
    </row>
    <row r="607" spans="1:11" ht="15.6">
      <c r="A607" s="300"/>
      <c r="C607" s="301"/>
      <c r="D607" s="302"/>
      <c r="E607" s="302"/>
      <c r="F607" s="89"/>
      <c r="G607" s="89"/>
      <c r="H607" s="89"/>
      <c r="I607" s="89"/>
      <c r="J607" s="89"/>
      <c r="K607" s="303"/>
    </row>
    <row r="608" spans="1:11" ht="15.6">
      <c r="A608" s="300"/>
      <c r="C608" s="301"/>
      <c r="D608" s="302"/>
      <c r="E608" s="302"/>
      <c r="F608" s="89"/>
      <c r="G608" s="89"/>
      <c r="H608" s="89"/>
      <c r="I608" s="89"/>
      <c r="J608" s="89"/>
      <c r="K608" s="303"/>
    </row>
    <row r="609" spans="1:11" ht="15.6">
      <c r="A609" s="300"/>
      <c r="C609" s="301"/>
      <c r="D609" s="302"/>
      <c r="E609" s="302"/>
      <c r="F609" s="89"/>
      <c r="G609" s="89"/>
      <c r="H609" s="89"/>
      <c r="I609" s="89"/>
      <c r="J609" s="89"/>
      <c r="K609" s="303"/>
    </row>
    <row r="610" spans="1:11" ht="15.6">
      <c r="A610" s="300"/>
      <c r="C610" s="301"/>
      <c r="D610" s="302"/>
      <c r="E610" s="302"/>
      <c r="F610" s="89"/>
      <c r="G610" s="89"/>
      <c r="H610" s="89"/>
      <c r="I610" s="89"/>
      <c r="J610" s="89"/>
      <c r="K610" s="303"/>
    </row>
    <row r="611" spans="1:11" ht="15.6">
      <c r="A611" s="300"/>
      <c r="C611" s="301"/>
      <c r="D611" s="302"/>
      <c r="E611" s="302"/>
      <c r="F611" s="89"/>
      <c r="G611" s="89"/>
      <c r="H611" s="89"/>
      <c r="I611" s="89"/>
      <c r="J611" s="89"/>
      <c r="K611" s="303"/>
    </row>
    <row r="612" spans="1:11" ht="15.6">
      <c r="A612" s="300"/>
      <c r="C612" s="301"/>
      <c r="D612" s="302"/>
      <c r="E612" s="302"/>
      <c r="F612" s="89"/>
      <c r="G612" s="89"/>
      <c r="H612" s="89"/>
      <c r="I612" s="89"/>
      <c r="J612" s="89"/>
      <c r="K612" s="303"/>
    </row>
    <row r="613" spans="1:11" ht="15.6">
      <c r="A613" s="300"/>
      <c r="C613" s="301"/>
      <c r="D613" s="302"/>
      <c r="E613" s="302"/>
      <c r="F613" s="89"/>
      <c r="G613" s="89"/>
      <c r="H613" s="89"/>
      <c r="I613" s="89"/>
      <c r="J613" s="89"/>
      <c r="K613" s="303"/>
    </row>
    <row r="614" spans="1:11" ht="15.6">
      <c r="A614" s="300"/>
      <c r="C614" s="301"/>
      <c r="D614" s="302"/>
      <c r="E614" s="302"/>
      <c r="F614" s="89"/>
      <c r="G614" s="89"/>
      <c r="H614" s="89"/>
      <c r="I614" s="89"/>
      <c r="J614" s="89"/>
      <c r="K614" s="303"/>
    </row>
    <row r="615" spans="1:11" ht="15.6">
      <c r="A615" s="300"/>
      <c r="C615" s="301"/>
      <c r="D615" s="302"/>
      <c r="E615" s="302"/>
      <c r="F615" s="89"/>
      <c r="G615" s="89"/>
      <c r="H615" s="89"/>
      <c r="I615" s="89"/>
      <c r="J615" s="89"/>
      <c r="K615" s="303"/>
    </row>
    <row r="616" spans="1:11" ht="15.6">
      <c r="A616" s="300"/>
      <c r="C616" s="301"/>
      <c r="D616" s="302"/>
      <c r="E616" s="302"/>
      <c r="F616" s="89"/>
      <c r="G616" s="89"/>
      <c r="H616" s="89"/>
      <c r="I616" s="89"/>
      <c r="J616" s="89"/>
      <c r="K616" s="303"/>
    </row>
    <row r="617" spans="1:11" ht="15.6">
      <c r="A617" s="300"/>
      <c r="C617" s="301"/>
      <c r="D617" s="302"/>
      <c r="E617" s="302"/>
      <c r="F617" s="89"/>
      <c r="G617" s="89"/>
      <c r="H617" s="89"/>
      <c r="I617" s="89"/>
      <c r="J617" s="89"/>
      <c r="K617" s="303"/>
    </row>
    <row r="618" spans="1:11" ht="15.6">
      <c r="A618" s="300"/>
      <c r="C618" s="301"/>
      <c r="D618" s="302"/>
      <c r="E618" s="302"/>
      <c r="F618" s="89"/>
      <c r="G618" s="89"/>
      <c r="H618" s="89"/>
      <c r="I618" s="89"/>
      <c r="J618" s="89"/>
      <c r="K618" s="303"/>
    </row>
    <row r="619" spans="1:11" ht="15.6">
      <c r="A619" s="300"/>
      <c r="C619" s="301"/>
      <c r="D619" s="302"/>
      <c r="E619" s="302"/>
      <c r="F619" s="89"/>
      <c r="G619" s="89"/>
      <c r="H619" s="89"/>
      <c r="I619" s="89"/>
      <c r="J619" s="89"/>
      <c r="K619" s="303"/>
    </row>
    <row r="620" spans="1:11" ht="15.6">
      <c r="A620" s="300"/>
      <c r="C620" s="301"/>
      <c r="D620" s="302"/>
      <c r="E620" s="302"/>
      <c r="F620" s="89"/>
      <c r="G620" s="89"/>
      <c r="H620" s="89"/>
      <c r="I620" s="89"/>
      <c r="J620" s="89"/>
      <c r="K620" s="303"/>
    </row>
    <row r="621" spans="1:11" ht="15.6">
      <c r="A621" s="300"/>
      <c r="C621" s="301"/>
      <c r="D621" s="302"/>
      <c r="E621" s="302"/>
      <c r="F621" s="89"/>
      <c r="G621" s="89"/>
      <c r="H621" s="89"/>
      <c r="I621" s="89"/>
      <c r="J621" s="89"/>
      <c r="K621" s="303"/>
    </row>
    <row r="622" spans="1:11" ht="15.6">
      <c r="A622" s="300"/>
      <c r="C622" s="301"/>
      <c r="D622" s="302"/>
      <c r="E622" s="302"/>
      <c r="F622" s="89"/>
      <c r="G622" s="89"/>
      <c r="H622" s="89"/>
      <c r="I622" s="89"/>
      <c r="J622" s="89"/>
      <c r="K622" s="303"/>
    </row>
    <row r="623" spans="1:11" ht="15.6">
      <c r="A623" s="300"/>
      <c r="C623" s="301"/>
      <c r="D623" s="302"/>
      <c r="E623" s="302"/>
      <c r="F623" s="89"/>
      <c r="G623" s="89"/>
      <c r="H623" s="89"/>
      <c r="I623" s="89"/>
      <c r="J623" s="89"/>
      <c r="K623" s="303"/>
    </row>
    <row r="624" spans="1:11" ht="15.6">
      <c r="A624" s="300"/>
      <c r="C624" s="301"/>
      <c r="D624" s="302"/>
      <c r="E624" s="302"/>
      <c r="F624" s="89"/>
      <c r="G624" s="89"/>
      <c r="H624" s="89"/>
      <c r="I624" s="89"/>
      <c r="J624" s="89"/>
      <c r="K624" s="303"/>
    </row>
    <row r="625" spans="1:11" ht="15.6">
      <c r="A625" s="300"/>
      <c r="C625" s="301"/>
      <c r="D625" s="302"/>
      <c r="E625" s="302"/>
      <c r="F625" s="89"/>
      <c r="G625" s="89"/>
      <c r="H625" s="89"/>
      <c r="I625" s="89"/>
      <c r="J625" s="89"/>
      <c r="K625" s="303"/>
    </row>
    <row r="626" spans="1:11" ht="15.6">
      <c r="A626" s="300"/>
      <c r="C626" s="301"/>
      <c r="D626" s="302"/>
      <c r="E626" s="302"/>
      <c r="F626" s="89"/>
      <c r="G626" s="89"/>
      <c r="H626" s="89"/>
      <c r="I626" s="89"/>
      <c r="J626" s="89"/>
      <c r="K626" s="303"/>
    </row>
    <row r="627" spans="1:11" ht="15.6">
      <c r="A627" s="300"/>
      <c r="C627" s="301"/>
      <c r="D627" s="302"/>
      <c r="E627" s="302"/>
      <c r="F627" s="89"/>
      <c r="G627" s="89"/>
      <c r="H627" s="89"/>
      <c r="I627" s="89"/>
      <c r="J627" s="89"/>
      <c r="K627" s="303"/>
    </row>
    <row r="628" spans="1:11" ht="15.6">
      <c r="A628" s="300"/>
      <c r="C628" s="301"/>
      <c r="D628" s="302"/>
      <c r="E628" s="302"/>
      <c r="F628" s="89"/>
      <c r="G628" s="89"/>
      <c r="H628" s="89"/>
      <c r="I628" s="89"/>
      <c r="J628" s="89"/>
      <c r="K628" s="303"/>
    </row>
    <row r="629" spans="1:11" ht="15.6">
      <c r="A629" s="300"/>
      <c r="C629" s="301"/>
      <c r="D629" s="302"/>
      <c r="E629" s="302"/>
      <c r="F629" s="89"/>
      <c r="G629" s="89"/>
      <c r="H629" s="89"/>
      <c r="I629" s="89"/>
      <c r="J629" s="89"/>
      <c r="K629" s="303"/>
    </row>
    <row r="630" spans="1:11" ht="15.6">
      <c r="A630" s="300"/>
      <c r="C630" s="301"/>
      <c r="D630" s="302"/>
      <c r="E630" s="302"/>
      <c r="F630" s="89"/>
      <c r="G630" s="89"/>
      <c r="H630" s="89"/>
      <c r="I630" s="89"/>
      <c r="J630" s="89"/>
      <c r="K630" s="303"/>
    </row>
    <row r="631" spans="1:11" ht="15.6">
      <c r="A631" s="300"/>
      <c r="C631" s="301"/>
      <c r="D631" s="302"/>
      <c r="E631" s="302"/>
      <c r="F631" s="89"/>
      <c r="G631" s="89"/>
      <c r="H631" s="89"/>
      <c r="I631" s="89"/>
      <c r="J631" s="89"/>
      <c r="K631" s="303"/>
    </row>
    <row r="632" spans="1:11" ht="15.6">
      <c r="A632" s="300"/>
      <c r="C632" s="301"/>
      <c r="D632" s="302"/>
      <c r="E632" s="302"/>
      <c r="F632" s="89"/>
      <c r="G632" s="89"/>
      <c r="H632" s="89"/>
      <c r="I632" s="89"/>
      <c r="J632" s="89"/>
      <c r="K632" s="303"/>
    </row>
    <row r="633" spans="1:11" ht="15.6">
      <c r="A633" s="300"/>
      <c r="C633" s="301"/>
      <c r="D633" s="302"/>
      <c r="E633" s="302"/>
      <c r="F633" s="89"/>
      <c r="G633" s="89"/>
      <c r="H633" s="89"/>
      <c r="I633" s="89"/>
      <c r="J633" s="89"/>
      <c r="K633" s="303"/>
    </row>
    <row r="634" spans="1:11" ht="15.6">
      <c r="A634" s="300"/>
      <c r="C634" s="301"/>
      <c r="D634" s="302"/>
      <c r="E634" s="302"/>
      <c r="F634" s="89"/>
      <c r="G634" s="89"/>
      <c r="H634" s="89"/>
      <c r="I634" s="89"/>
      <c r="J634" s="89"/>
      <c r="K634" s="303"/>
    </row>
    <row r="635" spans="1:11" ht="15.6">
      <c r="A635" s="300"/>
      <c r="C635" s="301"/>
      <c r="D635" s="302"/>
      <c r="E635" s="302"/>
      <c r="F635" s="89"/>
      <c r="G635" s="89"/>
      <c r="H635" s="89"/>
      <c r="I635" s="89"/>
      <c r="J635" s="89"/>
      <c r="K635" s="303"/>
    </row>
    <row r="636" spans="1:11" ht="15.6">
      <c r="A636" s="300"/>
      <c r="C636" s="301"/>
      <c r="D636" s="302"/>
      <c r="E636" s="302"/>
      <c r="F636" s="89"/>
      <c r="G636" s="89"/>
      <c r="H636" s="89"/>
      <c r="I636" s="89"/>
      <c r="J636" s="89"/>
      <c r="K636" s="303"/>
    </row>
    <row r="637" spans="1:11" ht="15.6">
      <c r="A637" s="300"/>
      <c r="C637" s="301"/>
      <c r="D637" s="302"/>
      <c r="E637" s="302"/>
      <c r="F637" s="89"/>
      <c r="G637" s="89"/>
      <c r="H637" s="89"/>
      <c r="I637" s="89"/>
      <c r="J637" s="89"/>
      <c r="K637" s="303"/>
    </row>
    <row r="638" spans="1:11" ht="15.6">
      <c r="A638" s="300"/>
      <c r="C638" s="301"/>
      <c r="D638" s="302"/>
      <c r="E638" s="302"/>
      <c r="F638" s="89"/>
      <c r="G638" s="89"/>
      <c r="H638" s="89"/>
      <c r="I638" s="89"/>
      <c r="J638" s="89"/>
      <c r="K638" s="303"/>
    </row>
    <row r="639" spans="1:11" ht="15.6">
      <c r="A639" s="300"/>
      <c r="C639" s="301"/>
      <c r="D639" s="302"/>
      <c r="E639" s="302"/>
      <c r="F639" s="89"/>
      <c r="G639" s="89"/>
      <c r="H639" s="89"/>
      <c r="I639" s="89"/>
      <c r="J639" s="89"/>
      <c r="K639" s="303"/>
    </row>
    <row r="640" spans="1:11" ht="15.6">
      <c r="A640" s="300"/>
      <c r="C640" s="301"/>
      <c r="D640" s="302"/>
      <c r="E640" s="302"/>
      <c r="F640" s="89"/>
      <c r="G640" s="89"/>
      <c r="H640" s="89"/>
      <c r="I640" s="89"/>
      <c r="J640" s="89"/>
      <c r="K640" s="303"/>
    </row>
    <row r="641" spans="1:11" ht="15.6">
      <c r="A641" s="300"/>
      <c r="C641" s="301"/>
      <c r="D641" s="302"/>
      <c r="E641" s="302"/>
      <c r="F641" s="89"/>
      <c r="G641" s="89"/>
      <c r="H641" s="89"/>
      <c r="I641" s="89"/>
      <c r="J641" s="89"/>
      <c r="K641" s="303"/>
    </row>
    <row r="642" spans="1:11" ht="15.6">
      <c r="A642" s="300"/>
      <c r="C642" s="301"/>
      <c r="D642" s="302"/>
      <c r="E642" s="302"/>
      <c r="F642" s="89"/>
      <c r="G642" s="89"/>
      <c r="H642" s="89"/>
      <c r="I642" s="89"/>
      <c r="J642" s="89"/>
      <c r="K642" s="303"/>
    </row>
    <row r="643" spans="1:11" ht="15.6">
      <c r="A643" s="300"/>
      <c r="C643" s="301"/>
      <c r="D643" s="302"/>
      <c r="E643" s="302"/>
      <c r="F643" s="89"/>
      <c r="G643" s="89"/>
      <c r="H643" s="89"/>
      <c r="I643" s="89"/>
      <c r="J643" s="89"/>
      <c r="K643" s="303"/>
    </row>
    <row r="644" spans="1:11" ht="15.6">
      <c r="A644" s="300"/>
      <c r="C644" s="301"/>
      <c r="D644" s="302"/>
      <c r="E644" s="302"/>
      <c r="F644" s="89"/>
      <c r="G644" s="89"/>
      <c r="H644" s="89"/>
      <c r="I644" s="89"/>
      <c r="J644" s="89"/>
      <c r="K644" s="303"/>
    </row>
    <row r="645" spans="1:11" ht="15.6">
      <c r="A645" s="300"/>
      <c r="C645" s="301"/>
      <c r="D645" s="302"/>
      <c r="E645" s="302"/>
      <c r="F645" s="89"/>
      <c r="G645" s="89"/>
      <c r="H645" s="89"/>
      <c r="I645" s="89"/>
      <c r="J645" s="89"/>
      <c r="K645" s="303"/>
    </row>
    <row r="646" spans="1:11" ht="15.6">
      <c r="A646" s="300"/>
      <c r="C646" s="301"/>
      <c r="D646" s="302"/>
      <c r="E646" s="302"/>
      <c r="F646" s="89"/>
      <c r="G646" s="89"/>
      <c r="H646" s="89"/>
      <c r="I646" s="89"/>
      <c r="J646" s="89"/>
      <c r="K646" s="303"/>
    </row>
    <row r="647" spans="1:11" ht="15.6">
      <c r="A647" s="300"/>
      <c r="C647" s="301"/>
      <c r="D647" s="302"/>
      <c r="E647" s="302"/>
      <c r="F647" s="89"/>
      <c r="G647" s="89"/>
      <c r="H647" s="89"/>
      <c r="I647" s="89"/>
      <c r="J647" s="89"/>
      <c r="K647" s="303"/>
    </row>
    <row r="648" spans="1:11" ht="15.6">
      <c r="A648" s="300"/>
      <c r="C648" s="301"/>
      <c r="D648" s="302"/>
      <c r="E648" s="302"/>
      <c r="F648" s="89"/>
      <c r="G648" s="89"/>
      <c r="H648" s="89"/>
      <c r="I648" s="89"/>
      <c r="J648" s="89"/>
      <c r="K648" s="303"/>
    </row>
    <row r="649" spans="1:11" ht="15.6">
      <c r="A649" s="300"/>
      <c r="C649" s="301"/>
      <c r="D649" s="302"/>
      <c r="E649" s="302"/>
      <c r="F649" s="89"/>
      <c r="G649" s="89"/>
      <c r="H649" s="89"/>
      <c r="I649" s="89"/>
      <c r="J649" s="89"/>
      <c r="K649" s="303"/>
    </row>
    <row r="650" spans="1:11" ht="15.6">
      <c r="A650" s="300"/>
      <c r="C650" s="301"/>
      <c r="D650" s="302"/>
      <c r="E650" s="302"/>
      <c r="F650" s="89"/>
      <c r="G650" s="89"/>
      <c r="H650" s="89"/>
      <c r="I650" s="89"/>
      <c r="J650" s="89"/>
      <c r="K650" s="303"/>
    </row>
    <row r="651" spans="1:11" ht="15.6">
      <c r="A651" s="300"/>
      <c r="C651" s="301"/>
      <c r="D651" s="302"/>
      <c r="E651" s="302"/>
      <c r="F651" s="89"/>
      <c r="G651" s="89"/>
      <c r="H651" s="89"/>
      <c r="I651" s="89"/>
      <c r="J651" s="89"/>
      <c r="K651" s="303"/>
    </row>
    <row r="652" spans="1:11" ht="15.6">
      <c r="A652" s="300"/>
      <c r="C652" s="301"/>
      <c r="D652" s="302"/>
      <c r="E652" s="302"/>
      <c r="F652" s="89"/>
      <c r="G652" s="89"/>
      <c r="H652" s="89"/>
      <c r="I652" s="89"/>
      <c r="J652" s="89"/>
      <c r="K652" s="303"/>
    </row>
    <row r="653" spans="1:11" ht="15.6">
      <c r="A653" s="300"/>
      <c r="C653" s="301"/>
      <c r="D653" s="302"/>
      <c r="E653" s="302"/>
      <c r="F653" s="89"/>
      <c r="G653" s="89"/>
      <c r="H653" s="89"/>
      <c r="I653" s="89"/>
      <c r="J653" s="89"/>
      <c r="K653" s="303"/>
    </row>
    <row r="654" spans="1:11" ht="15.6">
      <c r="A654" s="300"/>
      <c r="C654" s="301"/>
      <c r="D654" s="302"/>
      <c r="E654" s="302"/>
      <c r="F654" s="89"/>
      <c r="G654" s="89"/>
      <c r="H654" s="89"/>
      <c r="I654" s="89"/>
      <c r="J654" s="89"/>
      <c r="K654" s="303"/>
    </row>
    <row r="655" spans="1:11" ht="15.6">
      <c r="A655" s="300"/>
      <c r="C655" s="301"/>
      <c r="D655" s="302"/>
      <c r="E655" s="302"/>
      <c r="F655" s="89"/>
      <c r="G655" s="89"/>
      <c r="H655" s="89"/>
      <c r="I655" s="89"/>
      <c r="J655" s="89"/>
      <c r="K655" s="303"/>
    </row>
    <row r="656" spans="1:11" ht="15.6">
      <c r="A656" s="300"/>
      <c r="C656" s="301"/>
      <c r="D656" s="302"/>
      <c r="E656" s="302"/>
      <c r="F656" s="89"/>
      <c r="G656" s="89"/>
      <c r="H656" s="89"/>
      <c r="I656" s="89"/>
      <c r="J656" s="89"/>
      <c r="K656" s="303"/>
    </row>
    <row r="657" spans="1:11" ht="15.6">
      <c r="A657" s="300"/>
      <c r="C657" s="301"/>
      <c r="D657" s="302"/>
      <c r="E657" s="302"/>
      <c r="F657" s="89"/>
      <c r="G657" s="89"/>
      <c r="H657" s="89"/>
      <c r="I657" s="89"/>
      <c r="J657" s="89"/>
      <c r="K657" s="303"/>
    </row>
    <row r="658" spans="1:11" ht="15.6">
      <c r="A658" s="300"/>
      <c r="C658" s="301"/>
      <c r="D658" s="302"/>
      <c r="E658" s="302"/>
      <c r="F658" s="89"/>
      <c r="G658" s="89"/>
      <c r="H658" s="89"/>
      <c r="I658" s="89"/>
      <c r="J658" s="89"/>
      <c r="K658" s="303"/>
    </row>
    <row r="659" spans="1:11" ht="15.6">
      <c r="A659" s="300"/>
      <c r="C659" s="301"/>
      <c r="D659" s="302"/>
      <c r="E659" s="302"/>
      <c r="F659" s="89"/>
      <c r="G659" s="89"/>
      <c r="H659" s="89"/>
      <c r="I659" s="89"/>
      <c r="J659" s="89"/>
      <c r="K659" s="303"/>
    </row>
    <row r="660" spans="1:11" ht="15.6">
      <c r="A660" s="300"/>
      <c r="C660" s="301"/>
      <c r="D660" s="302"/>
      <c r="E660" s="302"/>
      <c r="F660" s="89"/>
      <c r="G660" s="89"/>
      <c r="H660" s="89"/>
      <c r="I660" s="89"/>
      <c r="J660" s="89"/>
      <c r="K660" s="303"/>
    </row>
    <row r="661" spans="1:11" ht="15.6">
      <c r="A661" s="300"/>
      <c r="C661" s="301"/>
      <c r="D661" s="302"/>
      <c r="E661" s="302"/>
      <c r="F661" s="89"/>
      <c r="G661" s="89"/>
      <c r="H661" s="89"/>
      <c r="I661" s="89"/>
      <c r="J661" s="89"/>
      <c r="K661" s="303"/>
    </row>
    <row r="662" spans="1:11" ht="15.6">
      <c r="A662" s="300"/>
      <c r="C662" s="301"/>
      <c r="D662" s="302"/>
      <c r="E662" s="302"/>
      <c r="F662" s="89"/>
      <c r="G662" s="89"/>
      <c r="H662" s="89"/>
      <c r="I662" s="89"/>
      <c r="J662" s="89"/>
      <c r="K662" s="303"/>
    </row>
    <row r="663" spans="1:11" ht="15.6">
      <c r="A663" s="300"/>
      <c r="C663" s="301"/>
      <c r="D663" s="302"/>
      <c r="E663" s="302"/>
      <c r="F663" s="89"/>
      <c r="G663" s="89"/>
      <c r="H663" s="89"/>
      <c r="I663" s="89"/>
      <c r="J663" s="89"/>
      <c r="K663" s="303"/>
    </row>
    <row r="664" spans="1:11" ht="15.6">
      <c r="A664" s="300"/>
      <c r="C664" s="301"/>
      <c r="D664" s="302"/>
      <c r="E664" s="302"/>
      <c r="F664" s="89"/>
      <c r="G664" s="89"/>
      <c r="H664" s="89"/>
      <c r="I664" s="89"/>
      <c r="J664" s="89"/>
      <c r="K664" s="303"/>
    </row>
    <row r="665" spans="1:11" ht="15.6">
      <c r="A665" s="300"/>
      <c r="C665" s="301"/>
      <c r="D665" s="302"/>
      <c r="E665" s="302"/>
      <c r="F665" s="89"/>
      <c r="G665" s="89"/>
      <c r="H665" s="89"/>
      <c r="I665" s="89"/>
      <c r="J665" s="89"/>
      <c r="K665" s="303"/>
    </row>
    <row r="666" spans="1:11" ht="15.6">
      <c r="A666" s="300"/>
      <c r="C666" s="301"/>
      <c r="D666" s="302"/>
      <c r="E666" s="302"/>
      <c r="F666" s="89"/>
      <c r="G666" s="89"/>
      <c r="H666" s="89"/>
      <c r="I666" s="89"/>
      <c r="J666" s="89"/>
      <c r="K666" s="303"/>
    </row>
    <row r="667" spans="1:11" ht="15.6">
      <c r="A667" s="300"/>
      <c r="C667" s="301"/>
      <c r="D667" s="302"/>
      <c r="E667" s="302"/>
      <c r="F667" s="89"/>
      <c r="G667" s="89"/>
      <c r="H667" s="89"/>
      <c r="I667" s="89"/>
      <c r="J667" s="89"/>
      <c r="K667" s="303"/>
    </row>
    <row r="668" spans="1:11" ht="15.6">
      <c r="A668" s="300"/>
      <c r="C668" s="301"/>
      <c r="D668" s="302"/>
      <c r="E668" s="302"/>
      <c r="F668" s="89"/>
      <c r="G668" s="89"/>
      <c r="H668" s="89"/>
      <c r="I668" s="89"/>
      <c r="J668" s="89"/>
      <c r="K668" s="303"/>
    </row>
    <row r="669" spans="1:11" ht="15.6">
      <c r="A669" s="300"/>
      <c r="C669" s="301"/>
      <c r="D669" s="302"/>
      <c r="E669" s="302"/>
      <c r="F669" s="89"/>
      <c r="G669" s="89"/>
      <c r="H669" s="89"/>
      <c r="I669" s="89"/>
      <c r="J669" s="89"/>
      <c r="K669" s="303"/>
    </row>
    <row r="670" spans="1:11" ht="15.6">
      <c r="A670" s="300"/>
      <c r="C670" s="301"/>
      <c r="D670" s="302"/>
      <c r="E670" s="302"/>
      <c r="F670" s="89"/>
      <c r="G670" s="89"/>
      <c r="H670" s="89"/>
      <c r="I670" s="89"/>
      <c r="J670" s="89"/>
      <c r="K670" s="303"/>
    </row>
    <row r="671" spans="1:11" ht="15.6">
      <c r="A671" s="300"/>
      <c r="C671" s="301"/>
      <c r="D671" s="302"/>
      <c r="E671" s="302"/>
      <c r="F671" s="89"/>
      <c r="G671" s="89"/>
      <c r="H671" s="89"/>
      <c r="I671" s="89"/>
      <c r="J671" s="89"/>
      <c r="K671" s="303"/>
    </row>
    <row r="672" spans="1:11" ht="15.6">
      <c r="A672" s="300"/>
      <c r="C672" s="301"/>
      <c r="D672" s="302"/>
      <c r="E672" s="302"/>
      <c r="F672" s="89"/>
      <c r="G672" s="89"/>
      <c r="H672" s="89"/>
      <c r="I672" s="89"/>
      <c r="J672" s="89"/>
      <c r="K672" s="303"/>
    </row>
    <row r="673" spans="1:11" ht="15.6">
      <c r="A673" s="300"/>
      <c r="C673" s="301"/>
      <c r="D673" s="302"/>
      <c r="E673" s="302"/>
      <c r="F673" s="89"/>
      <c r="G673" s="89"/>
      <c r="H673" s="89"/>
      <c r="I673" s="89"/>
      <c r="J673" s="89"/>
      <c r="K673" s="303"/>
    </row>
    <row r="674" spans="1:11" ht="15.6">
      <c r="A674" s="300"/>
      <c r="C674" s="301"/>
      <c r="D674" s="302"/>
      <c r="E674" s="302"/>
      <c r="F674" s="89"/>
      <c r="G674" s="89"/>
      <c r="H674" s="89"/>
      <c r="I674" s="89"/>
      <c r="J674" s="89"/>
      <c r="K674" s="303"/>
    </row>
    <row r="675" spans="1:11" ht="15.6">
      <c r="A675" s="300"/>
      <c r="C675" s="301"/>
      <c r="D675" s="302"/>
      <c r="E675" s="302"/>
      <c r="F675" s="89"/>
      <c r="G675" s="89"/>
      <c r="H675" s="89"/>
      <c r="I675" s="89"/>
      <c r="J675" s="89"/>
      <c r="K675" s="303"/>
    </row>
    <row r="676" spans="1:11" ht="15.6">
      <c r="A676" s="300"/>
      <c r="C676" s="301"/>
      <c r="D676" s="302"/>
      <c r="E676" s="302"/>
      <c r="F676" s="89"/>
      <c r="G676" s="89"/>
      <c r="H676" s="89"/>
      <c r="I676" s="89"/>
      <c r="J676" s="89"/>
      <c r="K676" s="303"/>
    </row>
    <row r="677" spans="1:11" ht="15.6">
      <c r="A677" s="300"/>
      <c r="C677" s="301"/>
      <c r="D677" s="302"/>
      <c r="E677" s="302"/>
      <c r="F677" s="89"/>
      <c r="G677" s="89"/>
      <c r="H677" s="89"/>
      <c r="I677" s="89"/>
      <c r="J677" s="89"/>
      <c r="K677" s="303"/>
    </row>
    <row r="678" spans="1:11" ht="15.6">
      <c r="A678" s="300"/>
      <c r="C678" s="301"/>
      <c r="D678" s="302"/>
      <c r="E678" s="302"/>
      <c r="F678" s="89"/>
      <c r="G678" s="89"/>
      <c r="H678" s="89"/>
      <c r="I678" s="89"/>
      <c r="J678" s="89"/>
      <c r="K678" s="303"/>
    </row>
    <row r="679" spans="1:11" ht="15.6">
      <c r="A679" s="300"/>
      <c r="C679" s="301"/>
      <c r="D679" s="302"/>
      <c r="E679" s="302"/>
      <c r="F679" s="89"/>
      <c r="G679" s="89"/>
      <c r="H679" s="89"/>
      <c r="I679" s="89"/>
      <c r="J679" s="89"/>
      <c r="K679" s="303"/>
    </row>
    <row r="680" spans="1:11" ht="15.6">
      <c r="A680" s="300"/>
      <c r="C680" s="301"/>
      <c r="D680" s="302"/>
      <c r="E680" s="302"/>
      <c r="F680" s="89"/>
      <c r="G680" s="89"/>
      <c r="H680" s="89"/>
      <c r="I680" s="89"/>
      <c r="J680" s="89"/>
      <c r="K680" s="303"/>
    </row>
    <row r="681" spans="1:11" ht="15.6">
      <c r="A681" s="300"/>
      <c r="C681" s="301"/>
      <c r="D681" s="302"/>
      <c r="E681" s="302"/>
      <c r="F681" s="89"/>
      <c r="G681" s="89"/>
      <c r="H681" s="89"/>
      <c r="I681" s="89"/>
      <c r="J681" s="89"/>
      <c r="K681" s="303"/>
    </row>
    <row r="682" spans="1:11" ht="15.6">
      <c r="A682" s="300"/>
      <c r="C682" s="301"/>
      <c r="D682" s="302"/>
      <c r="E682" s="302"/>
      <c r="F682" s="89"/>
      <c r="G682" s="89"/>
      <c r="H682" s="89"/>
      <c r="I682" s="89"/>
      <c r="J682" s="89"/>
      <c r="K682" s="303"/>
    </row>
    <row r="683" spans="1:11" ht="15.6">
      <c r="A683" s="300"/>
      <c r="C683" s="301"/>
      <c r="D683" s="302"/>
      <c r="E683" s="302"/>
      <c r="F683" s="89"/>
      <c r="G683" s="89"/>
      <c r="H683" s="89"/>
      <c r="I683" s="89"/>
      <c r="J683" s="89"/>
      <c r="K683" s="303"/>
    </row>
    <row r="684" spans="1:11" ht="15.6">
      <c r="A684" s="300"/>
      <c r="C684" s="301"/>
      <c r="D684" s="302"/>
      <c r="E684" s="302"/>
      <c r="F684" s="89"/>
      <c r="G684" s="89"/>
      <c r="H684" s="89"/>
      <c r="I684" s="89"/>
      <c r="J684" s="89"/>
      <c r="K684" s="303"/>
    </row>
    <row r="685" spans="1:11" ht="15.6">
      <c r="A685" s="300"/>
      <c r="C685" s="301"/>
      <c r="D685" s="302"/>
      <c r="E685" s="302"/>
      <c r="F685" s="89"/>
      <c r="G685" s="89"/>
      <c r="H685" s="89"/>
      <c r="I685" s="89"/>
      <c r="J685" s="89"/>
      <c r="K685" s="303"/>
    </row>
    <row r="686" spans="1:11" ht="15.6">
      <c r="A686" s="300"/>
      <c r="C686" s="301"/>
      <c r="D686" s="302"/>
      <c r="E686" s="302"/>
      <c r="F686" s="89"/>
      <c r="G686" s="89"/>
      <c r="H686" s="89"/>
      <c r="I686" s="89"/>
      <c r="J686" s="89"/>
      <c r="K686" s="303"/>
    </row>
    <row r="687" spans="1:11" ht="15.6">
      <c r="A687" s="300"/>
      <c r="C687" s="301"/>
      <c r="D687" s="302"/>
      <c r="E687" s="302"/>
      <c r="F687" s="89"/>
      <c r="G687" s="89"/>
      <c r="H687" s="89"/>
      <c r="I687" s="89"/>
      <c r="J687" s="89"/>
      <c r="K687" s="303"/>
    </row>
    <row r="688" spans="1:11" ht="15.6">
      <c r="A688" s="300"/>
      <c r="C688" s="301"/>
      <c r="D688" s="302"/>
      <c r="E688" s="302"/>
      <c r="F688" s="89"/>
      <c r="G688" s="89"/>
      <c r="H688" s="89"/>
      <c r="I688" s="89"/>
      <c r="J688" s="89"/>
      <c r="K688" s="303"/>
    </row>
    <row r="689" spans="1:11" ht="15.6">
      <c r="A689" s="300"/>
      <c r="C689" s="301"/>
      <c r="D689" s="302"/>
      <c r="E689" s="302"/>
      <c r="F689" s="89"/>
      <c r="G689" s="89"/>
      <c r="H689" s="89"/>
      <c r="I689" s="89"/>
      <c r="J689" s="89"/>
      <c r="K689" s="303"/>
    </row>
    <row r="690" spans="1:11" ht="15.6">
      <c r="A690" s="300"/>
      <c r="C690" s="301"/>
      <c r="D690" s="302"/>
      <c r="E690" s="302"/>
      <c r="F690" s="89"/>
      <c r="G690" s="89"/>
      <c r="H690" s="89"/>
      <c r="I690" s="89"/>
      <c r="J690" s="89"/>
      <c r="K690" s="303"/>
    </row>
    <row r="691" spans="1:11" ht="15.6">
      <c r="A691" s="300"/>
      <c r="C691" s="301"/>
      <c r="D691" s="302"/>
      <c r="E691" s="302"/>
      <c r="F691" s="89"/>
      <c r="G691" s="89"/>
      <c r="H691" s="89"/>
      <c r="I691" s="89"/>
      <c r="J691" s="89"/>
      <c r="K691" s="303"/>
    </row>
    <row r="692" spans="1:11" ht="15.6">
      <c r="A692" s="300"/>
      <c r="C692" s="301"/>
      <c r="D692" s="302"/>
      <c r="E692" s="302"/>
      <c r="F692" s="89"/>
      <c r="G692" s="89"/>
      <c r="H692" s="89"/>
      <c r="I692" s="89"/>
      <c r="J692" s="89"/>
      <c r="K692" s="303"/>
    </row>
    <row r="693" spans="1:11" ht="15.6">
      <c r="A693" s="300"/>
      <c r="C693" s="301"/>
      <c r="D693" s="302"/>
      <c r="E693" s="302"/>
      <c r="F693" s="89"/>
      <c r="G693" s="89"/>
      <c r="H693" s="89"/>
      <c r="I693" s="89"/>
      <c r="J693" s="89"/>
      <c r="K693" s="303"/>
    </row>
    <row r="694" spans="1:11" ht="15.6">
      <c r="A694" s="300"/>
      <c r="C694" s="301"/>
      <c r="D694" s="302"/>
      <c r="E694" s="302"/>
      <c r="F694" s="89"/>
      <c r="G694" s="89"/>
      <c r="H694" s="89"/>
      <c r="I694" s="89"/>
      <c r="J694" s="89"/>
      <c r="K694" s="303"/>
    </row>
    <row r="695" spans="1:11" ht="15.6">
      <c r="A695" s="300"/>
      <c r="C695" s="301"/>
      <c r="D695" s="302"/>
      <c r="E695" s="302"/>
      <c r="F695" s="89"/>
      <c r="G695" s="89"/>
      <c r="H695" s="89"/>
      <c r="I695" s="89"/>
      <c r="J695" s="89"/>
      <c r="K695" s="303"/>
    </row>
    <row r="696" spans="1:11" ht="15.6">
      <c r="A696" s="300"/>
      <c r="C696" s="301"/>
      <c r="D696" s="302"/>
      <c r="E696" s="302"/>
      <c r="F696" s="89"/>
      <c r="G696" s="89"/>
      <c r="H696" s="89"/>
      <c r="I696" s="89"/>
      <c r="J696" s="89"/>
      <c r="K696" s="303"/>
    </row>
    <row r="697" spans="1:11" ht="15.6">
      <c r="A697" s="300"/>
      <c r="C697" s="301"/>
      <c r="D697" s="302"/>
      <c r="E697" s="302"/>
      <c r="F697" s="89"/>
      <c r="G697" s="89"/>
      <c r="H697" s="89"/>
      <c r="I697" s="89"/>
      <c r="J697" s="89"/>
      <c r="K697" s="303"/>
    </row>
    <row r="698" spans="1:11" ht="15.6">
      <c r="A698" s="300"/>
      <c r="C698" s="301"/>
      <c r="D698" s="302"/>
      <c r="E698" s="302"/>
      <c r="F698" s="89"/>
      <c r="G698" s="89"/>
      <c r="H698" s="89"/>
      <c r="I698" s="89"/>
      <c r="J698" s="89"/>
      <c r="K698" s="303"/>
    </row>
    <row r="699" spans="1:11" ht="15.6">
      <c r="A699" s="300"/>
      <c r="C699" s="301"/>
      <c r="D699" s="302"/>
      <c r="E699" s="302"/>
      <c r="F699" s="89"/>
      <c r="G699" s="89"/>
      <c r="H699" s="89"/>
      <c r="I699" s="89"/>
      <c r="J699" s="89"/>
      <c r="K699" s="303"/>
    </row>
    <row r="700" spans="1:11" ht="15.6">
      <c r="A700" s="300"/>
      <c r="C700" s="301"/>
      <c r="D700" s="302"/>
      <c r="E700" s="302"/>
      <c r="F700" s="89"/>
      <c r="G700" s="89"/>
      <c r="H700" s="89"/>
      <c r="I700" s="89"/>
      <c r="J700" s="89"/>
      <c r="K700" s="303"/>
    </row>
    <row r="701" spans="1:11" ht="15.6">
      <c r="A701" s="300"/>
      <c r="C701" s="301"/>
      <c r="D701" s="302"/>
      <c r="E701" s="302"/>
      <c r="F701" s="89"/>
      <c r="G701" s="89"/>
      <c r="H701" s="89"/>
      <c r="I701" s="89"/>
      <c r="J701" s="89"/>
      <c r="K701" s="303"/>
    </row>
    <row r="702" spans="1:11" ht="15.6">
      <c r="A702" s="300"/>
      <c r="C702" s="301"/>
      <c r="D702" s="302"/>
      <c r="E702" s="302"/>
      <c r="F702" s="89"/>
      <c r="G702" s="89"/>
      <c r="H702" s="89"/>
      <c r="I702" s="89"/>
      <c r="J702" s="89"/>
      <c r="K702" s="303"/>
    </row>
    <row r="703" spans="1:11" ht="15.6">
      <c r="A703" s="300"/>
      <c r="C703" s="301"/>
      <c r="D703" s="302"/>
      <c r="E703" s="302"/>
      <c r="F703" s="89"/>
      <c r="G703" s="89"/>
      <c r="H703" s="89"/>
      <c r="I703" s="89"/>
      <c r="J703" s="89"/>
      <c r="K703" s="303"/>
    </row>
    <row r="704" spans="1:11" ht="15.6">
      <c r="A704" s="300"/>
      <c r="C704" s="301"/>
      <c r="D704" s="302"/>
      <c r="E704" s="302"/>
      <c r="F704" s="89"/>
      <c r="G704" s="89"/>
      <c r="H704" s="89"/>
      <c r="I704" s="89"/>
      <c r="J704" s="89"/>
      <c r="K704" s="303"/>
    </row>
    <row r="705" spans="1:11" ht="15.6">
      <c r="A705" s="300"/>
      <c r="C705" s="301"/>
      <c r="D705" s="302"/>
      <c r="E705" s="302"/>
      <c r="F705" s="89"/>
      <c r="G705" s="89"/>
      <c r="H705" s="89"/>
      <c r="I705" s="89"/>
      <c r="J705" s="89"/>
      <c r="K705" s="303"/>
    </row>
    <row r="706" spans="1:11" ht="15.6">
      <c r="A706" s="300"/>
      <c r="C706" s="301"/>
      <c r="D706" s="302"/>
      <c r="E706" s="302"/>
      <c r="F706" s="89"/>
      <c r="G706" s="89"/>
      <c r="H706" s="89"/>
      <c r="I706" s="89"/>
      <c r="J706" s="89"/>
      <c r="K706" s="303"/>
    </row>
    <row r="707" spans="1:11" ht="15.6">
      <c r="A707" s="300"/>
      <c r="C707" s="301"/>
      <c r="D707" s="302"/>
      <c r="E707" s="302"/>
      <c r="F707" s="89"/>
      <c r="G707" s="89"/>
      <c r="H707" s="89"/>
      <c r="I707" s="89"/>
      <c r="J707" s="89"/>
      <c r="K707" s="303"/>
    </row>
    <row r="708" spans="1:11" ht="15.6">
      <c r="A708" s="300"/>
      <c r="C708" s="301"/>
      <c r="D708" s="302"/>
      <c r="E708" s="302"/>
      <c r="F708" s="89"/>
      <c r="G708" s="89"/>
      <c r="H708" s="89"/>
      <c r="I708" s="89"/>
      <c r="J708" s="89"/>
      <c r="K708" s="303"/>
    </row>
    <row r="709" spans="1:11" ht="15.6">
      <c r="A709" s="300"/>
      <c r="C709" s="301"/>
      <c r="D709" s="302"/>
      <c r="E709" s="302"/>
      <c r="F709" s="89"/>
      <c r="G709" s="89"/>
      <c r="H709" s="89"/>
      <c r="I709" s="89"/>
      <c r="J709" s="89"/>
      <c r="K709" s="303"/>
    </row>
    <row r="710" spans="1:11" ht="15.6">
      <c r="A710" s="300"/>
      <c r="C710" s="301"/>
      <c r="D710" s="302"/>
      <c r="E710" s="302"/>
      <c r="F710" s="89"/>
      <c r="G710" s="89"/>
      <c r="H710" s="89"/>
      <c r="I710" s="89"/>
      <c r="J710" s="89"/>
      <c r="K710" s="303"/>
    </row>
    <row r="711" spans="1:11" ht="15.6">
      <c r="A711" s="300"/>
      <c r="C711" s="301"/>
      <c r="D711" s="302"/>
      <c r="E711" s="302"/>
      <c r="F711" s="89"/>
      <c r="G711" s="89"/>
      <c r="H711" s="89"/>
      <c r="I711" s="89"/>
      <c r="J711" s="89"/>
      <c r="K711" s="303"/>
    </row>
    <row r="712" spans="1:11" ht="15.6">
      <c r="A712" s="300"/>
      <c r="C712" s="301"/>
      <c r="D712" s="302"/>
      <c r="E712" s="302"/>
      <c r="F712" s="89"/>
      <c r="G712" s="89"/>
      <c r="H712" s="89"/>
      <c r="I712" s="89"/>
      <c r="J712" s="89"/>
      <c r="K712" s="303"/>
    </row>
    <row r="713" spans="1:11" ht="15.6">
      <c r="A713" s="300"/>
      <c r="C713" s="301"/>
      <c r="D713" s="302"/>
      <c r="E713" s="302"/>
      <c r="F713" s="89"/>
      <c r="G713" s="89"/>
      <c r="H713" s="89"/>
      <c r="I713" s="89"/>
      <c r="J713" s="89"/>
      <c r="K713" s="303"/>
    </row>
    <row r="714" spans="1:11" ht="15.6">
      <c r="A714" s="300"/>
      <c r="C714" s="301"/>
      <c r="D714" s="302"/>
      <c r="E714" s="302"/>
      <c r="F714" s="89"/>
      <c r="G714" s="89"/>
      <c r="H714" s="89"/>
      <c r="I714" s="89"/>
      <c r="J714" s="89"/>
      <c r="K714" s="303"/>
    </row>
    <row r="715" spans="1:11" ht="15.6">
      <c r="A715" s="300"/>
      <c r="C715" s="301"/>
      <c r="D715" s="302"/>
      <c r="E715" s="302"/>
      <c r="F715" s="89"/>
      <c r="G715" s="89"/>
      <c r="H715" s="89"/>
      <c r="I715" s="89"/>
      <c r="J715" s="89"/>
      <c r="K715" s="303"/>
    </row>
    <row r="716" spans="1:11" ht="15.6">
      <c r="A716" s="300"/>
      <c r="C716" s="301"/>
      <c r="D716" s="302"/>
      <c r="E716" s="302"/>
      <c r="F716" s="89"/>
      <c r="G716" s="89"/>
      <c r="H716" s="89"/>
      <c r="I716" s="89"/>
      <c r="J716" s="89"/>
      <c r="K716" s="303"/>
    </row>
    <row r="717" spans="1:11" ht="15.6">
      <c r="A717" s="300"/>
      <c r="C717" s="301"/>
      <c r="D717" s="302"/>
      <c r="E717" s="302"/>
      <c r="F717" s="89"/>
      <c r="G717" s="89"/>
      <c r="H717" s="89"/>
      <c r="I717" s="89"/>
      <c r="J717" s="89"/>
      <c r="K717" s="303"/>
    </row>
    <row r="718" spans="1:11" ht="15.6">
      <c r="A718" s="300"/>
      <c r="C718" s="301"/>
      <c r="D718" s="302"/>
      <c r="E718" s="302"/>
      <c r="F718" s="89"/>
      <c r="G718" s="89"/>
      <c r="H718" s="89"/>
      <c r="I718" s="89"/>
      <c r="J718" s="89"/>
      <c r="K718" s="303"/>
    </row>
    <row r="719" spans="1:11" ht="15.6">
      <c r="A719" s="300"/>
      <c r="C719" s="301"/>
      <c r="D719" s="302"/>
      <c r="E719" s="302"/>
      <c r="F719" s="89"/>
      <c r="G719" s="89"/>
      <c r="H719" s="89"/>
      <c r="I719" s="89"/>
      <c r="J719" s="89"/>
      <c r="K719" s="303"/>
    </row>
    <row r="720" spans="1:11" ht="15.6">
      <c r="A720" s="300"/>
      <c r="C720" s="301"/>
      <c r="D720" s="302"/>
      <c r="E720" s="302"/>
      <c r="F720" s="89"/>
      <c r="G720" s="89"/>
      <c r="H720" s="89"/>
      <c r="I720" s="89"/>
      <c r="J720" s="89"/>
      <c r="K720" s="303"/>
    </row>
    <row r="721" spans="1:11" ht="15.6">
      <c r="A721" s="300"/>
      <c r="C721" s="301"/>
      <c r="D721" s="302"/>
      <c r="E721" s="302"/>
      <c r="F721" s="89"/>
      <c r="G721" s="89"/>
      <c r="H721" s="89"/>
      <c r="I721" s="89"/>
      <c r="J721" s="89"/>
      <c r="K721" s="303"/>
    </row>
    <row r="722" spans="1:11" ht="15.6">
      <c r="A722" s="300"/>
      <c r="C722" s="301"/>
      <c r="D722" s="302"/>
      <c r="E722" s="302"/>
      <c r="F722" s="89"/>
      <c r="G722" s="89"/>
      <c r="H722" s="89"/>
      <c r="I722" s="89"/>
      <c r="J722" s="89"/>
      <c r="K722" s="303"/>
    </row>
    <row r="723" spans="1:11" ht="15.6">
      <c r="A723" s="300"/>
      <c r="C723" s="301"/>
      <c r="D723" s="302"/>
      <c r="E723" s="302"/>
      <c r="F723" s="89"/>
      <c r="G723" s="89"/>
      <c r="H723" s="89"/>
      <c r="I723" s="89"/>
      <c r="J723" s="89"/>
      <c r="K723" s="303"/>
    </row>
    <row r="724" spans="1:11" ht="15.6">
      <c r="A724" s="300"/>
      <c r="C724" s="301"/>
      <c r="D724" s="302"/>
      <c r="E724" s="302"/>
      <c r="F724" s="89"/>
      <c r="G724" s="89"/>
      <c r="H724" s="89"/>
      <c r="I724" s="89"/>
      <c r="J724" s="89"/>
      <c r="K724" s="303"/>
    </row>
    <row r="725" spans="1:11" ht="15.6">
      <c r="A725" s="300"/>
      <c r="C725" s="301"/>
      <c r="D725" s="302"/>
      <c r="E725" s="302"/>
      <c r="F725" s="89"/>
      <c r="G725" s="89"/>
      <c r="H725" s="89"/>
      <c r="I725" s="89"/>
      <c r="J725" s="89"/>
      <c r="K725" s="303"/>
    </row>
    <row r="726" spans="1:11" ht="15.6">
      <c r="A726" s="300"/>
      <c r="C726" s="301"/>
      <c r="D726" s="302"/>
      <c r="E726" s="302"/>
      <c r="F726" s="89"/>
      <c r="G726" s="89"/>
      <c r="H726" s="89"/>
      <c r="I726" s="89"/>
      <c r="J726" s="89"/>
      <c r="K726" s="303"/>
    </row>
    <row r="727" spans="1:11" ht="15.6">
      <c r="A727" s="300"/>
      <c r="C727" s="301"/>
      <c r="D727" s="302"/>
      <c r="E727" s="302"/>
      <c r="F727" s="89"/>
      <c r="G727" s="89"/>
      <c r="H727" s="89"/>
      <c r="I727" s="89"/>
      <c r="J727" s="89"/>
      <c r="K727" s="303"/>
    </row>
    <row r="728" spans="1:11" ht="15.6">
      <c r="A728" s="300"/>
      <c r="C728" s="301"/>
      <c r="D728" s="302"/>
      <c r="E728" s="302"/>
      <c r="F728" s="89"/>
      <c r="G728" s="89"/>
      <c r="H728" s="89"/>
      <c r="I728" s="89"/>
      <c r="J728" s="89"/>
      <c r="K728" s="303"/>
    </row>
    <row r="729" spans="1:11" ht="15.6">
      <c r="A729" s="300"/>
      <c r="C729" s="301"/>
      <c r="D729" s="302"/>
      <c r="E729" s="302"/>
      <c r="F729" s="89"/>
      <c r="G729" s="89"/>
      <c r="H729" s="89"/>
      <c r="I729" s="89"/>
      <c r="J729" s="89"/>
      <c r="K729" s="303"/>
    </row>
    <row r="730" spans="1:11" ht="15.6">
      <c r="A730" s="300"/>
      <c r="C730" s="301"/>
      <c r="D730" s="302"/>
      <c r="E730" s="302"/>
      <c r="F730" s="89"/>
      <c r="G730" s="89"/>
      <c r="H730" s="89"/>
      <c r="I730" s="89"/>
      <c r="J730" s="89"/>
      <c r="K730" s="303"/>
    </row>
    <row r="731" spans="1:11" ht="15.6">
      <c r="A731" s="300"/>
      <c r="C731" s="301"/>
      <c r="D731" s="302"/>
      <c r="E731" s="302"/>
      <c r="F731" s="89"/>
      <c r="G731" s="89"/>
      <c r="H731" s="89"/>
      <c r="I731" s="89"/>
      <c r="J731" s="89"/>
      <c r="K731" s="303"/>
    </row>
    <row r="732" spans="1:11" ht="15.6">
      <c r="A732" s="300"/>
      <c r="C732" s="301"/>
      <c r="D732" s="302"/>
      <c r="E732" s="302"/>
      <c r="F732" s="89"/>
      <c r="G732" s="89"/>
      <c r="H732" s="89"/>
      <c r="I732" s="89"/>
      <c r="J732" s="89"/>
      <c r="K732" s="303"/>
    </row>
    <row r="733" spans="1:11" ht="15.6">
      <c r="A733" s="300"/>
      <c r="C733" s="301"/>
      <c r="D733" s="302"/>
      <c r="E733" s="302"/>
      <c r="F733" s="89"/>
      <c r="G733" s="89"/>
      <c r="H733" s="89"/>
      <c r="I733" s="89"/>
      <c r="J733" s="89"/>
      <c r="K733" s="303"/>
    </row>
    <row r="734" spans="1:11" ht="15.6">
      <c r="A734" s="300"/>
      <c r="C734" s="301"/>
      <c r="D734" s="302"/>
      <c r="E734" s="302"/>
      <c r="F734" s="89"/>
      <c r="G734" s="89"/>
      <c r="H734" s="89"/>
      <c r="I734" s="89"/>
      <c r="J734" s="89"/>
      <c r="K734" s="303"/>
    </row>
    <row r="735" spans="1:11" ht="15.6">
      <c r="A735" s="300"/>
      <c r="C735" s="301"/>
      <c r="D735" s="302"/>
      <c r="E735" s="302"/>
      <c r="F735" s="89"/>
      <c r="G735" s="89"/>
      <c r="H735" s="89"/>
      <c r="I735" s="89"/>
      <c r="J735" s="89"/>
      <c r="K735" s="303"/>
    </row>
    <row r="736" spans="1:11" ht="15.6">
      <c r="A736" s="300"/>
      <c r="C736" s="301"/>
      <c r="D736" s="302"/>
      <c r="E736" s="302"/>
      <c r="F736" s="89"/>
      <c r="G736" s="89"/>
      <c r="H736" s="89"/>
      <c r="I736" s="89"/>
      <c r="J736" s="89"/>
      <c r="K736" s="303"/>
    </row>
    <row r="737" spans="1:11" ht="15.6">
      <c r="A737" s="300"/>
      <c r="C737" s="301"/>
      <c r="D737" s="302"/>
      <c r="E737" s="302"/>
      <c r="F737" s="89"/>
      <c r="G737" s="89"/>
      <c r="H737" s="89"/>
      <c r="I737" s="89"/>
      <c r="J737" s="89"/>
      <c r="K737" s="303"/>
    </row>
    <row r="738" spans="1:11" ht="15.6">
      <c r="A738" s="300"/>
      <c r="C738" s="301"/>
      <c r="D738" s="302"/>
      <c r="E738" s="302"/>
      <c r="F738" s="89"/>
      <c r="G738" s="89"/>
      <c r="H738" s="89"/>
      <c r="I738" s="89"/>
      <c r="J738" s="89"/>
      <c r="K738" s="303"/>
    </row>
    <row r="739" spans="1:11" ht="15.6">
      <c r="A739" s="300"/>
      <c r="C739" s="301"/>
      <c r="D739" s="302"/>
      <c r="E739" s="302"/>
      <c r="F739" s="89"/>
      <c r="G739" s="89"/>
      <c r="H739" s="89"/>
      <c r="I739" s="89"/>
      <c r="J739" s="89"/>
      <c r="K739" s="303"/>
    </row>
    <row r="740" spans="1:11" ht="15.6">
      <c r="A740" s="300"/>
      <c r="C740" s="301"/>
      <c r="D740" s="302"/>
      <c r="E740" s="302"/>
      <c r="F740" s="89"/>
      <c r="G740" s="89"/>
      <c r="H740" s="89"/>
      <c r="I740" s="89"/>
      <c r="J740" s="89"/>
      <c r="K740" s="303"/>
    </row>
    <row r="741" spans="1:11" ht="15.6">
      <c r="A741" s="300"/>
      <c r="C741" s="301"/>
      <c r="D741" s="302"/>
      <c r="E741" s="302"/>
      <c r="F741" s="89"/>
      <c r="G741" s="89"/>
      <c r="H741" s="89"/>
      <c r="I741" s="89"/>
      <c r="J741" s="89"/>
      <c r="K741" s="303"/>
    </row>
    <row r="742" spans="1:11" ht="15.6">
      <c r="A742" s="300"/>
      <c r="C742" s="301"/>
      <c r="D742" s="302"/>
      <c r="E742" s="302"/>
      <c r="F742" s="89"/>
      <c r="G742" s="89"/>
      <c r="H742" s="89"/>
      <c r="I742" s="89"/>
      <c r="J742" s="89"/>
      <c r="K742" s="303"/>
    </row>
    <row r="743" spans="1:11" ht="15.6">
      <c r="A743" s="300"/>
      <c r="C743" s="301"/>
      <c r="D743" s="302"/>
      <c r="E743" s="302"/>
      <c r="F743" s="89"/>
      <c r="G743" s="89"/>
      <c r="H743" s="89"/>
      <c r="I743" s="89"/>
      <c r="J743" s="89"/>
      <c r="K743" s="303"/>
    </row>
    <row r="744" spans="1:11" ht="15.6">
      <c r="A744" s="300"/>
      <c r="C744" s="301"/>
      <c r="D744" s="302"/>
      <c r="E744" s="302"/>
      <c r="F744" s="89"/>
      <c r="G744" s="89"/>
      <c r="H744" s="89"/>
      <c r="I744" s="89"/>
      <c r="J744" s="89"/>
      <c r="K744" s="303"/>
    </row>
    <row r="745" spans="1:11" ht="15.6">
      <c r="A745" s="300"/>
      <c r="C745" s="301"/>
      <c r="D745" s="302"/>
      <c r="E745" s="302"/>
      <c r="F745" s="89"/>
      <c r="G745" s="89"/>
      <c r="H745" s="89"/>
      <c r="I745" s="89"/>
      <c r="J745" s="89"/>
      <c r="K745" s="303"/>
    </row>
    <row r="746" spans="1:11" ht="15.6">
      <c r="A746" s="300"/>
      <c r="C746" s="301"/>
      <c r="D746" s="302"/>
      <c r="E746" s="302"/>
      <c r="F746" s="89"/>
      <c r="G746" s="89"/>
      <c r="H746" s="89"/>
      <c r="I746" s="89"/>
      <c r="J746" s="89"/>
      <c r="K746" s="303"/>
    </row>
    <row r="747" spans="1:11" ht="15.6">
      <c r="A747" s="300"/>
      <c r="C747" s="301"/>
      <c r="D747" s="302"/>
      <c r="E747" s="302"/>
      <c r="F747" s="89"/>
      <c r="G747" s="89"/>
      <c r="H747" s="89"/>
      <c r="I747" s="89"/>
      <c r="J747" s="89"/>
      <c r="K747" s="303"/>
    </row>
    <row r="748" spans="1:11" ht="15.6">
      <c r="A748" s="300"/>
      <c r="C748" s="301"/>
      <c r="D748" s="302"/>
      <c r="E748" s="302"/>
      <c r="F748" s="89"/>
      <c r="G748" s="89"/>
      <c r="H748" s="89"/>
      <c r="I748" s="89"/>
      <c r="J748" s="89"/>
      <c r="K748" s="303"/>
    </row>
    <row r="749" spans="1:11" ht="15.6">
      <c r="A749" s="300"/>
      <c r="C749" s="301"/>
      <c r="D749" s="302"/>
      <c r="E749" s="302"/>
      <c r="F749" s="89"/>
      <c r="G749" s="89"/>
      <c r="H749" s="89"/>
      <c r="I749" s="89"/>
      <c r="J749" s="89"/>
      <c r="K749" s="303"/>
    </row>
    <row r="750" spans="1:11" ht="15.6">
      <c r="A750" s="300"/>
      <c r="C750" s="301"/>
      <c r="D750" s="302"/>
      <c r="E750" s="302"/>
      <c r="F750" s="89"/>
      <c r="G750" s="89"/>
      <c r="H750" s="89"/>
      <c r="I750" s="89"/>
      <c r="J750" s="89"/>
      <c r="K750" s="303"/>
    </row>
    <row r="751" spans="1:11" ht="15.6">
      <c r="A751" s="300"/>
      <c r="C751" s="301"/>
      <c r="D751" s="302"/>
      <c r="E751" s="302"/>
      <c r="F751" s="89"/>
      <c r="G751" s="89"/>
      <c r="H751" s="89"/>
      <c r="I751" s="89"/>
      <c r="J751" s="89"/>
      <c r="K751" s="303"/>
    </row>
    <row r="752" spans="1:11" ht="15.6">
      <c r="A752" s="300"/>
      <c r="C752" s="301"/>
      <c r="D752" s="302"/>
      <c r="E752" s="302"/>
      <c r="F752" s="89"/>
      <c r="G752" s="89"/>
      <c r="H752" s="89"/>
      <c r="I752" s="89"/>
      <c r="J752" s="89"/>
      <c r="K752" s="303"/>
    </row>
    <row r="753" spans="1:11" ht="15.6">
      <c r="A753" s="300"/>
      <c r="C753" s="301"/>
      <c r="D753" s="302"/>
      <c r="E753" s="302"/>
      <c r="F753" s="89"/>
      <c r="G753" s="89"/>
      <c r="H753" s="89"/>
      <c r="I753" s="89"/>
      <c r="J753" s="89"/>
      <c r="K753" s="303"/>
    </row>
    <row r="754" spans="1:11" ht="15.6">
      <c r="A754" s="300"/>
      <c r="C754" s="301"/>
      <c r="D754" s="302"/>
      <c r="E754" s="302"/>
      <c r="F754" s="89"/>
      <c r="G754" s="89"/>
      <c r="H754" s="89"/>
      <c r="I754" s="89"/>
      <c r="J754" s="89"/>
      <c r="K754" s="303"/>
    </row>
    <row r="755" spans="1:11" ht="15.6">
      <c r="A755" s="300"/>
      <c r="C755" s="301"/>
      <c r="D755" s="302"/>
      <c r="E755" s="302"/>
      <c r="F755" s="89"/>
      <c r="G755" s="89"/>
      <c r="H755" s="89"/>
      <c r="I755" s="89"/>
      <c r="J755" s="89"/>
      <c r="K755" s="303"/>
    </row>
    <row r="756" spans="1:11" ht="15.6">
      <c r="A756" s="300"/>
      <c r="C756" s="301"/>
      <c r="D756" s="302"/>
      <c r="E756" s="302"/>
      <c r="F756" s="89"/>
      <c r="G756" s="89"/>
      <c r="H756" s="89"/>
      <c r="I756" s="89"/>
      <c r="J756" s="89"/>
      <c r="K756" s="303"/>
    </row>
    <row r="757" spans="1:11" ht="15.6">
      <c r="A757" s="300"/>
      <c r="C757" s="301"/>
      <c r="D757" s="302"/>
      <c r="E757" s="302"/>
      <c r="F757" s="89"/>
      <c r="G757" s="89"/>
      <c r="H757" s="89"/>
      <c r="I757" s="89"/>
      <c r="J757" s="89"/>
      <c r="K757" s="303"/>
    </row>
    <row r="758" spans="1:11" ht="15.6">
      <c r="A758" s="300"/>
      <c r="C758" s="301"/>
      <c r="D758" s="302"/>
      <c r="E758" s="302"/>
      <c r="F758" s="89"/>
      <c r="G758" s="89"/>
      <c r="H758" s="89"/>
      <c r="I758" s="89"/>
      <c r="J758" s="89"/>
      <c r="K758" s="303"/>
    </row>
    <row r="759" spans="1:11" ht="15.6">
      <c r="A759" s="300"/>
      <c r="C759" s="301"/>
      <c r="D759" s="302"/>
      <c r="E759" s="302"/>
      <c r="F759" s="89"/>
      <c r="G759" s="89"/>
      <c r="H759" s="89"/>
      <c r="I759" s="89"/>
      <c r="J759" s="89"/>
      <c r="K759" s="303"/>
    </row>
    <row r="760" spans="1:11" ht="15.6">
      <c r="A760" s="300"/>
      <c r="C760" s="301"/>
      <c r="D760" s="302"/>
      <c r="E760" s="302"/>
      <c r="F760" s="89"/>
      <c r="G760" s="89"/>
      <c r="H760" s="89"/>
      <c r="I760" s="89"/>
      <c r="J760" s="89"/>
      <c r="K760" s="303"/>
    </row>
    <row r="761" spans="1:11" ht="15.6">
      <c r="A761" s="300"/>
      <c r="C761" s="301"/>
      <c r="D761" s="302"/>
      <c r="E761" s="302"/>
      <c r="F761" s="89"/>
      <c r="G761" s="89"/>
      <c r="H761" s="89"/>
      <c r="I761" s="89"/>
      <c r="J761" s="89"/>
      <c r="K761" s="303"/>
    </row>
    <row r="762" spans="1:11" ht="15.6">
      <c r="A762" s="300"/>
      <c r="C762" s="301"/>
      <c r="D762" s="302"/>
      <c r="E762" s="302"/>
      <c r="F762" s="89"/>
      <c r="G762" s="89"/>
      <c r="H762" s="89"/>
      <c r="I762" s="89"/>
      <c r="J762" s="89"/>
      <c r="K762" s="303"/>
    </row>
    <row r="763" spans="1:11" ht="15.6">
      <c r="A763" s="300"/>
      <c r="C763" s="301"/>
      <c r="D763" s="302"/>
      <c r="E763" s="302"/>
      <c r="F763" s="89"/>
      <c r="G763" s="89"/>
      <c r="H763" s="89"/>
      <c r="I763" s="89"/>
      <c r="J763" s="89"/>
      <c r="K763" s="303"/>
    </row>
    <row r="764" spans="1:11" ht="15.6">
      <c r="A764" s="300"/>
      <c r="C764" s="301"/>
      <c r="D764" s="302"/>
      <c r="E764" s="302"/>
      <c r="F764" s="89"/>
      <c r="G764" s="89"/>
      <c r="H764" s="89"/>
      <c r="I764" s="89"/>
      <c r="J764" s="89"/>
      <c r="K764" s="303"/>
    </row>
    <row r="765" spans="1:11" ht="15.6">
      <c r="A765" s="300"/>
      <c r="C765" s="301"/>
      <c r="D765" s="302"/>
      <c r="E765" s="302"/>
      <c r="F765" s="89"/>
      <c r="G765" s="89"/>
      <c r="H765" s="89"/>
      <c r="I765" s="89"/>
      <c r="J765" s="89"/>
      <c r="K765" s="303"/>
    </row>
    <row r="766" spans="1:11" ht="15.6">
      <c r="A766" s="300"/>
      <c r="C766" s="301"/>
      <c r="D766" s="302"/>
      <c r="E766" s="302"/>
      <c r="F766" s="89"/>
      <c r="G766" s="89"/>
      <c r="H766" s="89"/>
      <c r="I766" s="89"/>
      <c r="J766" s="89"/>
      <c r="K766" s="303"/>
    </row>
    <row r="767" spans="1:11" ht="15.6">
      <c r="A767" s="300"/>
      <c r="C767" s="301"/>
      <c r="D767" s="302"/>
      <c r="E767" s="302"/>
      <c r="F767" s="89"/>
      <c r="G767" s="89"/>
      <c r="H767" s="89"/>
      <c r="I767" s="89"/>
      <c r="J767" s="89"/>
      <c r="K767" s="303"/>
    </row>
    <row r="768" spans="1:11" ht="15.6">
      <c r="A768" s="300"/>
      <c r="C768" s="301"/>
      <c r="D768" s="302"/>
      <c r="E768" s="302"/>
      <c r="F768" s="89"/>
      <c r="G768" s="89"/>
      <c r="H768" s="89"/>
      <c r="I768" s="89"/>
      <c r="J768" s="89"/>
      <c r="K768" s="303"/>
    </row>
    <row r="769" spans="1:11" ht="15.6">
      <c r="A769" s="300"/>
      <c r="C769" s="301"/>
      <c r="D769" s="302"/>
      <c r="E769" s="302"/>
      <c r="F769" s="89"/>
      <c r="G769" s="89"/>
      <c r="H769" s="89"/>
      <c r="I769" s="89"/>
      <c r="J769" s="89"/>
      <c r="K769" s="303"/>
    </row>
    <row r="770" spans="1:11" ht="15.6">
      <c r="A770" s="300"/>
      <c r="C770" s="301"/>
      <c r="D770" s="302"/>
      <c r="E770" s="302"/>
      <c r="F770" s="89"/>
      <c r="G770" s="89"/>
      <c r="H770" s="89"/>
      <c r="I770" s="89"/>
      <c r="J770" s="89"/>
      <c r="K770" s="303"/>
    </row>
    <row r="771" spans="1:11" ht="15.6">
      <c r="A771" s="300"/>
      <c r="C771" s="301"/>
      <c r="D771" s="302"/>
      <c r="E771" s="302"/>
      <c r="F771" s="89"/>
      <c r="G771" s="89"/>
      <c r="H771" s="89"/>
      <c r="I771" s="89"/>
      <c r="J771" s="89"/>
      <c r="K771" s="303"/>
    </row>
    <row r="772" spans="1:11" ht="15.6">
      <c r="A772" s="300"/>
      <c r="C772" s="301"/>
      <c r="D772" s="302"/>
      <c r="E772" s="302"/>
      <c r="F772" s="89"/>
      <c r="G772" s="89"/>
      <c r="H772" s="89"/>
      <c r="I772" s="89"/>
      <c r="J772" s="89"/>
      <c r="K772" s="303"/>
    </row>
    <row r="773" spans="1:11" ht="15.6">
      <c r="A773" s="300"/>
      <c r="C773" s="301"/>
      <c r="D773" s="302"/>
      <c r="E773" s="302"/>
      <c r="F773" s="89"/>
      <c r="G773" s="89"/>
      <c r="H773" s="89"/>
      <c r="I773" s="89"/>
      <c r="J773" s="89"/>
      <c r="K773" s="303"/>
    </row>
    <row r="774" spans="1:11" ht="15.6">
      <c r="A774" s="300"/>
      <c r="C774" s="301"/>
      <c r="D774" s="302"/>
      <c r="E774" s="302"/>
      <c r="F774" s="89"/>
      <c r="G774" s="89"/>
      <c r="H774" s="89"/>
      <c r="I774" s="89"/>
      <c r="J774" s="89"/>
      <c r="K774" s="303"/>
    </row>
    <row r="775" spans="1:11" ht="15.6">
      <c r="A775" s="300"/>
      <c r="C775" s="301"/>
      <c r="D775" s="302"/>
      <c r="E775" s="302"/>
      <c r="F775" s="89"/>
      <c r="G775" s="89"/>
      <c r="H775" s="89"/>
      <c r="I775" s="89"/>
      <c r="J775" s="89"/>
      <c r="K775" s="303"/>
    </row>
    <row r="776" spans="1:11" ht="15.6">
      <c r="A776" s="300"/>
      <c r="C776" s="301"/>
      <c r="D776" s="302"/>
      <c r="E776" s="302"/>
      <c r="F776" s="89"/>
      <c r="G776" s="89"/>
      <c r="H776" s="89"/>
      <c r="I776" s="89"/>
      <c r="J776" s="89"/>
      <c r="K776" s="303"/>
    </row>
    <row r="777" spans="1:11" ht="15.6">
      <c r="A777" s="300"/>
      <c r="C777" s="301"/>
      <c r="D777" s="302"/>
      <c r="E777" s="302"/>
      <c r="F777" s="89"/>
      <c r="G777" s="89"/>
      <c r="H777" s="89"/>
      <c r="I777" s="89"/>
      <c r="J777" s="89"/>
      <c r="K777" s="303"/>
    </row>
    <row r="778" spans="1:11" ht="15.6">
      <c r="A778" s="300"/>
      <c r="C778" s="301"/>
      <c r="D778" s="302"/>
      <c r="E778" s="302"/>
      <c r="F778" s="89"/>
      <c r="G778" s="89"/>
      <c r="H778" s="89"/>
      <c r="I778" s="89"/>
      <c r="J778" s="89"/>
      <c r="K778" s="303"/>
    </row>
    <row r="779" spans="1:11" ht="15.6">
      <c r="A779" s="300"/>
      <c r="C779" s="301"/>
      <c r="D779" s="302"/>
      <c r="E779" s="302"/>
      <c r="F779" s="89"/>
      <c r="G779" s="89"/>
      <c r="H779" s="89"/>
      <c r="I779" s="89"/>
      <c r="J779" s="89"/>
      <c r="K779" s="303"/>
    </row>
    <row r="780" spans="1:11" ht="15.6">
      <c r="A780" s="300"/>
      <c r="C780" s="301"/>
      <c r="D780" s="302"/>
      <c r="E780" s="302"/>
      <c r="F780" s="89"/>
      <c r="G780" s="89"/>
      <c r="H780" s="89"/>
      <c r="I780" s="89"/>
      <c r="J780" s="89"/>
      <c r="K780" s="303"/>
    </row>
    <row r="781" spans="1:11" ht="15.6">
      <c r="A781" s="300"/>
      <c r="C781" s="301"/>
      <c r="D781" s="302"/>
      <c r="E781" s="302"/>
      <c r="F781" s="89"/>
      <c r="G781" s="89"/>
      <c r="H781" s="89"/>
      <c r="I781" s="89"/>
      <c r="J781" s="89"/>
      <c r="K781" s="303"/>
    </row>
    <row r="782" spans="1:11" ht="15.6">
      <c r="A782" s="300"/>
      <c r="C782" s="301"/>
      <c r="D782" s="302"/>
      <c r="E782" s="302"/>
      <c r="F782" s="89"/>
      <c r="G782" s="89"/>
      <c r="H782" s="89"/>
      <c r="I782" s="89"/>
      <c r="J782" s="89"/>
      <c r="K782" s="303"/>
    </row>
    <row r="783" spans="1:11" ht="15.6">
      <c r="A783" s="300"/>
      <c r="C783" s="301"/>
      <c r="D783" s="302"/>
      <c r="E783" s="302"/>
      <c r="F783" s="89"/>
      <c r="G783" s="89"/>
      <c r="H783" s="89"/>
      <c r="I783" s="89"/>
      <c r="J783" s="89"/>
      <c r="K783" s="303"/>
    </row>
    <row r="784" spans="1:11" ht="15.6">
      <c r="A784" s="300"/>
      <c r="C784" s="301"/>
      <c r="D784" s="302"/>
      <c r="E784" s="302"/>
      <c r="F784" s="89"/>
      <c r="G784" s="89"/>
      <c r="H784" s="89"/>
      <c r="I784" s="89"/>
      <c r="J784" s="89"/>
      <c r="K784" s="303"/>
    </row>
    <row r="785" spans="1:11" ht="15.6">
      <c r="A785" s="300"/>
      <c r="C785" s="301"/>
      <c r="D785" s="302"/>
      <c r="E785" s="302"/>
      <c r="F785" s="89"/>
      <c r="G785" s="89"/>
      <c r="H785" s="89"/>
      <c r="I785" s="89"/>
      <c r="J785" s="89"/>
      <c r="K785" s="303"/>
    </row>
    <row r="786" spans="1:11" ht="15.6">
      <c r="A786" s="300"/>
      <c r="C786" s="301"/>
      <c r="D786" s="302"/>
      <c r="E786" s="302"/>
      <c r="F786" s="89"/>
      <c r="G786" s="89"/>
      <c r="H786" s="89"/>
      <c r="I786" s="89"/>
      <c r="J786" s="89"/>
      <c r="K786" s="303"/>
    </row>
    <row r="787" spans="1:11" ht="15.6">
      <c r="A787" s="300"/>
      <c r="C787" s="301"/>
      <c r="D787" s="302"/>
      <c r="E787" s="302"/>
      <c r="F787" s="89"/>
      <c r="G787" s="89"/>
      <c r="H787" s="89"/>
      <c r="I787" s="89"/>
      <c r="J787" s="89"/>
      <c r="K787" s="303"/>
    </row>
    <row r="788" spans="1:11" ht="15.6">
      <c r="A788" s="300"/>
      <c r="C788" s="301"/>
      <c r="D788" s="302"/>
      <c r="E788" s="302"/>
      <c r="F788" s="89"/>
      <c r="G788" s="89"/>
      <c r="H788" s="89"/>
      <c r="I788" s="89"/>
      <c r="J788" s="89"/>
      <c r="K788" s="303"/>
    </row>
    <row r="789" spans="1:11" ht="15.6">
      <c r="A789" s="300"/>
      <c r="C789" s="301"/>
      <c r="D789" s="302"/>
      <c r="E789" s="302"/>
      <c r="F789" s="89"/>
      <c r="G789" s="89"/>
      <c r="H789" s="89"/>
      <c r="I789" s="89"/>
      <c r="J789" s="89"/>
      <c r="K789" s="303"/>
    </row>
    <row r="790" spans="1:11" ht="15.6">
      <c r="A790" s="300"/>
      <c r="C790" s="301"/>
      <c r="D790" s="302"/>
      <c r="E790" s="302"/>
      <c r="F790" s="89"/>
      <c r="G790" s="89"/>
      <c r="H790" s="89"/>
      <c r="I790" s="89"/>
      <c r="J790" s="89"/>
      <c r="K790" s="303"/>
    </row>
    <row r="791" spans="1:11" ht="15.6">
      <c r="A791" s="300"/>
      <c r="C791" s="301"/>
      <c r="D791" s="302"/>
      <c r="E791" s="302"/>
      <c r="F791" s="89"/>
      <c r="G791" s="89"/>
      <c r="H791" s="89"/>
      <c r="I791" s="89"/>
      <c r="J791" s="89"/>
      <c r="K791" s="303"/>
    </row>
    <row r="792" spans="1:11" ht="15.6">
      <c r="A792" s="300"/>
      <c r="C792" s="301"/>
      <c r="D792" s="302"/>
      <c r="E792" s="302"/>
      <c r="F792" s="89"/>
      <c r="G792" s="89"/>
      <c r="H792" s="89"/>
      <c r="I792" s="89"/>
      <c r="J792" s="89"/>
      <c r="K792" s="303"/>
    </row>
    <row r="793" spans="1:11" ht="15.6">
      <c r="A793" s="300"/>
      <c r="C793" s="301"/>
      <c r="D793" s="302"/>
      <c r="E793" s="302"/>
      <c r="F793" s="89"/>
      <c r="G793" s="89"/>
      <c r="H793" s="89"/>
      <c r="I793" s="89"/>
      <c r="J793" s="89"/>
      <c r="K793" s="303"/>
    </row>
    <row r="794" spans="1:11" ht="15.6">
      <c r="A794" s="300"/>
      <c r="C794" s="301"/>
      <c r="D794" s="302"/>
      <c r="E794" s="302"/>
      <c r="F794" s="89"/>
      <c r="G794" s="89"/>
      <c r="H794" s="89"/>
      <c r="I794" s="89"/>
      <c r="J794" s="89"/>
      <c r="K794" s="303"/>
    </row>
    <row r="795" spans="1:11" ht="15.6">
      <c r="A795" s="300"/>
      <c r="C795" s="301"/>
      <c r="D795" s="302"/>
      <c r="E795" s="302"/>
      <c r="F795" s="89"/>
      <c r="G795" s="89"/>
      <c r="H795" s="89"/>
      <c r="I795" s="89"/>
      <c r="J795" s="89"/>
      <c r="K795" s="303"/>
    </row>
    <row r="796" spans="1:11" ht="15.6">
      <c r="A796" s="300"/>
      <c r="C796" s="301"/>
      <c r="D796" s="302"/>
      <c r="E796" s="302"/>
      <c r="F796" s="89"/>
      <c r="G796" s="89"/>
      <c r="H796" s="89"/>
      <c r="I796" s="89"/>
      <c r="J796" s="89"/>
      <c r="K796" s="303"/>
    </row>
    <row r="797" spans="1:11" ht="15.6">
      <c r="A797" s="300"/>
      <c r="C797" s="301"/>
      <c r="D797" s="302"/>
      <c r="E797" s="302"/>
      <c r="F797" s="89"/>
      <c r="G797" s="89"/>
      <c r="H797" s="89"/>
      <c r="I797" s="89"/>
      <c r="J797" s="89"/>
      <c r="K797" s="303"/>
    </row>
    <row r="798" spans="1:11" ht="15.6">
      <c r="A798" s="300"/>
      <c r="C798" s="301"/>
      <c r="D798" s="302"/>
      <c r="E798" s="302"/>
      <c r="F798" s="89"/>
      <c r="G798" s="89"/>
      <c r="H798" s="89"/>
      <c r="I798" s="89"/>
      <c r="J798" s="89"/>
      <c r="K798" s="303"/>
    </row>
    <row r="799" spans="1:11" ht="15.6">
      <c r="A799" s="300"/>
      <c r="C799" s="301"/>
      <c r="D799" s="302"/>
      <c r="E799" s="302"/>
      <c r="F799" s="89"/>
      <c r="G799" s="89"/>
      <c r="H799" s="89"/>
      <c r="I799" s="89"/>
      <c r="J799" s="89"/>
      <c r="K799" s="303"/>
    </row>
    <row r="800" spans="1:11" ht="15.6">
      <c r="A800" s="300"/>
      <c r="C800" s="301"/>
      <c r="D800" s="302"/>
      <c r="E800" s="302"/>
      <c r="F800" s="89"/>
      <c r="G800" s="89"/>
      <c r="H800" s="89"/>
      <c r="I800" s="89"/>
      <c r="J800" s="89"/>
      <c r="K800" s="303"/>
    </row>
    <row r="801" spans="1:11" ht="15.6">
      <c r="A801" s="300"/>
      <c r="C801" s="301"/>
      <c r="D801" s="302"/>
      <c r="E801" s="302"/>
      <c r="F801" s="89"/>
      <c r="G801" s="89"/>
      <c r="H801" s="89"/>
      <c r="I801" s="89"/>
      <c r="J801" s="89"/>
      <c r="K801" s="303"/>
    </row>
    <row r="802" spans="1:11" ht="15.6">
      <c r="A802" s="300"/>
      <c r="C802" s="301"/>
      <c r="D802" s="302"/>
      <c r="E802" s="302"/>
      <c r="F802" s="89"/>
      <c r="G802" s="89"/>
      <c r="H802" s="89"/>
      <c r="I802" s="89"/>
      <c r="J802" s="89"/>
      <c r="K802" s="303"/>
    </row>
    <row r="803" spans="1:11" ht="15.6">
      <c r="A803" s="300"/>
      <c r="C803" s="301"/>
      <c r="D803" s="302"/>
      <c r="E803" s="302"/>
      <c r="F803" s="89"/>
      <c r="G803" s="89"/>
      <c r="H803" s="89"/>
      <c r="I803" s="89"/>
      <c r="J803" s="89"/>
      <c r="K803" s="303"/>
    </row>
    <row r="804" spans="1:11" ht="15.6">
      <c r="A804" s="300"/>
      <c r="C804" s="301"/>
      <c r="D804" s="302"/>
      <c r="E804" s="302"/>
      <c r="F804" s="89"/>
      <c r="G804" s="89"/>
      <c r="H804" s="89"/>
      <c r="I804" s="89"/>
      <c r="J804" s="89"/>
      <c r="K804" s="303"/>
    </row>
    <row r="805" spans="1:11" ht="15.6">
      <c r="A805" s="300"/>
      <c r="C805" s="301"/>
      <c r="D805" s="302"/>
      <c r="E805" s="302"/>
      <c r="F805" s="89"/>
      <c r="G805" s="89"/>
      <c r="H805" s="89"/>
      <c r="I805" s="89"/>
      <c r="J805" s="89"/>
      <c r="K805" s="303"/>
    </row>
    <row r="806" spans="1:11" ht="15.6">
      <c r="A806" s="300"/>
      <c r="C806" s="301"/>
      <c r="D806" s="302"/>
      <c r="E806" s="302"/>
      <c r="F806" s="89"/>
      <c r="G806" s="89"/>
      <c r="H806" s="89"/>
      <c r="I806" s="89"/>
      <c r="J806" s="89"/>
      <c r="K806" s="303"/>
    </row>
    <row r="807" spans="1:11" ht="15.6">
      <c r="A807" s="300"/>
      <c r="C807" s="301"/>
      <c r="D807" s="302"/>
      <c r="E807" s="302"/>
      <c r="F807" s="89"/>
      <c r="G807" s="89"/>
      <c r="H807" s="89"/>
      <c r="I807" s="89"/>
      <c r="J807" s="89"/>
      <c r="K807" s="303"/>
    </row>
    <row r="808" spans="1:11" ht="15.6">
      <c r="A808" s="300"/>
      <c r="C808" s="301"/>
      <c r="D808" s="302"/>
      <c r="E808" s="302"/>
      <c r="F808" s="89"/>
      <c r="G808" s="89"/>
      <c r="H808" s="89"/>
      <c r="I808" s="89"/>
      <c r="J808" s="89"/>
      <c r="K808" s="303"/>
    </row>
    <row r="809" spans="1:11" ht="15.6">
      <c r="A809" s="300"/>
      <c r="C809" s="301"/>
      <c r="D809" s="302"/>
      <c r="E809" s="302"/>
      <c r="F809" s="89"/>
      <c r="G809" s="89"/>
      <c r="H809" s="89"/>
      <c r="I809" s="89"/>
      <c r="J809" s="89"/>
      <c r="K809" s="303"/>
    </row>
    <row r="810" spans="1:11" ht="15.6">
      <c r="A810" s="300"/>
      <c r="C810" s="301"/>
      <c r="D810" s="302"/>
      <c r="E810" s="302"/>
      <c r="F810" s="89"/>
      <c r="G810" s="89"/>
      <c r="H810" s="89"/>
      <c r="I810" s="89"/>
      <c r="J810" s="89"/>
      <c r="K810" s="303"/>
    </row>
    <row r="811" spans="1:11" ht="15.6">
      <c r="A811" s="300"/>
      <c r="C811" s="301"/>
      <c r="D811" s="302"/>
      <c r="E811" s="302"/>
      <c r="F811" s="89"/>
      <c r="G811" s="89"/>
      <c r="H811" s="89"/>
      <c r="I811" s="89"/>
      <c r="J811" s="89"/>
      <c r="K811" s="303"/>
    </row>
    <row r="812" spans="1:11" ht="15.6">
      <c r="A812" s="300"/>
      <c r="C812" s="301"/>
      <c r="D812" s="302"/>
      <c r="E812" s="302"/>
      <c r="F812" s="89"/>
      <c r="G812" s="89"/>
      <c r="H812" s="89"/>
      <c r="I812" s="89"/>
      <c r="J812" s="89"/>
      <c r="K812" s="303"/>
    </row>
    <row r="813" spans="1:11" ht="15.6">
      <c r="A813" s="300"/>
      <c r="C813" s="301"/>
      <c r="D813" s="302"/>
      <c r="E813" s="302"/>
      <c r="F813" s="89"/>
      <c r="G813" s="89"/>
      <c r="H813" s="89"/>
      <c r="I813" s="89"/>
      <c r="J813" s="89"/>
      <c r="K813" s="303"/>
    </row>
    <row r="814" spans="1:11" ht="15.6">
      <c r="A814" s="300"/>
      <c r="C814" s="301"/>
      <c r="D814" s="302"/>
      <c r="E814" s="302"/>
      <c r="F814" s="89"/>
      <c r="G814" s="89"/>
      <c r="H814" s="89"/>
      <c r="I814" s="89"/>
      <c r="J814" s="89"/>
      <c r="K814" s="303"/>
    </row>
    <row r="815" spans="1:11" ht="15.6">
      <c r="A815" s="300"/>
      <c r="C815" s="301"/>
      <c r="D815" s="302"/>
      <c r="E815" s="302"/>
      <c r="F815" s="89"/>
      <c r="G815" s="89"/>
      <c r="H815" s="89"/>
      <c r="I815" s="89"/>
      <c r="J815" s="89"/>
      <c r="K815" s="303"/>
    </row>
    <row r="816" spans="1:11" ht="15.6">
      <c r="A816" s="300"/>
      <c r="C816" s="301"/>
      <c r="D816" s="302"/>
      <c r="E816" s="302"/>
      <c r="F816" s="89"/>
      <c r="G816" s="89"/>
      <c r="H816" s="89"/>
      <c r="I816" s="89"/>
      <c r="J816" s="89"/>
      <c r="K816" s="303"/>
    </row>
    <row r="817" spans="1:11" ht="15.6">
      <c r="A817" s="300"/>
      <c r="C817" s="301"/>
      <c r="D817" s="302"/>
      <c r="E817" s="302"/>
      <c r="F817" s="89"/>
      <c r="G817" s="89"/>
      <c r="H817" s="89"/>
      <c r="I817" s="89"/>
      <c r="J817" s="89"/>
      <c r="K817" s="303"/>
    </row>
    <row r="818" spans="1:11" ht="15.6">
      <c r="A818" s="300"/>
      <c r="C818" s="301"/>
      <c r="D818" s="302"/>
      <c r="E818" s="302"/>
      <c r="F818" s="89"/>
      <c r="G818" s="89"/>
      <c r="H818" s="89"/>
      <c r="I818" s="89"/>
      <c r="J818" s="89"/>
      <c r="K818" s="303"/>
    </row>
    <row r="819" spans="1:11" ht="15.6">
      <c r="A819" s="300"/>
      <c r="C819" s="301"/>
      <c r="D819" s="302"/>
      <c r="E819" s="302"/>
      <c r="F819" s="89"/>
      <c r="G819" s="89"/>
      <c r="H819" s="89"/>
      <c r="I819" s="89"/>
      <c r="J819" s="89"/>
      <c r="K819" s="303"/>
    </row>
    <row r="820" spans="1:11" ht="15.6">
      <c r="A820" s="300"/>
      <c r="C820" s="301"/>
      <c r="D820" s="302"/>
      <c r="E820" s="302"/>
      <c r="F820" s="89"/>
      <c r="G820" s="89"/>
      <c r="H820" s="89"/>
      <c r="I820" s="89"/>
      <c r="J820" s="89"/>
      <c r="K820" s="303"/>
    </row>
    <row r="821" spans="1:11" ht="15.6">
      <c r="A821" s="300"/>
      <c r="C821" s="301"/>
      <c r="D821" s="302"/>
      <c r="E821" s="302"/>
      <c r="F821" s="89"/>
      <c r="G821" s="89"/>
      <c r="H821" s="89"/>
      <c r="I821" s="89"/>
      <c r="J821" s="89"/>
      <c r="K821" s="303"/>
    </row>
    <row r="822" spans="1:11" ht="15.6">
      <c r="A822" s="300"/>
      <c r="C822" s="301"/>
      <c r="D822" s="302"/>
      <c r="E822" s="302"/>
      <c r="F822" s="89"/>
      <c r="G822" s="89"/>
      <c r="H822" s="89"/>
      <c r="I822" s="89"/>
      <c r="J822" s="89"/>
      <c r="K822" s="303"/>
    </row>
    <row r="823" spans="1:11" ht="15.6">
      <c r="A823" s="300"/>
      <c r="C823" s="301"/>
      <c r="D823" s="302"/>
      <c r="E823" s="302"/>
      <c r="F823" s="89"/>
      <c r="G823" s="89"/>
      <c r="H823" s="89"/>
      <c r="I823" s="89"/>
      <c r="J823" s="89"/>
      <c r="K823" s="303"/>
    </row>
    <row r="824" spans="1:11" ht="15.6">
      <c r="A824" s="300"/>
      <c r="C824" s="301"/>
      <c r="D824" s="302"/>
      <c r="E824" s="302"/>
      <c r="F824" s="89"/>
      <c r="G824" s="89"/>
      <c r="H824" s="89"/>
      <c r="I824" s="89"/>
      <c r="J824" s="89"/>
      <c r="K824" s="303"/>
    </row>
    <row r="825" spans="1:11" ht="15.6">
      <c r="A825" s="300"/>
      <c r="C825" s="301"/>
      <c r="D825" s="302"/>
      <c r="E825" s="302"/>
      <c r="F825" s="89"/>
      <c r="G825" s="89"/>
      <c r="H825" s="89"/>
      <c r="I825" s="89"/>
      <c r="J825" s="89"/>
      <c r="K825" s="303"/>
    </row>
    <row r="826" spans="1:11" ht="15.6">
      <c r="A826" s="300"/>
      <c r="C826" s="301"/>
      <c r="D826" s="302"/>
      <c r="E826" s="302"/>
      <c r="F826" s="89"/>
      <c r="G826" s="89"/>
      <c r="H826" s="89"/>
      <c r="I826" s="89"/>
      <c r="J826" s="89"/>
      <c r="K826" s="303"/>
    </row>
    <row r="827" spans="1:11" ht="15.6">
      <c r="A827" s="300"/>
      <c r="C827" s="301"/>
      <c r="D827" s="302"/>
      <c r="E827" s="302"/>
      <c r="F827" s="89"/>
      <c r="G827" s="89"/>
      <c r="H827" s="89"/>
      <c r="I827" s="89"/>
      <c r="J827" s="89"/>
      <c r="K827" s="303"/>
    </row>
    <row r="828" spans="1:11" ht="15.6">
      <c r="A828" s="300"/>
      <c r="C828" s="301"/>
      <c r="D828" s="302"/>
      <c r="E828" s="302"/>
      <c r="F828" s="89"/>
      <c r="G828" s="89"/>
      <c r="H828" s="89"/>
      <c r="I828" s="89"/>
      <c r="J828" s="89"/>
      <c r="K828" s="303"/>
    </row>
    <row r="829" spans="1:11" ht="15.6">
      <c r="A829" s="300"/>
      <c r="C829" s="301"/>
      <c r="D829" s="302"/>
      <c r="E829" s="302"/>
      <c r="F829" s="89"/>
      <c r="G829" s="89"/>
      <c r="H829" s="89"/>
      <c r="I829" s="89"/>
      <c r="J829" s="89"/>
      <c r="K829" s="303"/>
    </row>
    <row r="830" spans="1:11" ht="15.6">
      <c r="A830" s="300"/>
      <c r="C830" s="301"/>
      <c r="D830" s="302"/>
      <c r="E830" s="302"/>
      <c r="F830" s="89"/>
      <c r="G830" s="89"/>
      <c r="H830" s="89"/>
      <c r="I830" s="89"/>
      <c r="J830" s="89"/>
      <c r="K830" s="303"/>
    </row>
    <row r="831" spans="1:11" ht="15.6">
      <c r="A831" s="300"/>
      <c r="C831" s="301"/>
      <c r="D831" s="302"/>
      <c r="E831" s="302"/>
      <c r="F831" s="89"/>
      <c r="G831" s="89"/>
      <c r="H831" s="89"/>
      <c r="I831" s="89"/>
      <c r="J831" s="89"/>
      <c r="K831" s="303"/>
    </row>
    <row r="832" spans="1:11" ht="15.6">
      <c r="A832" s="300"/>
      <c r="C832" s="301"/>
      <c r="D832" s="302"/>
      <c r="E832" s="302"/>
      <c r="F832" s="89"/>
      <c r="G832" s="89"/>
      <c r="H832" s="89"/>
      <c r="I832" s="89"/>
      <c r="J832" s="89"/>
      <c r="K832" s="303"/>
    </row>
    <row r="833" spans="1:11" ht="15.6">
      <c r="A833" s="300"/>
      <c r="C833" s="301"/>
      <c r="D833" s="302"/>
      <c r="E833" s="302"/>
      <c r="F833" s="89"/>
      <c r="G833" s="89"/>
      <c r="H833" s="89"/>
      <c r="I833" s="89"/>
      <c r="J833" s="89"/>
      <c r="K833" s="303"/>
    </row>
    <row r="834" spans="1:11" ht="15.6">
      <c r="A834" s="300"/>
      <c r="C834" s="301"/>
      <c r="D834" s="302"/>
      <c r="E834" s="302"/>
      <c r="F834" s="89"/>
      <c r="G834" s="89"/>
      <c r="H834" s="89"/>
      <c r="I834" s="89"/>
      <c r="J834" s="89"/>
      <c r="K834" s="303"/>
    </row>
    <row r="835" spans="1:11" ht="15.6">
      <c r="A835" s="300"/>
      <c r="C835" s="301"/>
      <c r="D835" s="302"/>
      <c r="E835" s="302"/>
      <c r="F835" s="89"/>
      <c r="G835" s="89"/>
      <c r="H835" s="89"/>
      <c r="I835" s="89"/>
      <c r="J835" s="89"/>
      <c r="K835" s="303"/>
    </row>
    <row r="836" spans="1:11" ht="15.6">
      <c r="A836" s="300"/>
      <c r="C836" s="301"/>
      <c r="D836" s="302"/>
      <c r="E836" s="302"/>
      <c r="F836" s="89"/>
      <c r="G836" s="89"/>
      <c r="H836" s="89"/>
      <c r="I836" s="89"/>
      <c r="J836" s="89"/>
      <c r="K836" s="303"/>
    </row>
    <row r="837" spans="1:11" ht="15.6">
      <c r="A837" s="300"/>
      <c r="C837" s="301"/>
      <c r="D837" s="302"/>
      <c r="E837" s="302"/>
      <c r="F837" s="89"/>
      <c r="G837" s="89"/>
      <c r="H837" s="89"/>
      <c r="I837" s="89"/>
      <c r="J837" s="89"/>
      <c r="K837" s="303"/>
    </row>
    <row r="838" spans="1:11" ht="15.6">
      <c r="A838" s="300"/>
      <c r="C838" s="301"/>
      <c r="D838" s="302"/>
      <c r="E838" s="302"/>
      <c r="F838" s="89"/>
      <c r="G838" s="89"/>
      <c r="H838" s="89"/>
      <c r="I838" s="89"/>
      <c r="J838" s="89"/>
      <c r="K838" s="303"/>
    </row>
    <row r="839" spans="1:11" ht="15.6">
      <c r="A839" s="300"/>
      <c r="C839" s="301"/>
      <c r="D839" s="302"/>
      <c r="E839" s="302"/>
      <c r="F839" s="89"/>
      <c r="G839" s="89"/>
      <c r="H839" s="89"/>
      <c r="I839" s="89"/>
      <c r="J839" s="89"/>
      <c r="K839" s="303"/>
    </row>
    <row r="840" spans="1:11" ht="15.6">
      <c r="A840" s="300"/>
      <c r="C840" s="301"/>
      <c r="D840" s="302"/>
      <c r="E840" s="302"/>
      <c r="F840" s="89"/>
      <c r="G840" s="89"/>
      <c r="H840" s="89"/>
      <c r="I840" s="89"/>
      <c r="J840" s="89"/>
      <c r="K840" s="303"/>
    </row>
    <row r="841" spans="1:11" ht="15.6">
      <c r="A841" s="300"/>
      <c r="C841" s="301"/>
      <c r="D841" s="302"/>
      <c r="E841" s="302"/>
      <c r="F841" s="89"/>
      <c r="G841" s="89"/>
      <c r="H841" s="89"/>
      <c r="I841" s="89"/>
      <c r="J841" s="89"/>
      <c r="K841" s="303"/>
    </row>
    <row r="842" spans="1:11" ht="15.6">
      <c r="A842" s="300"/>
      <c r="C842" s="301"/>
      <c r="D842" s="302"/>
      <c r="E842" s="302"/>
      <c r="F842" s="89"/>
      <c r="G842" s="89"/>
      <c r="H842" s="89"/>
      <c r="I842" s="89"/>
      <c r="J842" s="89"/>
      <c r="K842" s="303"/>
    </row>
    <row r="843" spans="1:11" ht="15.6">
      <c r="A843" s="300"/>
      <c r="C843" s="301"/>
      <c r="D843" s="302"/>
      <c r="E843" s="302"/>
      <c r="F843" s="89"/>
      <c r="G843" s="89"/>
      <c r="H843" s="89"/>
      <c r="I843" s="89"/>
      <c r="J843" s="89"/>
      <c r="K843" s="303"/>
    </row>
    <row r="844" spans="1:11" ht="15.6">
      <c r="A844" s="300"/>
      <c r="C844" s="301"/>
      <c r="D844" s="302"/>
      <c r="E844" s="302"/>
      <c r="F844" s="89"/>
      <c r="G844" s="89"/>
      <c r="H844" s="89"/>
      <c r="I844" s="89"/>
      <c r="J844" s="89"/>
      <c r="K844" s="303"/>
    </row>
    <row r="845" spans="1:11" ht="15.6">
      <c r="A845" s="300"/>
      <c r="C845" s="301"/>
      <c r="D845" s="302"/>
      <c r="E845" s="302"/>
      <c r="F845" s="89"/>
      <c r="G845" s="89"/>
      <c r="H845" s="89"/>
      <c r="I845" s="89"/>
      <c r="J845" s="89"/>
      <c r="K845" s="303"/>
    </row>
    <row r="846" spans="1:11" ht="15.6">
      <c r="A846" s="300"/>
      <c r="C846" s="301"/>
      <c r="D846" s="302"/>
      <c r="E846" s="302"/>
      <c r="F846" s="89"/>
      <c r="G846" s="89"/>
      <c r="H846" s="89"/>
      <c r="I846" s="89"/>
      <c r="J846" s="89"/>
      <c r="K846" s="303"/>
    </row>
    <row r="847" spans="1:11" ht="15.6">
      <c r="A847" s="300"/>
      <c r="C847" s="301"/>
      <c r="D847" s="302"/>
      <c r="E847" s="302"/>
      <c r="F847" s="89"/>
      <c r="G847" s="89"/>
      <c r="H847" s="89"/>
      <c r="I847" s="89"/>
      <c r="J847" s="89"/>
      <c r="K847" s="303"/>
    </row>
    <row r="848" spans="1:11" ht="15.6">
      <c r="A848" s="300"/>
      <c r="C848" s="301"/>
      <c r="D848" s="302"/>
      <c r="E848" s="302"/>
      <c r="F848" s="89"/>
      <c r="G848" s="89"/>
      <c r="H848" s="89"/>
      <c r="I848" s="89"/>
      <c r="J848" s="89"/>
      <c r="K848" s="303"/>
    </row>
    <row r="849" spans="1:11" ht="15.6">
      <c r="A849" s="300"/>
      <c r="C849" s="301"/>
      <c r="D849" s="302"/>
      <c r="E849" s="302"/>
      <c r="F849" s="89"/>
      <c r="G849" s="89"/>
      <c r="H849" s="89"/>
      <c r="I849" s="89"/>
      <c r="J849" s="89"/>
      <c r="K849" s="303"/>
    </row>
    <row r="850" spans="1:11" ht="15.6">
      <c r="A850" s="300"/>
      <c r="C850" s="301"/>
      <c r="D850" s="302"/>
      <c r="E850" s="302"/>
      <c r="F850" s="89"/>
      <c r="G850" s="89"/>
      <c r="H850" s="89"/>
      <c r="I850" s="89"/>
      <c r="J850" s="89"/>
      <c r="K850" s="303"/>
    </row>
    <row r="851" spans="1:11" ht="15.6">
      <c r="A851" s="300"/>
      <c r="C851" s="301"/>
      <c r="D851" s="302"/>
      <c r="E851" s="302"/>
      <c r="F851" s="89"/>
      <c r="G851" s="89"/>
      <c r="H851" s="89"/>
      <c r="I851" s="89"/>
      <c r="J851" s="89"/>
      <c r="K851" s="303"/>
    </row>
    <row r="852" spans="1:11" ht="15.6">
      <c r="A852" s="300"/>
      <c r="C852" s="301"/>
      <c r="D852" s="302"/>
      <c r="E852" s="302"/>
      <c r="F852" s="89"/>
      <c r="G852" s="89"/>
      <c r="H852" s="89"/>
      <c r="I852" s="89"/>
      <c r="J852" s="89"/>
      <c r="K852" s="303"/>
    </row>
    <row r="853" spans="1:11" ht="15.6">
      <c r="A853" s="300"/>
      <c r="C853" s="301"/>
      <c r="D853" s="302"/>
      <c r="E853" s="302"/>
      <c r="F853" s="89"/>
      <c r="G853" s="89"/>
      <c r="H853" s="89"/>
      <c r="I853" s="89"/>
      <c r="J853" s="89"/>
      <c r="K853" s="303"/>
    </row>
    <row r="854" spans="1:11" ht="15.6">
      <c r="A854" s="300"/>
      <c r="C854" s="301"/>
      <c r="D854" s="302"/>
      <c r="E854" s="302"/>
      <c r="F854" s="89"/>
      <c r="G854" s="89"/>
      <c r="H854" s="89"/>
      <c r="I854" s="89"/>
      <c r="J854" s="89"/>
      <c r="K854" s="303"/>
    </row>
    <row r="855" spans="1:11" ht="15.6">
      <c r="A855" s="300"/>
      <c r="C855" s="301"/>
      <c r="D855" s="302"/>
      <c r="E855" s="302"/>
      <c r="F855" s="89"/>
      <c r="G855" s="89"/>
      <c r="H855" s="89"/>
      <c r="I855" s="89"/>
      <c r="J855" s="89"/>
      <c r="K855" s="303"/>
    </row>
    <row r="856" spans="1:11" ht="15.6">
      <c r="A856" s="300"/>
      <c r="C856" s="301"/>
      <c r="D856" s="302"/>
      <c r="E856" s="302"/>
      <c r="F856" s="89"/>
      <c r="G856" s="89"/>
      <c r="H856" s="89"/>
      <c r="I856" s="89"/>
      <c r="J856" s="89"/>
      <c r="K856" s="303"/>
    </row>
    <row r="857" spans="1:11" ht="15.6">
      <c r="A857" s="300"/>
      <c r="C857" s="301"/>
      <c r="D857" s="302"/>
      <c r="E857" s="302"/>
      <c r="F857" s="89"/>
      <c r="G857" s="89"/>
      <c r="H857" s="89"/>
      <c r="I857" s="89"/>
      <c r="J857" s="89"/>
      <c r="K857" s="303"/>
    </row>
    <row r="858" spans="1:11" ht="15.6">
      <c r="A858" s="300"/>
      <c r="C858" s="301"/>
      <c r="D858" s="302"/>
      <c r="E858" s="302"/>
      <c r="F858" s="89"/>
      <c r="G858" s="89"/>
      <c r="H858" s="89"/>
      <c r="I858" s="89"/>
      <c r="J858" s="89"/>
      <c r="K858" s="303"/>
    </row>
    <row r="859" spans="1:11" ht="15.6">
      <c r="A859" s="300"/>
      <c r="C859" s="301"/>
      <c r="D859" s="302"/>
      <c r="E859" s="302"/>
      <c r="F859" s="89"/>
      <c r="G859" s="89"/>
      <c r="H859" s="89"/>
      <c r="I859" s="89"/>
      <c r="J859" s="89"/>
      <c r="K859" s="303"/>
    </row>
    <row r="860" spans="1:11" ht="15.6">
      <c r="A860" s="300"/>
      <c r="C860" s="301"/>
      <c r="D860" s="302"/>
      <c r="E860" s="302"/>
      <c r="F860" s="89"/>
      <c r="G860" s="89"/>
      <c r="H860" s="89"/>
      <c r="I860" s="89"/>
      <c r="J860" s="89"/>
      <c r="K860" s="303"/>
    </row>
    <row r="861" spans="1:11" ht="15.6">
      <c r="A861" s="300"/>
      <c r="C861" s="301"/>
      <c r="D861" s="302"/>
      <c r="E861" s="302"/>
      <c r="F861" s="89"/>
      <c r="G861" s="89"/>
      <c r="H861" s="89"/>
      <c r="I861" s="89"/>
      <c r="J861" s="89"/>
      <c r="K861" s="303"/>
    </row>
    <row r="862" spans="1:11" ht="15.6">
      <c r="A862" s="300"/>
      <c r="C862" s="301"/>
      <c r="D862" s="302"/>
      <c r="E862" s="302"/>
      <c r="F862" s="89"/>
      <c r="G862" s="89"/>
      <c r="H862" s="89"/>
      <c r="I862" s="89"/>
      <c r="J862" s="89"/>
      <c r="K862" s="303"/>
    </row>
    <row r="863" spans="1:11" ht="15.6">
      <c r="A863" s="300"/>
      <c r="C863" s="301"/>
      <c r="D863" s="302"/>
      <c r="E863" s="302"/>
      <c r="F863" s="89"/>
      <c r="G863" s="89"/>
      <c r="H863" s="89"/>
      <c r="I863" s="89"/>
      <c r="J863" s="89"/>
      <c r="K863" s="303"/>
    </row>
    <row r="864" spans="1:11" ht="15.6">
      <c r="A864" s="300"/>
      <c r="C864" s="301"/>
      <c r="D864" s="302"/>
      <c r="E864" s="302"/>
      <c r="F864" s="89"/>
      <c r="G864" s="89"/>
      <c r="H864" s="89"/>
      <c r="I864" s="89"/>
      <c r="J864" s="89"/>
      <c r="K864" s="303"/>
    </row>
    <row r="865" spans="1:11" ht="15.6">
      <c r="A865" s="300"/>
      <c r="C865" s="301"/>
      <c r="D865" s="302"/>
      <c r="E865" s="302"/>
      <c r="F865" s="89"/>
      <c r="G865" s="89"/>
      <c r="H865" s="89"/>
      <c r="I865" s="89"/>
      <c r="J865" s="89"/>
      <c r="K865" s="303"/>
    </row>
    <row r="866" spans="1:11" ht="15.6">
      <c r="A866" s="300"/>
      <c r="C866" s="301"/>
      <c r="D866" s="302"/>
      <c r="E866" s="302"/>
      <c r="F866" s="89"/>
      <c r="G866" s="89"/>
      <c r="H866" s="89"/>
      <c r="I866" s="89"/>
      <c r="J866" s="89"/>
      <c r="K866" s="303"/>
    </row>
    <row r="867" spans="1:11" ht="15.6">
      <c r="A867" s="300"/>
      <c r="C867" s="301"/>
      <c r="D867" s="302"/>
      <c r="E867" s="302"/>
      <c r="F867" s="89"/>
      <c r="G867" s="89"/>
      <c r="H867" s="89"/>
      <c r="I867" s="89"/>
      <c r="J867" s="89"/>
      <c r="K867" s="303"/>
    </row>
    <row r="868" spans="1:11" ht="15.6">
      <c r="A868" s="300"/>
      <c r="C868" s="301"/>
      <c r="D868" s="302"/>
      <c r="E868" s="302"/>
      <c r="F868" s="89"/>
      <c r="G868" s="89"/>
      <c r="H868" s="89"/>
      <c r="I868" s="89"/>
      <c r="J868" s="89"/>
      <c r="K868" s="303"/>
    </row>
    <row r="869" spans="1:11" ht="15.6">
      <c r="A869" s="300"/>
      <c r="C869" s="301"/>
      <c r="D869" s="302"/>
      <c r="E869" s="302"/>
      <c r="F869" s="89"/>
      <c r="G869" s="89"/>
      <c r="H869" s="89"/>
      <c r="I869" s="89"/>
      <c r="J869" s="89"/>
      <c r="K869" s="303"/>
    </row>
    <row r="870" spans="1:11" ht="15.6">
      <c r="A870" s="300"/>
      <c r="C870" s="301"/>
      <c r="D870" s="302"/>
      <c r="E870" s="302"/>
      <c r="F870" s="89"/>
      <c r="G870" s="89"/>
      <c r="H870" s="89"/>
      <c r="I870" s="89"/>
      <c r="J870" s="89"/>
      <c r="K870" s="303"/>
    </row>
    <row r="871" spans="1:11" ht="15.6">
      <c r="A871" s="300"/>
      <c r="C871" s="301"/>
      <c r="D871" s="302"/>
      <c r="E871" s="302"/>
      <c r="F871" s="89"/>
      <c r="G871" s="89"/>
      <c r="H871" s="89"/>
      <c r="I871" s="89"/>
      <c r="J871" s="89"/>
      <c r="K871" s="303"/>
    </row>
    <row r="872" spans="1:11" ht="15.6">
      <c r="A872" s="300"/>
      <c r="C872" s="301"/>
      <c r="D872" s="302"/>
      <c r="E872" s="302"/>
      <c r="F872" s="89"/>
      <c r="G872" s="89"/>
      <c r="H872" s="89"/>
      <c r="I872" s="89"/>
      <c r="J872" s="89"/>
      <c r="K872" s="303"/>
    </row>
    <row r="873" spans="1:11" ht="15.6">
      <c r="A873" s="300"/>
      <c r="C873" s="301"/>
      <c r="D873" s="302"/>
      <c r="E873" s="302"/>
      <c r="F873" s="89"/>
      <c r="G873" s="89"/>
      <c r="H873" s="89"/>
      <c r="I873" s="89"/>
      <c r="J873" s="89"/>
      <c r="K873" s="303"/>
    </row>
    <row r="874" spans="1:11" ht="15.6">
      <c r="A874" s="300"/>
      <c r="C874" s="301"/>
      <c r="D874" s="302"/>
      <c r="E874" s="302"/>
      <c r="F874" s="89"/>
      <c r="G874" s="89"/>
      <c r="H874" s="89"/>
      <c r="I874" s="89"/>
      <c r="J874" s="89"/>
      <c r="K874" s="303"/>
    </row>
    <row r="875" spans="1:11" ht="15.6">
      <c r="A875" s="300"/>
      <c r="C875" s="301"/>
      <c r="D875" s="302"/>
      <c r="E875" s="302"/>
      <c r="F875" s="89"/>
      <c r="G875" s="89"/>
      <c r="H875" s="89"/>
      <c r="I875" s="89"/>
      <c r="J875" s="89"/>
      <c r="K875" s="303"/>
    </row>
    <row r="876" spans="1:11" ht="15.6">
      <c r="A876" s="300"/>
      <c r="C876" s="301"/>
      <c r="D876" s="302"/>
      <c r="E876" s="302"/>
      <c r="F876" s="89"/>
      <c r="G876" s="89"/>
      <c r="H876" s="89"/>
      <c r="I876" s="89"/>
      <c r="J876" s="89"/>
      <c r="K876" s="303"/>
    </row>
    <row r="877" spans="1:11" ht="15.6">
      <c r="A877" s="300"/>
      <c r="C877" s="301"/>
      <c r="D877" s="302"/>
      <c r="E877" s="302"/>
      <c r="F877" s="89"/>
      <c r="G877" s="89"/>
      <c r="H877" s="89"/>
      <c r="I877" s="89"/>
      <c r="J877" s="89"/>
      <c r="K877" s="303"/>
    </row>
    <row r="878" spans="1:11" ht="15.6">
      <c r="A878" s="300"/>
      <c r="C878" s="301"/>
      <c r="D878" s="302"/>
      <c r="E878" s="302"/>
      <c r="F878" s="89"/>
      <c r="G878" s="89"/>
      <c r="H878" s="89"/>
      <c r="I878" s="89"/>
      <c r="J878" s="89"/>
      <c r="K878" s="303"/>
    </row>
    <row r="879" spans="1:11" ht="15.6">
      <c r="A879" s="300"/>
      <c r="C879" s="301"/>
      <c r="D879" s="302"/>
      <c r="E879" s="302"/>
      <c r="F879" s="89"/>
      <c r="G879" s="89"/>
      <c r="H879" s="89"/>
      <c r="I879" s="89"/>
      <c r="J879" s="89"/>
      <c r="K879" s="303"/>
    </row>
    <row r="880" spans="1:11" ht="15.6">
      <c r="A880" s="300"/>
      <c r="C880" s="301"/>
      <c r="D880" s="302"/>
      <c r="E880" s="302"/>
      <c r="F880" s="89"/>
      <c r="G880" s="89"/>
      <c r="H880" s="89"/>
      <c r="I880" s="89"/>
      <c r="J880" s="89"/>
      <c r="K880" s="303"/>
    </row>
    <row r="881" spans="1:11" ht="15.6">
      <c r="A881" s="300"/>
      <c r="C881" s="301"/>
      <c r="D881" s="302"/>
      <c r="E881" s="302"/>
      <c r="F881" s="89"/>
      <c r="G881" s="89"/>
      <c r="H881" s="89"/>
      <c r="I881" s="89"/>
      <c r="J881" s="89"/>
      <c r="K881" s="303"/>
    </row>
    <row r="882" spans="1:11" ht="15.6">
      <c r="A882" s="300"/>
      <c r="C882" s="301"/>
      <c r="D882" s="302"/>
      <c r="E882" s="302"/>
      <c r="F882" s="89"/>
      <c r="G882" s="89"/>
      <c r="H882" s="89"/>
      <c r="I882" s="89"/>
      <c r="J882" s="89"/>
      <c r="K882" s="303"/>
    </row>
    <row r="883" spans="1:11" ht="15.6">
      <c r="A883" s="300"/>
      <c r="C883" s="301"/>
      <c r="D883" s="302"/>
      <c r="E883" s="302"/>
      <c r="F883" s="89"/>
      <c r="G883" s="89"/>
      <c r="H883" s="89"/>
      <c r="I883" s="89"/>
      <c r="J883" s="89"/>
      <c r="K883" s="303"/>
    </row>
    <row r="884" spans="1:11" ht="15.6">
      <c r="A884" s="300"/>
      <c r="C884" s="301"/>
      <c r="D884" s="302"/>
      <c r="E884" s="302"/>
      <c r="F884" s="89"/>
      <c r="G884" s="89"/>
      <c r="H884" s="89"/>
      <c r="I884" s="89"/>
      <c r="J884" s="89"/>
      <c r="K884" s="303"/>
    </row>
    <row r="885" spans="1:11" ht="15.6">
      <c r="A885" s="300"/>
      <c r="C885" s="301"/>
      <c r="D885" s="302"/>
      <c r="E885" s="302"/>
      <c r="F885" s="89"/>
      <c r="G885" s="89"/>
      <c r="H885" s="89"/>
      <c r="I885" s="89"/>
      <c r="J885" s="89"/>
      <c r="K885" s="303"/>
    </row>
    <row r="886" spans="1:11" ht="15.6">
      <c r="A886" s="300"/>
      <c r="C886" s="301"/>
      <c r="D886" s="302"/>
      <c r="E886" s="302"/>
      <c r="F886" s="89"/>
      <c r="G886" s="89"/>
      <c r="H886" s="89"/>
      <c r="I886" s="89"/>
      <c r="J886" s="89"/>
      <c r="K886" s="303"/>
    </row>
    <row r="887" spans="1:11" ht="15.6">
      <c r="A887" s="300"/>
      <c r="C887" s="301"/>
      <c r="D887" s="302"/>
      <c r="E887" s="302"/>
      <c r="F887" s="89"/>
      <c r="G887" s="89"/>
      <c r="H887" s="89"/>
      <c r="I887" s="89"/>
      <c r="J887" s="89"/>
      <c r="K887" s="303"/>
    </row>
    <row r="888" spans="1:11" ht="15.6">
      <c r="A888" s="300"/>
      <c r="C888" s="301"/>
      <c r="D888" s="302"/>
      <c r="E888" s="302"/>
      <c r="F888" s="89"/>
      <c r="G888" s="89"/>
      <c r="H888" s="89"/>
      <c r="I888" s="89"/>
      <c r="J888" s="89"/>
      <c r="K888" s="303"/>
    </row>
    <row r="889" spans="1:11" ht="15.6">
      <c r="A889" s="300"/>
      <c r="C889" s="301"/>
      <c r="D889" s="302"/>
      <c r="E889" s="302"/>
      <c r="F889" s="89"/>
      <c r="G889" s="89"/>
      <c r="H889" s="89"/>
      <c r="I889" s="89"/>
      <c r="J889" s="89"/>
      <c r="K889" s="303"/>
    </row>
    <row r="890" spans="1:11" ht="15.6">
      <c r="A890" s="300"/>
      <c r="C890" s="301"/>
      <c r="D890" s="302"/>
      <c r="E890" s="302"/>
      <c r="F890" s="89"/>
      <c r="G890" s="89"/>
      <c r="H890" s="89"/>
      <c r="I890" s="89"/>
      <c r="J890" s="89"/>
      <c r="K890" s="303"/>
    </row>
    <row r="891" spans="1:11" ht="15.6">
      <c r="A891" s="300"/>
      <c r="C891" s="301"/>
      <c r="D891" s="302"/>
      <c r="E891" s="302"/>
      <c r="F891" s="89"/>
      <c r="G891" s="89"/>
      <c r="H891" s="89"/>
      <c r="I891" s="89"/>
      <c r="J891" s="89"/>
      <c r="K891" s="303"/>
    </row>
    <row r="892" spans="1:11" ht="15.6">
      <c r="A892" s="300"/>
      <c r="C892" s="301"/>
      <c r="D892" s="302"/>
      <c r="E892" s="302"/>
      <c r="F892" s="89"/>
      <c r="G892" s="89"/>
      <c r="H892" s="89"/>
      <c r="I892" s="89"/>
      <c r="J892" s="89"/>
      <c r="K892" s="303"/>
    </row>
    <row r="893" spans="1:11" ht="15.6">
      <c r="A893" s="300"/>
      <c r="C893" s="301"/>
      <c r="D893" s="302"/>
      <c r="E893" s="302"/>
      <c r="F893" s="89"/>
      <c r="G893" s="89"/>
      <c r="H893" s="89"/>
      <c r="I893" s="89"/>
      <c r="J893" s="89"/>
      <c r="K893" s="303"/>
    </row>
    <row r="894" spans="1:11" ht="15.6">
      <c r="A894" s="300"/>
      <c r="C894" s="301"/>
      <c r="D894" s="302"/>
      <c r="E894" s="302"/>
      <c r="F894" s="89"/>
      <c r="G894" s="89"/>
      <c r="H894" s="89"/>
      <c r="I894" s="89"/>
      <c r="J894" s="89"/>
      <c r="K894" s="303"/>
    </row>
    <row r="895" spans="1:11" ht="15.6">
      <c r="A895" s="300"/>
      <c r="C895" s="301"/>
      <c r="D895" s="302"/>
      <c r="E895" s="302"/>
      <c r="F895" s="89"/>
      <c r="G895" s="89"/>
      <c r="H895" s="89"/>
      <c r="I895" s="89"/>
      <c r="J895" s="89"/>
      <c r="K895" s="303"/>
    </row>
    <row r="896" spans="1:11" ht="15.6">
      <c r="A896" s="300"/>
      <c r="C896" s="301"/>
      <c r="D896" s="302"/>
      <c r="E896" s="302"/>
      <c r="F896" s="89"/>
      <c r="G896" s="89"/>
      <c r="H896" s="89"/>
      <c r="I896" s="89"/>
      <c r="J896" s="89"/>
      <c r="K896" s="303"/>
    </row>
    <row r="897" spans="1:11" ht="15.6">
      <c r="A897" s="300"/>
      <c r="C897" s="301"/>
      <c r="D897" s="302"/>
      <c r="E897" s="302"/>
      <c r="F897" s="89"/>
      <c r="G897" s="89"/>
      <c r="H897" s="89"/>
      <c r="I897" s="89"/>
      <c r="J897" s="89"/>
      <c r="K897" s="303"/>
    </row>
    <row r="898" spans="1:11" ht="15.6">
      <c r="A898" s="300"/>
      <c r="C898" s="301"/>
      <c r="D898" s="302"/>
      <c r="E898" s="302"/>
      <c r="F898" s="89"/>
      <c r="G898" s="89"/>
      <c r="H898" s="89"/>
      <c r="I898" s="89"/>
      <c r="J898" s="89"/>
      <c r="K898" s="303"/>
    </row>
    <row r="899" spans="1:11" ht="15.6">
      <c r="A899" s="300"/>
      <c r="C899" s="301"/>
      <c r="D899" s="302"/>
      <c r="E899" s="302"/>
      <c r="F899" s="89"/>
      <c r="G899" s="89"/>
      <c r="H899" s="89"/>
      <c r="I899" s="89"/>
      <c r="J899" s="89"/>
      <c r="K899" s="303"/>
    </row>
    <row r="900" spans="1:11" ht="15.6">
      <c r="A900" s="300"/>
      <c r="C900" s="301"/>
      <c r="D900" s="302"/>
      <c r="E900" s="302"/>
      <c r="F900" s="89"/>
      <c r="G900" s="89"/>
      <c r="H900" s="89"/>
      <c r="I900" s="89"/>
      <c r="J900" s="89"/>
      <c r="K900" s="303"/>
    </row>
    <row r="901" spans="1:11" ht="15.6">
      <c r="A901" s="300"/>
      <c r="C901" s="301"/>
      <c r="D901" s="302"/>
      <c r="E901" s="302"/>
      <c r="F901" s="89"/>
      <c r="G901" s="89"/>
      <c r="H901" s="89"/>
      <c r="I901" s="89"/>
      <c r="J901" s="89"/>
      <c r="K901" s="303"/>
    </row>
    <row r="902" spans="1:11" ht="15.6">
      <c r="A902" s="300"/>
      <c r="C902" s="301"/>
      <c r="D902" s="302"/>
      <c r="E902" s="302"/>
      <c r="F902" s="89"/>
      <c r="G902" s="89"/>
      <c r="H902" s="89"/>
      <c r="I902" s="89"/>
      <c r="J902" s="89"/>
      <c r="K902" s="303"/>
    </row>
    <row r="903" spans="1:11" ht="15.6">
      <c r="A903" s="300"/>
      <c r="C903" s="301"/>
      <c r="D903" s="302"/>
      <c r="E903" s="302"/>
      <c r="F903" s="89"/>
      <c r="G903" s="89"/>
      <c r="H903" s="89"/>
      <c r="I903" s="89"/>
      <c r="J903" s="89"/>
      <c r="K903" s="303"/>
    </row>
    <row r="904" spans="1:11" ht="15.6">
      <c r="A904" s="300"/>
      <c r="C904" s="301"/>
      <c r="D904" s="302"/>
      <c r="E904" s="302"/>
      <c r="F904" s="89"/>
      <c r="G904" s="89"/>
      <c r="H904" s="89"/>
      <c r="I904" s="89"/>
      <c r="J904" s="89"/>
      <c r="K904" s="303"/>
    </row>
    <row r="905" spans="1:11" ht="15.6">
      <c r="A905" s="300"/>
      <c r="C905" s="301"/>
      <c r="D905" s="302"/>
      <c r="E905" s="302"/>
      <c r="F905" s="89"/>
      <c r="G905" s="89"/>
      <c r="H905" s="89"/>
      <c r="I905" s="89"/>
      <c r="J905" s="89"/>
      <c r="K905" s="303"/>
    </row>
    <row r="906" spans="1:11" ht="15.6">
      <c r="A906" s="300"/>
      <c r="C906" s="301"/>
      <c r="D906" s="302"/>
      <c r="E906" s="302"/>
      <c r="F906" s="89"/>
      <c r="G906" s="89"/>
      <c r="H906" s="89"/>
      <c r="I906" s="89"/>
      <c r="J906" s="89"/>
      <c r="K906" s="303"/>
    </row>
    <row r="907" spans="1:11" ht="15.6">
      <c r="A907" s="300"/>
      <c r="C907" s="301"/>
      <c r="D907" s="302"/>
      <c r="E907" s="302"/>
      <c r="F907" s="89"/>
      <c r="G907" s="89"/>
      <c r="H907" s="89"/>
      <c r="I907" s="89"/>
      <c r="J907" s="89"/>
      <c r="K907" s="303"/>
    </row>
    <row r="908" spans="1:11" ht="15.6">
      <c r="A908" s="300"/>
      <c r="C908" s="301"/>
      <c r="D908" s="302"/>
      <c r="E908" s="302"/>
      <c r="F908" s="89"/>
      <c r="G908" s="89"/>
      <c r="H908" s="89"/>
      <c r="I908" s="89"/>
      <c r="J908" s="89"/>
      <c r="K908" s="303"/>
    </row>
    <row r="909" spans="1:11" ht="15.6">
      <c r="A909" s="300"/>
      <c r="C909" s="301"/>
      <c r="D909" s="302"/>
      <c r="E909" s="302"/>
      <c r="F909" s="89"/>
      <c r="G909" s="89"/>
      <c r="H909" s="89"/>
      <c r="I909" s="89"/>
      <c r="J909" s="89"/>
      <c r="K909" s="303"/>
    </row>
    <row r="910" spans="1:11" ht="15.6">
      <c r="A910" s="300"/>
      <c r="C910" s="301"/>
      <c r="D910" s="302"/>
      <c r="E910" s="302"/>
      <c r="F910" s="89"/>
      <c r="G910" s="89"/>
      <c r="H910" s="89"/>
      <c r="I910" s="89"/>
      <c r="J910" s="89"/>
      <c r="K910" s="303"/>
    </row>
    <row r="911" spans="1:11" ht="15.6">
      <c r="A911" s="300"/>
      <c r="C911" s="301"/>
      <c r="D911" s="302"/>
      <c r="E911" s="302"/>
      <c r="F911" s="89"/>
      <c r="G911" s="89"/>
      <c r="H911" s="89"/>
      <c r="I911" s="89"/>
      <c r="J911" s="89"/>
      <c r="K911" s="303"/>
    </row>
    <row r="912" spans="1:11" ht="15.6">
      <c r="A912" s="300"/>
      <c r="C912" s="301"/>
      <c r="D912" s="302"/>
      <c r="E912" s="302"/>
      <c r="F912" s="89"/>
      <c r="G912" s="89"/>
      <c r="H912" s="89"/>
      <c r="I912" s="89"/>
      <c r="J912" s="89"/>
      <c r="K912" s="303"/>
    </row>
    <row r="913" spans="1:11" ht="15.6">
      <c r="A913" s="300"/>
      <c r="C913" s="301"/>
      <c r="D913" s="302"/>
      <c r="E913" s="302"/>
      <c r="F913" s="89"/>
      <c r="G913" s="89"/>
      <c r="H913" s="89"/>
      <c r="I913" s="89"/>
      <c r="J913" s="89"/>
      <c r="K913" s="303"/>
    </row>
    <row r="914" spans="1:11" ht="15.6">
      <c r="A914" s="300"/>
      <c r="C914" s="301"/>
      <c r="D914" s="302"/>
      <c r="E914" s="302"/>
      <c r="F914" s="89"/>
      <c r="G914" s="89"/>
      <c r="H914" s="89"/>
      <c r="I914" s="89"/>
      <c r="J914" s="89"/>
      <c r="K914" s="303"/>
    </row>
    <row r="915" spans="1:11" ht="15.6">
      <c r="A915" s="300"/>
      <c r="C915" s="301"/>
      <c r="D915" s="302"/>
      <c r="E915" s="302"/>
      <c r="F915" s="89"/>
      <c r="G915" s="89"/>
      <c r="H915" s="89"/>
      <c r="I915" s="89"/>
      <c r="J915" s="89"/>
      <c r="K915" s="303"/>
    </row>
    <row r="916" spans="1:11" ht="15.6">
      <c r="A916" s="300"/>
      <c r="C916" s="301"/>
      <c r="D916" s="302"/>
      <c r="E916" s="302"/>
      <c r="F916" s="89"/>
      <c r="G916" s="89"/>
      <c r="H916" s="89"/>
      <c r="I916" s="89"/>
      <c r="J916" s="89"/>
      <c r="K916" s="303"/>
    </row>
    <row r="917" spans="1:11" ht="15.6">
      <c r="A917" s="300"/>
      <c r="C917" s="301"/>
      <c r="D917" s="302"/>
      <c r="E917" s="302"/>
      <c r="F917" s="89"/>
      <c r="G917" s="89"/>
      <c r="H917" s="89"/>
      <c r="I917" s="89"/>
      <c r="J917" s="89"/>
      <c r="K917" s="303"/>
    </row>
    <row r="918" spans="1:11" ht="15.6">
      <c r="A918" s="300"/>
      <c r="C918" s="301"/>
      <c r="D918" s="302"/>
      <c r="E918" s="302"/>
      <c r="F918" s="89"/>
      <c r="G918" s="89"/>
      <c r="H918" s="89"/>
      <c r="I918" s="89"/>
      <c r="J918" s="89"/>
      <c r="K918" s="303"/>
    </row>
    <row r="919" spans="1:11" ht="15.6">
      <c r="A919" s="300"/>
      <c r="C919" s="301"/>
      <c r="D919" s="302"/>
      <c r="E919" s="302"/>
      <c r="F919" s="89"/>
      <c r="G919" s="89"/>
      <c r="H919" s="89"/>
      <c r="I919" s="89"/>
      <c r="J919" s="89"/>
      <c r="K919" s="303"/>
    </row>
    <row r="920" spans="1:11" ht="15.6">
      <c r="A920" s="300"/>
      <c r="C920" s="301"/>
      <c r="D920" s="302"/>
      <c r="E920" s="302"/>
      <c r="F920" s="89"/>
      <c r="G920" s="89"/>
      <c r="H920" s="89"/>
      <c r="I920" s="89"/>
      <c r="J920" s="89"/>
      <c r="K920" s="303"/>
    </row>
    <row r="921" spans="1:11" ht="15.6">
      <c r="A921" s="300"/>
      <c r="C921" s="301"/>
      <c r="D921" s="302"/>
      <c r="E921" s="302"/>
      <c r="F921" s="89"/>
      <c r="G921" s="89"/>
      <c r="H921" s="89"/>
      <c r="I921" s="89"/>
      <c r="J921" s="89"/>
      <c r="K921" s="303"/>
    </row>
    <row r="922" spans="1:11" ht="15.6">
      <c r="A922" s="300"/>
      <c r="C922" s="301"/>
      <c r="D922" s="302"/>
      <c r="E922" s="302"/>
      <c r="F922" s="89"/>
      <c r="G922" s="89"/>
      <c r="H922" s="89"/>
      <c r="I922" s="89"/>
      <c r="J922" s="89"/>
      <c r="K922" s="303"/>
    </row>
    <row r="923" spans="1:11" ht="15.6">
      <c r="A923" s="300"/>
      <c r="C923" s="301"/>
      <c r="D923" s="302"/>
      <c r="E923" s="302"/>
      <c r="F923" s="89"/>
      <c r="G923" s="89"/>
      <c r="H923" s="89"/>
      <c r="I923" s="89"/>
      <c r="J923" s="89"/>
      <c r="K923" s="303"/>
    </row>
    <row r="924" spans="1:11" ht="15.6">
      <c r="A924" s="300"/>
      <c r="C924" s="301"/>
      <c r="D924" s="302"/>
      <c r="E924" s="302"/>
      <c r="F924" s="89"/>
      <c r="G924" s="89"/>
      <c r="H924" s="89"/>
      <c r="I924" s="89"/>
      <c r="J924" s="89"/>
      <c r="K924" s="303"/>
    </row>
    <row r="925" spans="1:11" ht="15.6">
      <c r="A925" s="300"/>
      <c r="C925" s="301"/>
      <c r="D925" s="302"/>
      <c r="E925" s="302"/>
      <c r="F925" s="89"/>
      <c r="G925" s="89"/>
      <c r="H925" s="89"/>
      <c r="I925" s="89"/>
      <c r="J925" s="89"/>
      <c r="K925" s="303"/>
    </row>
    <row r="926" spans="1:11" ht="15.6">
      <c r="A926" s="300"/>
      <c r="C926" s="301"/>
      <c r="D926" s="302"/>
      <c r="E926" s="302"/>
      <c r="F926" s="89"/>
      <c r="G926" s="89"/>
      <c r="H926" s="89"/>
      <c r="I926" s="89"/>
      <c r="J926" s="89"/>
      <c r="K926" s="303"/>
    </row>
    <row r="927" spans="1:11" ht="15.6">
      <c r="A927" s="300"/>
      <c r="C927" s="301"/>
      <c r="D927" s="302"/>
      <c r="E927" s="302"/>
      <c r="F927" s="89"/>
      <c r="G927" s="89"/>
      <c r="H927" s="89"/>
      <c r="I927" s="89"/>
      <c r="J927" s="89"/>
      <c r="K927" s="303"/>
    </row>
    <row r="928" spans="1:11" ht="15.6">
      <c r="A928" s="300"/>
      <c r="C928" s="301"/>
      <c r="D928" s="302"/>
      <c r="E928" s="302"/>
      <c r="F928" s="89"/>
      <c r="G928" s="89"/>
      <c r="H928" s="89"/>
      <c r="I928" s="89"/>
      <c r="J928" s="89"/>
      <c r="K928" s="303"/>
    </row>
    <row r="929" spans="1:11" ht="15.6">
      <c r="A929" s="300"/>
      <c r="C929" s="301"/>
      <c r="D929" s="302"/>
      <c r="E929" s="302"/>
      <c r="F929" s="89"/>
      <c r="G929" s="89"/>
      <c r="H929" s="89"/>
      <c r="I929" s="89"/>
      <c r="J929" s="89"/>
      <c r="K929" s="303"/>
    </row>
    <row r="930" spans="1:11" ht="15.6">
      <c r="A930" s="300"/>
      <c r="C930" s="301"/>
      <c r="D930" s="302"/>
      <c r="E930" s="302"/>
      <c r="F930" s="89"/>
      <c r="G930" s="89"/>
      <c r="H930" s="89"/>
      <c r="I930" s="89"/>
      <c r="J930" s="89"/>
      <c r="K930" s="303"/>
    </row>
    <row r="931" spans="1:11" ht="15.6">
      <c r="A931" s="300"/>
      <c r="C931" s="301"/>
      <c r="D931" s="302"/>
      <c r="E931" s="302"/>
      <c r="F931" s="89"/>
      <c r="G931" s="89"/>
      <c r="H931" s="89"/>
      <c r="I931" s="89"/>
      <c r="J931" s="89"/>
      <c r="K931" s="303"/>
    </row>
    <row r="932" spans="1:11" ht="15.6">
      <c r="A932" s="300"/>
      <c r="C932" s="301"/>
      <c r="D932" s="302"/>
      <c r="E932" s="302"/>
      <c r="F932" s="89"/>
      <c r="G932" s="89"/>
      <c r="H932" s="89"/>
      <c r="I932" s="89"/>
      <c r="J932" s="89"/>
      <c r="K932" s="303"/>
    </row>
    <row r="933" spans="1:11" ht="15.6">
      <c r="A933" s="300"/>
      <c r="C933" s="301"/>
      <c r="D933" s="302"/>
      <c r="E933" s="302"/>
      <c r="F933" s="89"/>
      <c r="G933" s="89"/>
      <c r="H933" s="89"/>
      <c r="I933" s="89"/>
      <c r="J933" s="89"/>
      <c r="K933" s="303"/>
    </row>
    <row r="934" spans="1:11" ht="15.6">
      <c r="A934" s="300"/>
      <c r="C934" s="301"/>
      <c r="D934" s="302"/>
      <c r="E934" s="302"/>
      <c r="F934" s="89"/>
      <c r="G934" s="89"/>
      <c r="H934" s="89"/>
      <c r="I934" s="89"/>
      <c r="J934" s="89"/>
      <c r="K934" s="303"/>
    </row>
    <row r="935" spans="1:11" ht="15.6">
      <c r="A935" s="300"/>
      <c r="C935" s="301"/>
      <c r="D935" s="302"/>
      <c r="E935" s="302"/>
      <c r="F935" s="89"/>
      <c r="G935" s="89"/>
      <c r="H935" s="89"/>
      <c r="I935" s="89"/>
      <c r="J935" s="89"/>
      <c r="K935" s="303"/>
    </row>
    <row r="936" spans="1:11" ht="15.6">
      <c r="A936" s="300"/>
      <c r="C936" s="301"/>
      <c r="D936" s="302"/>
      <c r="E936" s="302"/>
      <c r="F936" s="89"/>
      <c r="G936" s="89"/>
      <c r="H936" s="89"/>
      <c r="I936" s="89"/>
      <c r="J936" s="89"/>
      <c r="K936" s="303"/>
    </row>
    <row r="937" spans="1:11" ht="15.6">
      <c r="A937" s="300"/>
      <c r="C937" s="301"/>
      <c r="D937" s="302"/>
      <c r="E937" s="302"/>
      <c r="F937" s="89"/>
      <c r="G937" s="89"/>
      <c r="H937" s="89"/>
      <c r="I937" s="89"/>
      <c r="J937" s="89"/>
      <c r="K937" s="303"/>
    </row>
    <row r="938" spans="1:11" ht="15.6">
      <c r="A938" s="300"/>
      <c r="C938" s="301"/>
      <c r="D938" s="302"/>
      <c r="E938" s="302"/>
      <c r="F938" s="89"/>
      <c r="G938" s="89"/>
      <c r="H938" s="89"/>
      <c r="I938" s="89"/>
      <c r="J938" s="89"/>
      <c r="K938" s="303"/>
    </row>
    <row r="939" spans="1:11" ht="15.6">
      <c r="A939" s="300"/>
      <c r="C939" s="301"/>
      <c r="D939" s="302"/>
      <c r="E939" s="302"/>
      <c r="F939" s="89"/>
      <c r="G939" s="89"/>
      <c r="H939" s="89"/>
      <c r="I939" s="89"/>
      <c r="J939" s="89"/>
      <c r="K939" s="303"/>
    </row>
    <row r="940" spans="1:11" ht="15.6">
      <c r="A940" s="300"/>
      <c r="C940" s="301"/>
      <c r="D940" s="302"/>
      <c r="E940" s="302"/>
      <c r="F940" s="89"/>
      <c r="G940" s="89"/>
      <c r="H940" s="89"/>
      <c r="I940" s="89"/>
      <c r="J940" s="89"/>
      <c r="K940" s="303"/>
    </row>
    <row r="941" spans="1:11" ht="15.6">
      <c r="A941" s="300"/>
      <c r="C941" s="301"/>
      <c r="D941" s="302"/>
      <c r="E941" s="302"/>
      <c r="F941" s="89"/>
      <c r="G941" s="89"/>
      <c r="H941" s="89"/>
      <c r="I941" s="89"/>
      <c r="J941" s="89"/>
      <c r="K941" s="303"/>
    </row>
    <row r="942" spans="1:11" ht="15.6">
      <c r="A942" s="300"/>
      <c r="C942" s="301"/>
      <c r="D942" s="302"/>
      <c r="E942" s="302"/>
      <c r="F942" s="89"/>
      <c r="G942" s="89"/>
      <c r="H942" s="89"/>
      <c r="I942" s="89"/>
      <c r="J942" s="89"/>
      <c r="K942" s="303"/>
    </row>
    <row r="943" spans="1:11" ht="15.6">
      <c r="A943" s="300"/>
      <c r="C943" s="301"/>
      <c r="D943" s="302"/>
      <c r="E943" s="302"/>
      <c r="F943" s="89"/>
      <c r="G943" s="89"/>
      <c r="H943" s="89"/>
      <c r="I943" s="89"/>
      <c r="J943" s="89"/>
      <c r="K943" s="303"/>
    </row>
    <row r="944" spans="1:11" ht="15.6">
      <c r="A944" s="300"/>
      <c r="C944" s="301"/>
      <c r="D944" s="302"/>
      <c r="E944" s="302"/>
      <c r="F944" s="89"/>
      <c r="G944" s="89"/>
      <c r="H944" s="89"/>
      <c r="I944" s="89"/>
      <c r="J944" s="89"/>
      <c r="K944" s="303"/>
    </row>
    <row r="945" spans="1:11" ht="15.6">
      <c r="A945" s="300"/>
      <c r="C945" s="301"/>
      <c r="D945" s="302"/>
      <c r="E945" s="302"/>
      <c r="F945" s="89"/>
      <c r="G945" s="89"/>
      <c r="H945" s="89"/>
      <c r="I945" s="89"/>
      <c r="J945" s="89"/>
      <c r="K945" s="303"/>
    </row>
    <row r="946" spans="1:11" ht="15.6">
      <c r="A946" s="300"/>
      <c r="C946" s="301"/>
      <c r="D946" s="302"/>
      <c r="E946" s="302"/>
      <c r="F946" s="89"/>
      <c r="G946" s="89"/>
      <c r="H946" s="89"/>
      <c r="I946" s="89"/>
      <c r="J946" s="89"/>
      <c r="K946" s="303"/>
    </row>
    <row r="947" spans="1:11" ht="15.6">
      <c r="A947" s="300"/>
      <c r="C947" s="301"/>
      <c r="D947" s="302"/>
      <c r="E947" s="302"/>
      <c r="F947" s="89"/>
      <c r="G947" s="89"/>
      <c r="H947" s="89"/>
      <c r="I947" s="89"/>
      <c r="J947" s="89"/>
      <c r="K947" s="303"/>
    </row>
    <row r="948" spans="1:11" ht="15.6">
      <c r="A948" s="300"/>
      <c r="C948" s="301"/>
      <c r="D948" s="302"/>
      <c r="E948" s="302"/>
      <c r="F948" s="89"/>
      <c r="G948" s="89"/>
      <c r="H948" s="89"/>
      <c r="I948" s="89"/>
      <c r="J948" s="89"/>
      <c r="K948" s="303"/>
    </row>
    <row r="949" spans="1:11" ht="15.6">
      <c r="A949" s="300"/>
      <c r="C949" s="301"/>
      <c r="D949" s="302"/>
      <c r="E949" s="302"/>
      <c r="F949" s="89"/>
      <c r="G949" s="89"/>
      <c r="H949" s="89"/>
      <c r="I949" s="89"/>
      <c r="J949" s="89"/>
      <c r="K949" s="303"/>
    </row>
    <row r="950" spans="1:11" ht="15.6">
      <c r="A950" s="300"/>
      <c r="C950" s="301"/>
      <c r="D950" s="302"/>
      <c r="E950" s="302"/>
      <c r="F950" s="89"/>
      <c r="G950" s="89"/>
      <c r="H950" s="89"/>
      <c r="I950" s="89"/>
      <c r="J950" s="89"/>
      <c r="K950" s="303"/>
    </row>
    <row r="951" spans="1:11" ht="15.6">
      <c r="A951" s="300"/>
      <c r="C951" s="301"/>
      <c r="D951" s="302"/>
      <c r="E951" s="302"/>
      <c r="F951" s="89"/>
      <c r="G951" s="89"/>
      <c r="H951" s="89"/>
      <c r="I951" s="89"/>
      <c r="J951" s="89"/>
      <c r="K951" s="303"/>
    </row>
    <row r="952" spans="1:11" ht="15.6">
      <c r="A952" s="300"/>
      <c r="C952" s="301"/>
      <c r="D952" s="302"/>
      <c r="E952" s="302"/>
      <c r="F952" s="89"/>
      <c r="G952" s="89"/>
      <c r="H952" s="89"/>
      <c r="I952" s="89"/>
      <c r="J952" s="89"/>
      <c r="K952" s="303"/>
    </row>
    <row r="953" spans="1:11" ht="15.6">
      <c r="A953" s="300"/>
      <c r="C953" s="301"/>
      <c r="D953" s="302"/>
      <c r="E953" s="302"/>
      <c r="F953" s="89"/>
      <c r="G953" s="89"/>
      <c r="H953" s="89"/>
      <c r="I953" s="89"/>
      <c r="J953" s="89"/>
      <c r="K953" s="303"/>
    </row>
    <row r="954" spans="1:11" ht="15.6">
      <c r="A954" s="300"/>
      <c r="C954" s="301"/>
      <c r="D954" s="302"/>
      <c r="E954" s="302"/>
      <c r="F954" s="89"/>
      <c r="G954" s="89"/>
      <c r="H954" s="89"/>
      <c r="I954" s="89"/>
      <c r="J954" s="89"/>
      <c r="K954" s="303"/>
    </row>
    <row r="955" spans="1:11" ht="15.6">
      <c r="A955" s="300"/>
      <c r="C955" s="301"/>
      <c r="D955" s="302"/>
      <c r="E955" s="302"/>
      <c r="F955" s="89"/>
      <c r="G955" s="89"/>
      <c r="H955" s="89"/>
      <c r="I955" s="89"/>
      <c r="J955" s="89"/>
      <c r="K955" s="303"/>
    </row>
    <row r="956" spans="1:11" ht="15.6">
      <c r="A956" s="300"/>
      <c r="C956" s="301"/>
      <c r="D956" s="302"/>
      <c r="E956" s="302"/>
      <c r="F956" s="89"/>
      <c r="G956" s="89"/>
      <c r="H956" s="89"/>
      <c r="I956" s="89"/>
      <c r="J956" s="89"/>
      <c r="K956" s="303"/>
    </row>
    <row r="957" spans="1:11" ht="15.6">
      <c r="A957" s="300"/>
      <c r="C957" s="301"/>
      <c r="D957" s="302"/>
      <c r="E957" s="302"/>
      <c r="F957" s="89"/>
      <c r="G957" s="89"/>
      <c r="H957" s="89"/>
      <c r="I957" s="89"/>
      <c r="J957" s="89"/>
      <c r="K957" s="303"/>
    </row>
    <row r="958" spans="1:11" ht="15.6">
      <c r="A958" s="300"/>
      <c r="C958" s="301"/>
      <c r="D958" s="302"/>
      <c r="E958" s="302"/>
      <c r="F958" s="89"/>
      <c r="G958" s="89"/>
      <c r="H958" s="89"/>
      <c r="I958" s="89"/>
      <c r="J958" s="89"/>
      <c r="K958" s="303"/>
    </row>
    <row r="959" spans="1:11" ht="15.6">
      <c r="A959" s="300"/>
      <c r="C959" s="301"/>
      <c r="D959" s="302"/>
      <c r="E959" s="302"/>
      <c r="F959" s="89"/>
      <c r="G959" s="89"/>
      <c r="H959" s="89"/>
      <c r="I959" s="89"/>
      <c r="J959" s="89"/>
      <c r="K959" s="303"/>
    </row>
    <row r="960" spans="1:11" ht="15.6">
      <c r="A960" s="300"/>
      <c r="C960" s="301"/>
      <c r="D960" s="302"/>
      <c r="E960" s="302"/>
      <c r="F960" s="89"/>
      <c r="G960" s="89"/>
      <c r="H960" s="89"/>
      <c r="I960" s="89"/>
      <c r="J960" s="89"/>
      <c r="K960" s="303"/>
    </row>
    <row r="961" spans="1:11" ht="15.6">
      <c r="A961" s="300"/>
      <c r="C961" s="301"/>
      <c r="D961" s="302"/>
      <c r="E961" s="302"/>
      <c r="F961" s="89"/>
      <c r="G961" s="89"/>
      <c r="H961" s="89"/>
      <c r="I961" s="89"/>
      <c r="J961" s="89"/>
      <c r="K961" s="303"/>
    </row>
    <row r="962" spans="1:11" ht="15.6">
      <c r="A962" s="300"/>
      <c r="C962" s="301"/>
      <c r="D962" s="302"/>
      <c r="E962" s="302"/>
      <c r="F962" s="89"/>
      <c r="G962" s="89"/>
      <c r="H962" s="89"/>
      <c r="I962" s="89"/>
      <c r="J962" s="89"/>
      <c r="K962" s="303"/>
    </row>
    <row r="963" spans="1:11" ht="15.6">
      <c r="A963" s="300"/>
      <c r="C963" s="301"/>
      <c r="D963" s="302"/>
      <c r="E963" s="302"/>
      <c r="F963" s="89"/>
      <c r="G963" s="89"/>
      <c r="H963" s="89"/>
      <c r="I963" s="89"/>
      <c r="J963" s="89"/>
      <c r="K963" s="303"/>
    </row>
    <row r="964" spans="1:11" ht="15.6">
      <c r="A964" s="300"/>
      <c r="C964" s="301"/>
      <c r="D964" s="302"/>
      <c r="E964" s="302"/>
      <c r="F964" s="89"/>
      <c r="G964" s="89"/>
      <c r="H964" s="89"/>
      <c r="I964" s="89"/>
      <c r="J964" s="89"/>
      <c r="K964" s="303"/>
    </row>
    <row r="965" spans="1:11" ht="15.6">
      <c r="A965" s="300"/>
      <c r="C965" s="301"/>
      <c r="D965" s="302"/>
      <c r="E965" s="302"/>
      <c r="F965" s="89"/>
      <c r="G965" s="89"/>
      <c r="H965" s="89"/>
      <c r="I965" s="89"/>
      <c r="J965" s="89"/>
      <c r="K965" s="303"/>
    </row>
    <row r="966" spans="1:11" ht="15.6">
      <c r="A966" s="300"/>
      <c r="C966" s="301"/>
      <c r="D966" s="302"/>
      <c r="E966" s="302"/>
      <c r="F966" s="89"/>
      <c r="G966" s="89"/>
      <c r="H966" s="89"/>
      <c r="I966" s="89"/>
      <c r="J966" s="89"/>
      <c r="K966" s="303"/>
    </row>
    <row r="967" spans="1:11" ht="15.6">
      <c r="A967" s="300"/>
      <c r="C967" s="301"/>
      <c r="D967" s="302"/>
      <c r="E967" s="302"/>
      <c r="F967" s="89"/>
      <c r="G967" s="89"/>
      <c r="H967" s="89"/>
      <c r="I967" s="89"/>
      <c r="J967" s="89"/>
      <c r="K967" s="303"/>
    </row>
    <row r="968" spans="1:11" ht="15.6">
      <c r="A968" s="300"/>
      <c r="C968" s="301"/>
      <c r="D968" s="302"/>
      <c r="E968" s="302"/>
      <c r="F968" s="89"/>
      <c r="G968" s="89"/>
      <c r="H968" s="89"/>
      <c r="I968" s="89"/>
      <c r="J968" s="89"/>
      <c r="K968" s="303"/>
    </row>
    <row r="969" spans="1:11" ht="15.6">
      <c r="A969" s="300"/>
      <c r="C969" s="301"/>
      <c r="D969" s="302"/>
      <c r="E969" s="302"/>
      <c r="F969" s="89"/>
      <c r="G969" s="89"/>
      <c r="H969" s="89"/>
      <c r="I969" s="89"/>
      <c r="J969" s="89"/>
      <c r="K969" s="303"/>
    </row>
    <row r="970" spans="1:11" ht="15.6">
      <c r="A970" s="300"/>
      <c r="C970" s="301"/>
      <c r="D970" s="302"/>
      <c r="E970" s="302"/>
      <c r="F970" s="89"/>
      <c r="G970" s="89"/>
      <c r="H970" s="89"/>
      <c r="I970" s="89"/>
      <c r="J970" s="89"/>
      <c r="K970" s="303"/>
    </row>
    <row r="971" spans="1:11" ht="15.6">
      <c r="A971" s="300"/>
      <c r="C971" s="301"/>
      <c r="D971" s="302"/>
      <c r="E971" s="302"/>
      <c r="F971" s="89"/>
      <c r="G971" s="89"/>
      <c r="H971" s="89"/>
      <c r="I971" s="89"/>
      <c r="J971" s="89"/>
      <c r="K971" s="303"/>
    </row>
    <row r="972" spans="1:11" ht="15.6">
      <c r="A972" s="300"/>
      <c r="C972" s="301"/>
      <c r="D972" s="302"/>
      <c r="E972" s="302"/>
      <c r="F972" s="89"/>
      <c r="G972" s="89"/>
      <c r="H972" s="89"/>
      <c r="I972" s="89"/>
      <c r="J972" s="89"/>
      <c r="K972" s="303"/>
    </row>
    <row r="973" spans="1:11" ht="15.6">
      <c r="A973" s="300"/>
      <c r="C973" s="301"/>
      <c r="D973" s="302"/>
      <c r="E973" s="302"/>
      <c r="F973" s="89"/>
      <c r="G973" s="89"/>
      <c r="H973" s="89"/>
      <c r="I973" s="89"/>
      <c r="J973" s="89"/>
      <c r="K973" s="303"/>
    </row>
    <row r="974" spans="1:11" ht="15.6">
      <c r="A974" s="300"/>
      <c r="C974" s="301"/>
      <c r="D974" s="302"/>
      <c r="E974" s="302"/>
      <c r="F974" s="89"/>
      <c r="G974" s="89"/>
      <c r="H974" s="89"/>
      <c r="I974" s="89"/>
      <c r="J974" s="89"/>
      <c r="K974" s="303"/>
    </row>
    <row r="975" spans="1:11" ht="15.6">
      <c r="A975" s="300"/>
      <c r="C975" s="301"/>
      <c r="D975" s="302"/>
      <c r="E975" s="302"/>
      <c r="F975" s="89"/>
      <c r="G975" s="89"/>
      <c r="H975" s="89"/>
      <c r="I975" s="89"/>
      <c r="J975" s="89"/>
      <c r="K975" s="303"/>
    </row>
    <row r="976" spans="1:11" ht="15.6">
      <c r="A976" s="300"/>
      <c r="C976" s="301"/>
      <c r="D976" s="302"/>
      <c r="E976" s="302"/>
      <c r="F976" s="89"/>
      <c r="G976" s="89"/>
      <c r="H976" s="89"/>
      <c r="I976" s="89"/>
      <c r="J976" s="89"/>
      <c r="K976" s="303"/>
    </row>
    <row r="977" spans="1:11" ht="15.6">
      <c r="A977" s="300"/>
      <c r="C977" s="301"/>
      <c r="D977" s="302"/>
      <c r="E977" s="302"/>
      <c r="F977" s="89"/>
      <c r="G977" s="89"/>
      <c r="H977" s="89"/>
      <c r="I977" s="89"/>
      <c r="J977" s="89"/>
      <c r="K977" s="303"/>
    </row>
    <row r="978" spans="1:11" ht="15.6">
      <c r="A978" s="300"/>
      <c r="C978" s="301"/>
      <c r="D978" s="302"/>
      <c r="E978" s="302"/>
      <c r="F978" s="89"/>
      <c r="G978" s="89"/>
      <c r="H978" s="89"/>
      <c r="I978" s="89"/>
      <c r="J978" s="89"/>
      <c r="K978" s="303"/>
    </row>
    <row r="979" spans="1:11" ht="15.6">
      <c r="A979" s="300"/>
      <c r="C979" s="301"/>
      <c r="D979" s="302"/>
      <c r="E979" s="302"/>
      <c r="F979" s="89"/>
      <c r="G979" s="89"/>
      <c r="H979" s="89"/>
      <c r="I979" s="89"/>
      <c r="J979" s="89"/>
      <c r="K979" s="303"/>
    </row>
    <row r="980" spans="1:11" ht="15.6">
      <c r="A980" s="300"/>
      <c r="C980" s="301"/>
      <c r="D980" s="302"/>
      <c r="E980" s="302"/>
      <c r="F980" s="89"/>
      <c r="G980" s="89"/>
      <c r="H980" s="89"/>
      <c r="I980" s="89"/>
      <c r="J980" s="89"/>
      <c r="K980" s="303"/>
    </row>
    <row r="981" spans="1:11" ht="15.6">
      <c r="A981" s="300"/>
      <c r="C981" s="301"/>
      <c r="D981" s="302"/>
      <c r="E981" s="302"/>
      <c r="F981" s="89"/>
      <c r="G981" s="89"/>
      <c r="H981" s="89"/>
      <c r="I981" s="89"/>
      <c r="J981" s="89"/>
      <c r="K981" s="303"/>
    </row>
    <row r="982" spans="1:11" ht="15.6">
      <c r="A982" s="300"/>
      <c r="C982" s="301"/>
      <c r="D982" s="302"/>
      <c r="E982" s="302"/>
      <c r="F982" s="89"/>
      <c r="G982" s="89"/>
      <c r="H982" s="89"/>
      <c r="I982" s="89"/>
      <c r="J982" s="89"/>
      <c r="K982" s="303"/>
    </row>
    <row r="983" spans="1:11" ht="15.6">
      <c r="A983" s="300"/>
      <c r="C983" s="301"/>
      <c r="D983" s="302"/>
      <c r="E983" s="302"/>
      <c r="F983" s="89"/>
      <c r="G983" s="89"/>
      <c r="H983" s="89"/>
      <c r="I983" s="89"/>
      <c r="J983" s="89"/>
      <c r="K983" s="303"/>
    </row>
    <row r="984" spans="1:11" ht="15.6">
      <c r="A984" s="300"/>
      <c r="C984" s="301"/>
      <c r="D984" s="302"/>
      <c r="E984" s="302"/>
      <c r="F984" s="89"/>
      <c r="G984" s="89"/>
      <c r="H984" s="89"/>
      <c r="I984" s="89"/>
      <c r="J984" s="89"/>
      <c r="K984" s="303"/>
    </row>
    <row r="985" spans="1:11" ht="15.6">
      <c r="A985" s="300"/>
      <c r="C985" s="301"/>
      <c r="D985" s="302"/>
      <c r="E985" s="302"/>
      <c r="F985" s="89"/>
      <c r="G985" s="89"/>
      <c r="H985" s="89"/>
      <c r="I985" s="89"/>
      <c r="J985" s="89"/>
      <c r="K985" s="303"/>
    </row>
    <row r="986" spans="1:11" ht="15.6">
      <c r="A986" s="300"/>
      <c r="C986" s="301"/>
      <c r="D986" s="302"/>
      <c r="E986" s="302"/>
      <c r="F986" s="89"/>
      <c r="G986" s="89"/>
      <c r="H986" s="89"/>
      <c r="I986" s="89"/>
      <c r="J986" s="89"/>
      <c r="K986" s="303"/>
    </row>
    <row r="987" spans="1:11" ht="15.6">
      <c r="A987" s="300"/>
      <c r="C987" s="301"/>
      <c r="D987" s="302"/>
      <c r="E987" s="302"/>
      <c r="F987" s="89"/>
      <c r="G987" s="89"/>
      <c r="H987" s="89"/>
      <c r="I987" s="89"/>
      <c r="J987" s="89"/>
      <c r="K987" s="303"/>
    </row>
    <row r="988" spans="1:11" ht="15.6">
      <c r="A988" s="300"/>
      <c r="C988" s="301"/>
      <c r="D988" s="302"/>
      <c r="E988" s="302"/>
      <c r="F988" s="89"/>
      <c r="G988" s="89"/>
      <c r="H988" s="89"/>
      <c r="I988" s="89"/>
      <c r="J988" s="89"/>
      <c r="K988" s="303"/>
    </row>
    <row r="989" spans="1:11" ht="15.6">
      <c r="A989" s="300"/>
      <c r="C989" s="301"/>
      <c r="D989" s="302"/>
      <c r="E989" s="302"/>
      <c r="F989" s="89"/>
      <c r="G989" s="89"/>
      <c r="H989" s="89"/>
      <c r="I989" s="89"/>
      <c r="J989" s="89"/>
      <c r="K989" s="303"/>
    </row>
    <row r="990" spans="1:11" ht="15.6">
      <c r="A990" s="300"/>
      <c r="C990" s="301"/>
      <c r="D990" s="302"/>
      <c r="E990" s="302"/>
      <c r="F990" s="89"/>
      <c r="G990" s="89"/>
      <c r="H990" s="89"/>
      <c r="I990" s="89"/>
      <c r="J990" s="89"/>
      <c r="K990" s="303"/>
    </row>
    <row r="991" spans="1:11" ht="15.6">
      <c r="A991" s="300"/>
      <c r="C991" s="301"/>
      <c r="D991" s="302"/>
      <c r="E991" s="302"/>
      <c r="F991" s="89"/>
      <c r="G991" s="89"/>
      <c r="H991" s="89"/>
      <c r="I991" s="89"/>
      <c r="J991" s="89"/>
      <c r="K991" s="303"/>
    </row>
    <row r="992" spans="1:11" ht="15.6">
      <c r="A992" s="300"/>
      <c r="C992" s="301"/>
      <c r="D992" s="302"/>
      <c r="E992" s="302"/>
      <c r="F992" s="89"/>
      <c r="G992" s="89"/>
      <c r="H992" s="89"/>
      <c r="I992" s="89"/>
      <c r="J992" s="89"/>
      <c r="K992" s="303"/>
    </row>
    <row r="993" spans="1:11" ht="15.6">
      <c r="A993" s="300"/>
      <c r="C993" s="301"/>
      <c r="D993" s="302"/>
      <c r="E993" s="302"/>
      <c r="F993" s="89"/>
      <c r="G993" s="89"/>
      <c r="H993" s="89"/>
      <c r="I993" s="89"/>
      <c r="J993" s="89"/>
      <c r="K993" s="303"/>
    </row>
    <row r="994" spans="1:11" ht="15.6">
      <c r="A994" s="300"/>
      <c r="C994" s="301"/>
      <c r="D994" s="302"/>
      <c r="E994" s="302"/>
      <c r="F994" s="89"/>
      <c r="G994" s="89"/>
      <c r="H994" s="89"/>
      <c r="I994" s="89"/>
      <c r="J994" s="89"/>
      <c r="K994" s="303"/>
    </row>
    <row r="995" spans="1:11" ht="15.6">
      <c r="A995" s="300"/>
      <c r="C995" s="301"/>
      <c r="D995" s="302"/>
      <c r="E995" s="302"/>
      <c r="F995" s="89"/>
      <c r="G995" s="89"/>
      <c r="H995" s="89"/>
      <c r="I995" s="89"/>
      <c r="J995" s="89"/>
      <c r="K995" s="303"/>
    </row>
    <row r="996" spans="1:11" ht="15.6">
      <c r="A996" s="300"/>
      <c r="C996" s="301"/>
      <c r="D996" s="302"/>
      <c r="E996" s="302"/>
      <c r="F996" s="89"/>
      <c r="G996" s="89"/>
      <c r="H996" s="89"/>
      <c r="I996" s="89"/>
      <c r="J996" s="89"/>
      <c r="K996" s="303"/>
    </row>
    <row r="997" spans="1:11" ht="15.6">
      <c r="A997" s="300"/>
      <c r="C997" s="301"/>
      <c r="D997" s="302"/>
      <c r="E997" s="302"/>
      <c r="F997" s="89"/>
      <c r="G997" s="89"/>
      <c r="H997" s="89"/>
      <c r="I997" s="89"/>
      <c r="J997" s="89"/>
      <c r="K997" s="303"/>
    </row>
    <row r="998" spans="1:11" ht="15.6">
      <c r="A998" s="300"/>
      <c r="C998" s="301"/>
      <c r="D998" s="302"/>
      <c r="E998" s="302"/>
      <c r="F998" s="89"/>
      <c r="G998" s="89"/>
      <c r="H998" s="89"/>
      <c r="I998" s="89"/>
      <c r="J998" s="89"/>
      <c r="K998" s="303"/>
    </row>
  </sheetData>
  <autoFilter ref="B10:P67" xr:uid="{00000000-0009-0000-0000-00001A000000}"/>
  <mergeCells count="3">
    <mergeCell ref="G6:L7"/>
    <mergeCell ref="E9:H9"/>
    <mergeCell ref="K9:O9"/>
  </mergeCells>
  <printOptions horizontalCentered="1"/>
  <pageMargins left="0.7" right="0.7" top="0.75" bottom="0.75" header="0" footer="0"/>
  <pageSetup paperSize="9" pageOrder="overThenDown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Q132"/>
  <sheetViews>
    <sheetView workbookViewId="0">
      <pane ySplit="7" topLeftCell="A8" activePane="bottomLeft" state="frozen"/>
      <selection pane="bottomLeft" activeCell="B9" sqref="B9"/>
    </sheetView>
  </sheetViews>
  <sheetFormatPr defaultColWidth="14.44140625" defaultRowHeight="15" customHeight="1"/>
  <cols>
    <col min="1" max="1" width="4.6640625" customWidth="1"/>
    <col min="2" max="2" width="30.109375" customWidth="1"/>
    <col min="3" max="3" width="39.6640625" hidden="1" customWidth="1"/>
    <col min="4" max="4" width="17.88671875" customWidth="1"/>
    <col min="5" max="5" width="54.44140625" customWidth="1"/>
    <col min="6" max="6" width="17.44140625" customWidth="1"/>
    <col min="7" max="7" width="27.33203125" customWidth="1"/>
    <col min="8" max="8" width="15.44140625" customWidth="1"/>
    <col min="9" max="9" width="15.44140625" hidden="1" customWidth="1"/>
    <col min="10" max="10" width="42.6640625" hidden="1" customWidth="1"/>
    <col min="11" max="11" width="13.5546875" hidden="1" customWidth="1"/>
    <col min="12" max="12" width="20.33203125" hidden="1" customWidth="1"/>
    <col min="13" max="13" width="13.6640625" hidden="1" customWidth="1"/>
    <col min="14" max="14" width="17" hidden="1" customWidth="1"/>
    <col min="15" max="15" width="20.88671875" hidden="1" customWidth="1"/>
    <col min="16" max="16" width="36.5546875" hidden="1" customWidth="1"/>
    <col min="17" max="17" width="35.6640625" hidden="1" customWidth="1"/>
  </cols>
  <sheetData>
    <row r="1" spans="1:17" ht="23.4">
      <c r="A1" s="678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</row>
    <row r="2" spans="1:17" ht="23.4">
      <c r="A2" s="678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</row>
    <row r="3" spans="1:17" ht="23.4">
      <c r="A3" s="678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</row>
    <row r="4" spans="1:17" ht="33">
      <c r="A4" s="203"/>
      <c r="B4" s="710" t="s">
        <v>539</v>
      </c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</row>
    <row r="5" spans="1:17" ht="14.4">
      <c r="A5" s="680"/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</row>
    <row r="6" spans="1:17" ht="18.600000000000001">
      <c r="A6" s="666"/>
      <c r="B6" s="666" t="s">
        <v>41</v>
      </c>
      <c r="C6" s="666" t="s">
        <v>648</v>
      </c>
      <c r="D6" s="665" t="s">
        <v>649</v>
      </c>
      <c r="E6" s="665" t="s">
        <v>650</v>
      </c>
      <c r="F6" s="667" t="s">
        <v>44</v>
      </c>
      <c r="G6" s="656"/>
      <c r="H6" s="657"/>
      <c r="I6" s="205"/>
      <c r="J6" s="205"/>
      <c r="K6" s="665" t="s">
        <v>45</v>
      </c>
      <c r="L6" s="668" t="s">
        <v>46</v>
      </c>
      <c r="M6" s="665" t="s">
        <v>540</v>
      </c>
      <c r="N6" s="645" t="s">
        <v>42</v>
      </c>
      <c r="O6" s="654" t="s">
        <v>651</v>
      </c>
      <c r="P6" s="664" t="s">
        <v>652</v>
      </c>
      <c r="Q6" s="665" t="s">
        <v>653</v>
      </c>
    </row>
    <row r="7" spans="1:17" ht="18.600000000000001">
      <c r="A7" s="646"/>
      <c r="B7" s="646"/>
      <c r="C7" s="646"/>
      <c r="D7" s="646"/>
      <c r="E7" s="646"/>
      <c r="F7" s="206" t="s">
        <v>654</v>
      </c>
      <c r="G7" s="330" t="s">
        <v>655</v>
      </c>
      <c r="H7" s="206" t="s">
        <v>656</v>
      </c>
      <c r="I7" s="206"/>
      <c r="J7" s="206"/>
      <c r="K7" s="646"/>
      <c r="L7" s="646"/>
      <c r="M7" s="646"/>
      <c r="N7" s="646"/>
      <c r="O7" s="646"/>
      <c r="P7" s="646"/>
      <c r="Q7" s="646"/>
    </row>
    <row r="8" spans="1:17" ht="18.600000000000001">
      <c r="A8" s="709" t="s">
        <v>657</v>
      </c>
      <c r="B8" s="656"/>
      <c r="C8" s="656"/>
      <c r="D8" s="656"/>
      <c r="E8" s="656"/>
      <c r="F8" s="656"/>
      <c r="G8" s="656"/>
      <c r="H8" s="656"/>
      <c r="I8" s="656"/>
      <c r="J8" s="656"/>
      <c r="K8" s="656"/>
      <c r="L8" s="656"/>
      <c r="M8" s="656"/>
      <c r="N8" s="656"/>
      <c r="O8" s="656"/>
      <c r="P8" s="656"/>
      <c r="Q8" s="657"/>
    </row>
    <row r="9" spans="1:17" ht="18.600000000000001">
      <c r="A9" s="709" t="s">
        <v>658</v>
      </c>
      <c r="B9" s="656"/>
      <c r="C9" s="656"/>
      <c r="D9" s="656"/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7"/>
    </row>
    <row r="10" spans="1:17" ht="15.75" customHeight="1">
      <c r="A10" s="707" t="s">
        <v>659</v>
      </c>
      <c r="B10" s="656"/>
      <c r="C10" s="656"/>
      <c r="D10" s="656"/>
      <c r="E10" s="656"/>
      <c r="F10" s="656"/>
      <c r="G10" s="656"/>
      <c r="H10" s="657"/>
      <c r="I10" s="23"/>
      <c r="J10" s="23"/>
      <c r="K10" s="28"/>
      <c r="L10" s="207"/>
      <c r="M10" s="28"/>
      <c r="N10" s="35"/>
      <c r="O10" s="35"/>
      <c r="P10" s="26"/>
      <c r="Q10" s="27"/>
    </row>
    <row r="11" spans="1:17" ht="15.75" customHeight="1">
      <c r="A11" s="230">
        <v>1</v>
      </c>
      <c r="B11" s="20" t="s">
        <v>119</v>
      </c>
      <c r="C11" s="20"/>
      <c r="D11" s="23"/>
      <c r="E11" s="23"/>
      <c r="F11" s="23" t="s">
        <v>123</v>
      </c>
      <c r="G11" s="5" t="s">
        <v>122</v>
      </c>
      <c r="H11" s="23" t="s">
        <v>786</v>
      </c>
      <c r="I11" s="208"/>
      <c r="J11" s="208"/>
      <c r="K11" s="209"/>
      <c r="L11" s="210"/>
      <c r="M11" s="211"/>
      <c r="N11" s="212"/>
      <c r="O11" s="212"/>
      <c r="P11" s="213"/>
      <c r="Q11" s="214"/>
    </row>
    <row r="12" spans="1:17" ht="15.75" customHeight="1">
      <c r="A12" s="230">
        <v>2</v>
      </c>
      <c r="B12" s="20" t="s">
        <v>178</v>
      </c>
      <c r="C12" s="238"/>
      <c r="D12" s="46" t="s">
        <v>683</v>
      </c>
      <c r="E12" s="237"/>
      <c r="F12" s="46" t="s">
        <v>216</v>
      </c>
      <c r="G12" s="333" t="s">
        <v>217</v>
      </c>
      <c r="H12" s="46" t="s">
        <v>184</v>
      </c>
      <c r="I12" s="46"/>
      <c r="J12" s="46"/>
      <c r="K12" s="24"/>
      <c r="L12" s="207"/>
      <c r="M12" s="215"/>
      <c r="N12" s="35"/>
      <c r="O12" s="35"/>
      <c r="P12" s="26"/>
      <c r="Q12" s="27"/>
    </row>
    <row r="13" spans="1:17" ht="15.75" customHeight="1">
      <c r="A13" s="230">
        <v>3</v>
      </c>
      <c r="B13" s="20" t="s">
        <v>97</v>
      </c>
      <c r="C13" s="20"/>
      <c r="D13" s="23"/>
      <c r="E13" s="23"/>
      <c r="F13" s="23" t="s">
        <v>99</v>
      </c>
      <c r="G13" s="5" t="s">
        <v>100</v>
      </c>
      <c r="H13" s="23" t="s">
        <v>101</v>
      </c>
      <c r="I13" s="208"/>
      <c r="J13" s="208"/>
      <c r="K13" s="209"/>
      <c r="L13" s="210"/>
      <c r="M13" s="211"/>
      <c r="N13" s="212"/>
      <c r="O13" s="212"/>
      <c r="P13" s="213"/>
      <c r="Q13" s="214"/>
    </row>
    <row r="14" spans="1:17" ht="15.75" customHeight="1">
      <c r="A14" s="230">
        <v>4</v>
      </c>
      <c r="B14" s="20" t="s">
        <v>189</v>
      </c>
      <c r="C14" s="20" t="s">
        <v>814</v>
      </c>
      <c r="D14" s="23" t="s">
        <v>675</v>
      </c>
      <c r="E14" s="237" t="s">
        <v>676</v>
      </c>
      <c r="F14" s="23" t="s">
        <v>195</v>
      </c>
      <c r="G14" s="5" t="s">
        <v>196</v>
      </c>
      <c r="H14" s="23" t="s">
        <v>197</v>
      </c>
      <c r="I14" s="23"/>
      <c r="J14" s="23"/>
      <c r="K14" s="28" t="s">
        <v>85</v>
      </c>
      <c r="L14" s="207">
        <v>27966</v>
      </c>
      <c r="M14" s="28" t="s">
        <v>58</v>
      </c>
      <c r="N14" s="35" t="s">
        <v>190</v>
      </c>
      <c r="O14" s="35" t="s">
        <v>665</v>
      </c>
      <c r="P14" s="60" t="s">
        <v>666</v>
      </c>
      <c r="Q14" s="27" t="s">
        <v>5</v>
      </c>
    </row>
    <row r="15" spans="1:17" ht="15.75" customHeight="1">
      <c r="A15" s="230">
        <v>5</v>
      </c>
      <c r="B15" s="238" t="s">
        <v>682</v>
      </c>
      <c r="C15" s="238" t="s">
        <v>229</v>
      </c>
      <c r="D15" s="46" t="s">
        <v>683</v>
      </c>
      <c r="E15" s="237" t="s">
        <v>684</v>
      </c>
      <c r="F15" s="46" t="s">
        <v>225</v>
      </c>
      <c r="G15" s="333" t="s">
        <v>226</v>
      </c>
      <c r="H15" s="46" t="s">
        <v>227</v>
      </c>
      <c r="I15" s="46"/>
      <c r="J15" s="46"/>
      <c r="K15" s="24" t="s">
        <v>85</v>
      </c>
      <c r="L15" s="207">
        <v>25882</v>
      </c>
      <c r="M15" s="215" t="s">
        <v>58</v>
      </c>
      <c r="N15" s="35" t="s">
        <v>221</v>
      </c>
      <c r="O15" s="35" t="s">
        <v>669</v>
      </c>
      <c r="P15" s="26" t="s">
        <v>670</v>
      </c>
      <c r="Q15" s="27" t="s">
        <v>2</v>
      </c>
    </row>
    <row r="16" spans="1:17" ht="15.75" customHeight="1">
      <c r="A16" s="230">
        <v>6</v>
      </c>
      <c r="B16" s="20" t="s">
        <v>151</v>
      </c>
      <c r="C16" s="20" t="s">
        <v>156</v>
      </c>
      <c r="D16" s="240" t="s">
        <v>667</v>
      </c>
      <c r="E16" s="241" t="s">
        <v>668</v>
      </c>
      <c r="F16" s="23" t="s">
        <v>153</v>
      </c>
      <c r="G16" s="5" t="s">
        <v>154</v>
      </c>
      <c r="H16" s="23" t="s">
        <v>155</v>
      </c>
      <c r="I16" s="23"/>
      <c r="J16" s="23"/>
      <c r="K16" s="28" t="s">
        <v>85</v>
      </c>
      <c r="L16" s="207">
        <v>26146</v>
      </c>
      <c r="M16" s="28" t="s">
        <v>58</v>
      </c>
      <c r="N16" s="35" t="s">
        <v>152</v>
      </c>
      <c r="O16" s="35" t="s">
        <v>673</v>
      </c>
      <c r="P16" s="60" t="s">
        <v>674</v>
      </c>
      <c r="Q16" s="27" t="s">
        <v>8</v>
      </c>
    </row>
    <row r="17" spans="1:17" ht="15.75" customHeight="1">
      <c r="A17" s="230">
        <v>7</v>
      </c>
      <c r="B17" s="20" t="s">
        <v>151</v>
      </c>
      <c r="C17" s="20" t="s">
        <v>166</v>
      </c>
      <c r="D17" s="240" t="s">
        <v>671</v>
      </c>
      <c r="E17" s="23" t="s">
        <v>672</v>
      </c>
      <c r="F17" s="23" t="s">
        <v>153</v>
      </c>
      <c r="G17" s="5" t="s">
        <v>167</v>
      </c>
      <c r="H17" s="23" t="s">
        <v>155</v>
      </c>
      <c r="I17" s="23"/>
      <c r="J17" s="23"/>
      <c r="K17" s="28" t="s">
        <v>85</v>
      </c>
      <c r="L17" s="207">
        <v>23689</v>
      </c>
      <c r="M17" s="28" t="s">
        <v>58</v>
      </c>
      <c r="N17" s="35" t="s">
        <v>162</v>
      </c>
      <c r="O17" s="35" t="s">
        <v>677</v>
      </c>
      <c r="P17" s="60" t="s">
        <v>678</v>
      </c>
      <c r="Q17" s="27" t="s">
        <v>9</v>
      </c>
    </row>
    <row r="18" spans="1:17" ht="15.75" customHeight="1">
      <c r="A18" s="230">
        <v>8</v>
      </c>
      <c r="B18" s="20" t="s">
        <v>178</v>
      </c>
      <c r="C18" s="20" t="s">
        <v>206</v>
      </c>
      <c r="D18" s="23" t="s">
        <v>679</v>
      </c>
      <c r="E18" s="237" t="s">
        <v>680</v>
      </c>
      <c r="F18" s="23" t="s">
        <v>203</v>
      </c>
      <c r="G18" s="5" t="s">
        <v>204</v>
      </c>
      <c r="H18" s="23" t="s">
        <v>205</v>
      </c>
      <c r="I18" s="23"/>
      <c r="J18" s="23"/>
      <c r="K18" s="28" t="s">
        <v>85</v>
      </c>
      <c r="L18" s="207">
        <v>26844</v>
      </c>
      <c r="M18" s="28" t="s">
        <v>58</v>
      </c>
      <c r="N18" s="35" t="s">
        <v>190</v>
      </c>
      <c r="O18" s="35" t="s">
        <v>665</v>
      </c>
      <c r="P18" s="60" t="s">
        <v>681</v>
      </c>
      <c r="Q18" s="27" t="s">
        <v>12</v>
      </c>
    </row>
    <row r="19" spans="1:17" ht="15.75" customHeight="1">
      <c r="A19" s="230">
        <v>9</v>
      </c>
      <c r="B19" s="242" t="s">
        <v>686</v>
      </c>
      <c r="C19" s="20" t="s">
        <v>224</v>
      </c>
      <c r="D19" s="23" t="s">
        <v>683</v>
      </c>
      <c r="E19" s="237" t="s">
        <v>687</v>
      </c>
      <c r="F19" s="23" t="s">
        <v>63</v>
      </c>
      <c r="G19" s="5" t="s">
        <v>222</v>
      </c>
      <c r="H19" s="23" t="s">
        <v>223</v>
      </c>
      <c r="I19" s="23"/>
      <c r="J19" s="23"/>
      <c r="K19" s="28" t="s">
        <v>85</v>
      </c>
      <c r="L19" s="216">
        <v>25047</v>
      </c>
      <c r="M19" s="28" t="s">
        <v>58</v>
      </c>
      <c r="N19" s="35" t="s">
        <v>221</v>
      </c>
      <c r="O19" s="35" t="s">
        <v>669</v>
      </c>
      <c r="P19" s="26" t="s">
        <v>685</v>
      </c>
      <c r="Q19" s="27" t="s">
        <v>1</v>
      </c>
    </row>
    <row r="20" spans="1:17" ht="15.75" customHeight="1">
      <c r="A20" s="230">
        <v>10</v>
      </c>
      <c r="B20" s="20" t="s">
        <v>74</v>
      </c>
      <c r="C20" s="20" t="s">
        <v>118</v>
      </c>
      <c r="D20" s="23" t="s">
        <v>658</v>
      </c>
      <c r="E20" s="23" t="s">
        <v>660</v>
      </c>
      <c r="F20" s="23" t="s">
        <v>75</v>
      </c>
      <c r="G20" s="5" t="s">
        <v>76</v>
      </c>
      <c r="H20" s="23" t="s">
        <v>77</v>
      </c>
      <c r="I20" s="208"/>
      <c r="J20" s="208"/>
      <c r="K20" s="209"/>
      <c r="L20" s="210"/>
      <c r="M20" s="211"/>
      <c r="N20" s="212"/>
      <c r="O20" s="212"/>
      <c r="P20" s="213"/>
      <c r="Q20" s="214"/>
    </row>
    <row r="21" spans="1:17" ht="15.75" customHeight="1">
      <c r="A21" s="707" t="s">
        <v>688</v>
      </c>
      <c r="B21" s="656"/>
      <c r="C21" s="656"/>
      <c r="D21" s="656"/>
      <c r="E21" s="656"/>
      <c r="F21" s="656"/>
      <c r="G21" s="656"/>
      <c r="H21" s="657"/>
      <c r="I21" s="208"/>
      <c r="J21" s="208"/>
      <c r="K21" s="209"/>
      <c r="L21" s="210"/>
      <c r="M21" s="211"/>
      <c r="N21" s="212"/>
      <c r="O21" s="212"/>
      <c r="P21" s="213"/>
      <c r="Q21" s="214"/>
    </row>
    <row r="22" spans="1:17" ht="18.600000000000001">
      <c r="A22" s="230">
        <v>11</v>
      </c>
      <c r="B22" s="214" t="s">
        <v>724</v>
      </c>
      <c r="C22" s="334"/>
      <c r="D22" s="214" t="s">
        <v>299</v>
      </c>
      <c r="E22" s="214" t="s">
        <v>890</v>
      </c>
      <c r="F22" s="214" t="s">
        <v>128</v>
      </c>
      <c r="G22" s="214" t="s">
        <v>129</v>
      </c>
      <c r="H22" s="214" t="s">
        <v>130</v>
      </c>
      <c r="I22" s="214"/>
      <c r="J22" s="214"/>
      <c r="K22" s="334"/>
      <c r="L22" s="335"/>
      <c r="M22" s="249" t="s">
        <v>691</v>
      </c>
      <c r="N22" s="249" t="s">
        <v>718</v>
      </c>
      <c r="O22" s="336">
        <v>42116.4</v>
      </c>
      <c r="P22" s="337"/>
      <c r="Q22" s="334"/>
    </row>
    <row r="23" spans="1:17" ht="18.600000000000001">
      <c r="A23" s="230">
        <v>12</v>
      </c>
      <c r="B23" s="338" t="s">
        <v>730</v>
      </c>
      <c r="C23" s="339"/>
      <c r="D23" s="340" t="s">
        <v>272</v>
      </c>
      <c r="E23" s="341" t="s">
        <v>690</v>
      </c>
      <c r="F23" s="340" t="s">
        <v>336</v>
      </c>
      <c r="G23" s="340" t="s">
        <v>381</v>
      </c>
      <c r="H23" s="340" t="s">
        <v>382</v>
      </c>
      <c r="I23" s="340"/>
      <c r="J23" s="340"/>
      <c r="K23" s="339"/>
      <c r="L23" s="342"/>
      <c r="M23" s="343" t="s">
        <v>691</v>
      </c>
      <c r="N23" s="344">
        <v>11</v>
      </c>
      <c r="O23" s="345" t="s">
        <v>692</v>
      </c>
      <c r="P23" s="346"/>
      <c r="Q23" s="339"/>
    </row>
    <row r="24" spans="1:17" ht="15.75" customHeight="1">
      <c r="A24" s="230">
        <v>13</v>
      </c>
      <c r="B24" s="27" t="s">
        <v>754</v>
      </c>
      <c r="C24" s="347">
        <v>14</v>
      </c>
      <c r="D24" s="27" t="s">
        <v>299</v>
      </c>
      <c r="E24" s="315" t="s">
        <v>891</v>
      </c>
      <c r="F24" s="27" t="s">
        <v>134</v>
      </c>
      <c r="G24" s="34" t="s">
        <v>135</v>
      </c>
      <c r="H24" s="27" t="s">
        <v>136</v>
      </c>
      <c r="I24" s="27"/>
      <c r="J24" s="27" t="str">
        <f>CONCATENATE(F24, ", ", G24, " ", H24)</f>
        <v>BUENO, CHRISTINE JOYCE VILLALUZ</v>
      </c>
      <c r="K24" s="19" t="s">
        <v>700</v>
      </c>
      <c r="L24" s="27"/>
      <c r="M24" s="19" t="s">
        <v>691</v>
      </c>
      <c r="N24" s="324" t="s">
        <v>701</v>
      </c>
      <c r="O24" s="52">
        <v>22316</v>
      </c>
      <c r="P24" s="182">
        <v>25439</v>
      </c>
      <c r="Q24" s="52">
        <f>P24*20%</f>
        <v>5087.8</v>
      </c>
    </row>
    <row r="25" spans="1:17" ht="18.600000000000001">
      <c r="A25" s="230">
        <v>14</v>
      </c>
      <c r="B25" s="341" t="s">
        <v>754</v>
      </c>
      <c r="C25" s="339"/>
      <c r="D25" s="341" t="s">
        <v>379</v>
      </c>
      <c r="E25" s="341" t="s">
        <v>690</v>
      </c>
      <c r="F25" s="341" t="s">
        <v>101</v>
      </c>
      <c r="G25" s="341" t="s">
        <v>304</v>
      </c>
      <c r="H25" s="341" t="s">
        <v>305</v>
      </c>
      <c r="I25" s="341"/>
      <c r="J25" s="341"/>
      <c r="K25" s="343"/>
      <c r="L25" s="339"/>
      <c r="M25" s="343"/>
      <c r="N25" s="348"/>
      <c r="O25" s="349"/>
      <c r="P25" s="346"/>
      <c r="Q25" s="339"/>
    </row>
    <row r="26" spans="1:17" ht="18.600000000000001">
      <c r="A26" s="230">
        <v>15</v>
      </c>
      <c r="B26" s="321" t="s">
        <v>860</v>
      </c>
      <c r="C26" s="20"/>
      <c r="D26" s="319" t="s">
        <v>272</v>
      </c>
      <c r="E26" s="27" t="s">
        <v>698</v>
      </c>
      <c r="F26" s="319" t="s">
        <v>61</v>
      </c>
      <c r="G26" s="319" t="s">
        <v>269</v>
      </c>
      <c r="H26" s="341" t="s">
        <v>270</v>
      </c>
      <c r="I26" s="341"/>
      <c r="J26" s="341"/>
      <c r="K26" s="343"/>
      <c r="L26" s="339"/>
      <c r="M26" s="343"/>
      <c r="N26" s="348"/>
      <c r="O26" s="349"/>
      <c r="P26" s="346"/>
      <c r="Q26" s="339"/>
    </row>
    <row r="27" spans="1:17" ht="18.600000000000001">
      <c r="A27" s="230">
        <v>16</v>
      </c>
      <c r="B27" s="27" t="s">
        <v>754</v>
      </c>
      <c r="C27" s="339"/>
      <c r="D27" s="341" t="s">
        <v>490</v>
      </c>
      <c r="E27" s="341" t="s">
        <v>690</v>
      </c>
      <c r="F27" s="341" t="s">
        <v>396</v>
      </c>
      <c r="G27" s="341" t="s">
        <v>397</v>
      </c>
      <c r="H27" s="341" t="s">
        <v>398</v>
      </c>
      <c r="I27" s="341"/>
      <c r="J27" s="341"/>
      <c r="K27" s="343"/>
      <c r="L27" s="339"/>
      <c r="M27" s="343"/>
      <c r="N27" s="348"/>
      <c r="O27" s="349"/>
      <c r="P27" s="346"/>
      <c r="Q27" s="339"/>
    </row>
    <row r="28" spans="1:17" ht="18.600000000000001">
      <c r="A28" s="230">
        <v>17</v>
      </c>
      <c r="B28" s="341" t="s">
        <v>892</v>
      </c>
      <c r="C28" s="339"/>
      <c r="D28" s="341" t="s">
        <v>307</v>
      </c>
      <c r="E28" s="27" t="s">
        <v>703</v>
      </c>
      <c r="F28" s="341" t="s">
        <v>420</v>
      </c>
      <c r="G28" s="341" t="s">
        <v>421</v>
      </c>
      <c r="H28" s="341" t="s">
        <v>422</v>
      </c>
      <c r="I28" s="341"/>
      <c r="J28" s="341"/>
      <c r="K28" s="343" t="s">
        <v>700</v>
      </c>
      <c r="L28" s="339"/>
      <c r="M28" s="343" t="s">
        <v>691</v>
      </c>
      <c r="N28" s="348" t="s">
        <v>701</v>
      </c>
      <c r="O28" s="349">
        <v>30526.799999999999</v>
      </c>
      <c r="P28" s="346"/>
      <c r="Q28" s="339"/>
    </row>
    <row r="29" spans="1:17" ht="15.75" customHeight="1">
      <c r="A29" s="230">
        <v>18</v>
      </c>
      <c r="B29" s="341" t="s">
        <v>705</v>
      </c>
      <c r="C29" s="20"/>
      <c r="D29" s="341" t="s">
        <v>307</v>
      </c>
      <c r="E29" s="2"/>
      <c r="F29" s="27" t="s">
        <v>415</v>
      </c>
      <c r="G29" s="27" t="s">
        <v>893</v>
      </c>
      <c r="H29" s="27" t="s">
        <v>417</v>
      </c>
      <c r="I29" s="23"/>
      <c r="J29" s="23"/>
      <c r="K29" s="28"/>
      <c r="L29" s="37"/>
      <c r="M29" s="28"/>
      <c r="N29" s="35"/>
      <c r="O29" s="35"/>
      <c r="P29" s="26"/>
      <c r="Q29" s="27"/>
    </row>
    <row r="30" spans="1:17" ht="18.600000000000001">
      <c r="A30" s="707"/>
      <c r="B30" s="656"/>
      <c r="C30" s="656"/>
      <c r="D30" s="656"/>
      <c r="E30" s="656"/>
      <c r="F30" s="656"/>
      <c r="G30" s="656"/>
      <c r="H30" s="656"/>
      <c r="I30" s="350"/>
      <c r="J30" s="351"/>
      <c r="K30" s="352"/>
      <c r="L30" s="353"/>
      <c r="M30" s="354"/>
      <c r="N30" s="355"/>
      <c r="O30" s="355"/>
      <c r="P30" s="356"/>
      <c r="Q30" s="214"/>
    </row>
    <row r="31" spans="1:17" ht="18.600000000000001">
      <c r="A31" s="709" t="s">
        <v>708</v>
      </c>
      <c r="B31" s="656"/>
      <c r="C31" s="656"/>
      <c r="D31" s="656"/>
      <c r="E31" s="656"/>
      <c r="F31" s="656"/>
      <c r="G31" s="656"/>
      <c r="H31" s="656"/>
      <c r="I31" s="656"/>
      <c r="J31" s="656"/>
      <c r="K31" s="656"/>
      <c r="L31" s="656"/>
      <c r="M31" s="656"/>
      <c r="N31" s="656"/>
      <c r="O31" s="656"/>
      <c r="P31" s="656"/>
      <c r="Q31" s="657"/>
    </row>
    <row r="32" spans="1:17" ht="17.25" customHeight="1">
      <c r="A32" s="707" t="s">
        <v>659</v>
      </c>
      <c r="B32" s="656"/>
      <c r="C32" s="656"/>
      <c r="D32" s="656"/>
      <c r="E32" s="656"/>
      <c r="F32" s="656"/>
      <c r="G32" s="656"/>
      <c r="H32" s="657"/>
      <c r="I32" s="23"/>
      <c r="J32" s="23"/>
      <c r="K32" s="28"/>
      <c r="L32" s="37"/>
      <c r="M32" s="28"/>
      <c r="N32" s="35"/>
      <c r="O32" s="35"/>
      <c r="P32" s="26"/>
      <c r="Q32" s="27"/>
    </row>
    <row r="33" spans="1:17" ht="17.25" customHeight="1">
      <c r="A33" s="230">
        <v>1</v>
      </c>
      <c r="B33" s="20" t="s">
        <v>68</v>
      </c>
      <c r="C33" s="20" t="s">
        <v>831</v>
      </c>
      <c r="D33" s="23" t="s">
        <v>708</v>
      </c>
      <c r="E33" s="23" t="s">
        <v>299</v>
      </c>
      <c r="F33" s="23" t="s">
        <v>70</v>
      </c>
      <c r="G33" s="5" t="s">
        <v>71</v>
      </c>
      <c r="H33" s="23" t="s">
        <v>72</v>
      </c>
      <c r="I33" s="23"/>
      <c r="J33" s="23"/>
      <c r="K33" s="28" t="s">
        <v>64</v>
      </c>
      <c r="L33" s="37">
        <v>23575</v>
      </c>
      <c r="M33" s="28" t="s">
        <v>58</v>
      </c>
      <c r="N33" s="35" t="s">
        <v>81</v>
      </c>
      <c r="O33" s="35" t="s">
        <v>709</v>
      </c>
      <c r="P33" s="26" t="s">
        <v>710</v>
      </c>
      <c r="Q33" s="27" t="s">
        <v>18</v>
      </c>
    </row>
    <row r="34" spans="1:17" ht="15.75" customHeight="1">
      <c r="A34" s="230">
        <v>2</v>
      </c>
      <c r="B34" s="20" t="s">
        <v>835</v>
      </c>
      <c r="C34" s="20" t="s">
        <v>836</v>
      </c>
      <c r="D34" s="237" t="s">
        <v>743</v>
      </c>
      <c r="E34" s="357" t="s">
        <v>744</v>
      </c>
      <c r="F34" s="23" t="s">
        <v>92</v>
      </c>
      <c r="G34" s="5" t="s">
        <v>93</v>
      </c>
      <c r="H34" s="23" t="s">
        <v>94</v>
      </c>
      <c r="I34" s="23"/>
      <c r="J34" s="23"/>
      <c r="K34" s="28" t="s">
        <v>85</v>
      </c>
      <c r="L34" s="207">
        <v>26101</v>
      </c>
      <c r="M34" s="28" t="s">
        <v>58</v>
      </c>
      <c r="N34" s="35" t="s">
        <v>98</v>
      </c>
      <c r="O34" s="36">
        <v>49835</v>
      </c>
      <c r="P34" s="26" t="s">
        <v>95</v>
      </c>
      <c r="Q34" s="27" t="s">
        <v>13</v>
      </c>
    </row>
    <row r="35" spans="1:17" ht="18.600000000000001">
      <c r="A35" s="707" t="s">
        <v>688</v>
      </c>
      <c r="B35" s="656"/>
      <c r="C35" s="656"/>
      <c r="D35" s="656"/>
      <c r="E35" s="656"/>
      <c r="F35" s="656"/>
      <c r="G35" s="656"/>
      <c r="H35" s="657"/>
      <c r="I35" s="27"/>
      <c r="J35" s="27"/>
      <c r="K35" s="28"/>
      <c r="L35" s="207"/>
      <c r="M35" s="19"/>
      <c r="N35" s="56"/>
      <c r="O35" s="52"/>
      <c r="P35" s="26"/>
      <c r="Q35" s="27"/>
    </row>
    <row r="36" spans="1:17" ht="18.600000000000001">
      <c r="A36" s="230">
        <v>3</v>
      </c>
      <c r="B36" s="6" t="s">
        <v>730</v>
      </c>
      <c r="C36" s="20"/>
      <c r="D36" s="27" t="s">
        <v>272</v>
      </c>
      <c r="E36" s="27"/>
      <c r="F36" s="27" t="s">
        <v>404</v>
      </c>
      <c r="G36" s="27" t="s">
        <v>699</v>
      </c>
      <c r="H36" s="27" t="s">
        <v>406</v>
      </c>
      <c r="I36" s="27"/>
      <c r="J36" s="27"/>
      <c r="K36" s="28"/>
      <c r="L36" s="207"/>
      <c r="M36" s="19"/>
      <c r="N36" s="56"/>
      <c r="O36" s="52"/>
      <c r="P36" s="26"/>
      <c r="Q36" s="27"/>
    </row>
    <row r="37" spans="1:17" ht="18.600000000000001">
      <c r="A37" s="230">
        <v>4</v>
      </c>
      <c r="B37" s="6" t="s">
        <v>605</v>
      </c>
      <c r="C37" s="20"/>
      <c r="D37" s="27" t="s">
        <v>455</v>
      </c>
      <c r="E37" s="27" t="s">
        <v>694</v>
      </c>
      <c r="F37" s="27" t="s">
        <v>336</v>
      </c>
      <c r="G37" s="27" t="s">
        <v>337</v>
      </c>
      <c r="H37" s="27" t="s">
        <v>695</v>
      </c>
      <c r="I37" s="27"/>
      <c r="J37" s="27"/>
      <c r="K37" s="28"/>
      <c r="L37" s="207"/>
      <c r="M37" s="19" t="s">
        <v>691</v>
      </c>
      <c r="N37" s="56">
        <v>45231</v>
      </c>
      <c r="O37" s="52">
        <v>30526</v>
      </c>
      <c r="P37" s="26"/>
      <c r="Q37" s="27"/>
    </row>
    <row r="38" spans="1:17" ht="18.600000000000001">
      <c r="A38" s="230">
        <v>5</v>
      </c>
      <c r="B38" s="27" t="s">
        <v>274</v>
      </c>
      <c r="C38" s="20"/>
      <c r="D38" s="27" t="s">
        <v>882</v>
      </c>
      <c r="E38" s="27" t="s">
        <v>894</v>
      </c>
      <c r="F38" s="27" t="s">
        <v>111</v>
      </c>
      <c r="G38" s="27" t="s">
        <v>112</v>
      </c>
      <c r="H38" s="27" t="s">
        <v>101</v>
      </c>
      <c r="I38" s="27"/>
      <c r="J38" s="27"/>
      <c r="K38" s="28"/>
      <c r="L38" s="207"/>
      <c r="M38" s="19" t="s">
        <v>691</v>
      </c>
      <c r="N38" s="19" t="s">
        <v>722</v>
      </c>
      <c r="O38" s="52">
        <v>45780</v>
      </c>
      <c r="P38" s="26"/>
      <c r="Q38" s="27"/>
    </row>
    <row r="39" spans="1:17" ht="18.600000000000001">
      <c r="A39" s="358">
        <v>6</v>
      </c>
      <c r="B39" s="359" t="s">
        <v>605</v>
      </c>
      <c r="C39" s="360"/>
      <c r="D39" s="359" t="s">
        <v>715</v>
      </c>
      <c r="E39" s="361" t="s">
        <v>895</v>
      </c>
      <c r="F39" s="359" t="s">
        <v>606</v>
      </c>
      <c r="G39" s="359" t="s">
        <v>607</v>
      </c>
      <c r="H39" s="359" t="s">
        <v>608</v>
      </c>
      <c r="I39" s="359"/>
      <c r="J39" s="359"/>
      <c r="K39" s="362" t="s">
        <v>721</v>
      </c>
      <c r="L39" s="227"/>
      <c r="M39" s="362" t="s">
        <v>691</v>
      </c>
      <c r="N39" s="362" t="s">
        <v>120</v>
      </c>
      <c r="O39" s="363">
        <v>42116.4</v>
      </c>
      <c r="P39" s="364"/>
      <c r="Q39" s="359"/>
    </row>
    <row r="40" spans="1:17" ht="18.600000000000001">
      <c r="A40" s="230">
        <v>8</v>
      </c>
      <c r="B40" s="27" t="s">
        <v>724</v>
      </c>
      <c r="C40" s="20"/>
      <c r="D40" s="27" t="s">
        <v>299</v>
      </c>
      <c r="E40" s="365" t="s">
        <v>725</v>
      </c>
      <c r="F40" s="27" t="s">
        <v>296</v>
      </c>
      <c r="G40" s="27" t="s">
        <v>297</v>
      </c>
      <c r="H40" s="27" t="s">
        <v>298</v>
      </c>
      <c r="I40" s="27"/>
      <c r="J40" s="27"/>
      <c r="K40" s="19" t="s">
        <v>700</v>
      </c>
      <c r="L40" s="2"/>
      <c r="M40" s="19" t="s">
        <v>691</v>
      </c>
      <c r="N40" s="19" t="s">
        <v>718</v>
      </c>
      <c r="O40" s="52">
        <v>42116.4</v>
      </c>
      <c r="P40" s="26"/>
      <c r="Q40" s="27"/>
    </row>
    <row r="41" spans="1:17" ht="18.600000000000001">
      <c r="A41" s="230">
        <v>9</v>
      </c>
      <c r="B41" s="27" t="s">
        <v>605</v>
      </c>
      <c r="C41" s="20"/>
      <c r="D41" s="27" t="s">
        <v>715</v>
      </c>
      <c r="E41" s="315" t="s">
        <v>716</v>
      </c>
      <c r="F41" s="27" t="s">
        <v>322</v>
      </c>
      <c r="G41" s="27" t="s">
        <v>323</v>
      </c>
      <c r="H41" s="27" t="s">
        <v>717</v>
      </c>
      <c r="I41" s="27"/>
      <c r="J41" s="27"/>
      <c r="K41" s="19" t="s">
        <v>700</v>
      </c>
      <c r="L41" s="2"/>
      <c r="M41" s="19" t="s">
        <v>691</v>
      </c>
      <c r="N41" s="19" t="s">
        <v>718</v>
      </c>
      <c r="O41" s="52">
        <v>42116.4</v>
      </c>
      <c r="P41" s="26"/>
      <c r="Q41" s="27"/>
    </row>
    <row r="42" spans="1:17" ht="28.2">
      <c r="A42" s="230">
        <v>10</v>
      </c>
      <c r="B42" s="27" t="s">
        <v>274</v>
      </c>
      <c r="C42" s="20"/>
      <c r="D42" s="27" t="s">
        <v>715</v>
      </c>
      <c r="E42" s="366" t="s">
        <v>719</v>
      </c>
      <c r="F42" s="27" t="s">
        <v>276</v>
      </c>
      <c r="G42" s="27" t="s">
        <v>277</v>
      </c>
      <c r="H42" s="27" t="s">
        <v>278</v>
      </c>
      <c r="I42" s="27"/>
      <c r="J42" s="27"/>
      <c r="K42" s="19" t="s">
        <v>721</v>
      </c>
      <c r="L42" s="2"/>
      <c r="M42" s="19" t="s">
        <v>691</v>
      </c>
      <c r="N42" s="19" t="s">
        <v>722</v>
      </c>
      <c r="O42" s="52">
        <v>45780</v>
      </c>
      <c r="P42" s="26"/>
      <c r="Q42" s="27"/>
    </row>
    <row r="43" spans="1:17" ht="18.600000000000001">
      <c r="A43" s="230">
        <v>11</v>
      </c>
      <c r="B43" s="27" t="s">
        <v>245</v>
      </c>
      <c r="C43" s="20"/>
      <c r="D43" s="27" t="s">
        <v>715</v>
      </c>
      <c r="E43" s="365" t="s">
        <v>896</v>
      </c>
      <c r="F43" s="27" t="s">
        <v>114</v>
      </c>
      <c r="G43" s="27" t="s">
        <v>115</v>
      </c>
      <c r="H43" s="27" t="s">
        <v>116</v>
      </c>
      <c r="I43" s="27"/>
      <c r="J43" s="27"/>
      <c r="K43" s="19" t="s">
        <v>721</v>
      </c>
      <c r="L43" s="2"/>
      <c r="M43" s="19" t="s">
        <v>691</v>
      </c>
      <c r="N43" s="19" t="s">
        <v>886</v>
      </c>
      <c r="O43" s="52">
        <v>59802</v>
      </c>
      <c r="P43" s="26"/>
      <c r="Q43" s="27"/>
    </row>
    <row r="44" spans="1:17" ht="18.600000000000001">
      <c r="A44" s="230">
        <v>12</v>
      </c>
      <c r="B44" s="27" t="s">
        <v>274</v>
      </c>
      <c r="C44" s="20"/>
      <c r="D44" s="27" t="s">
        <v>715</v>
      </c>
      <c r="E44" s="365" t="s">
        <v>726</v>
      </c>
      <c r="F44" s="27" t="s">
        <v>300</v>
      </c>
      <c r="G44" s="27" t="s">
        <v>301</v>
      </c>
      <c r="H44" s="27" t="s">
        <v>302</v>
      </c>
      <c r="I44" s="27"/>
      <c r="J44" s="27"/>
      <c r="K44" s="19"/>
      <c r="L44" s="2"/>
      <c r="M44" s="19"/>
      <c r="N44" s="19"/>
      <c r="O44" s="52"/>
      <c r="P44" s="26"/>
      <c r="Q44" s="27"/>
    </row>
    <row r="45" spans="1:17" ht="18.600000000000001">
      <c r="A45" s="230">
        <v>13</v>
      </c>
      <c r="B45" s="27" t="s">
        <v>729</v>
      </c>
      <c r="C45" s="20"/>
      <c r="D45" s="27" t="s">
        <v>379</v>
      </c>
      <c r="E45" s="27" t="s">
        <v>897</v>
      </c>
      <c r="F45" s="319" t="s">
        <v>849</v>
      </c>
      <c r="G45" s="319" t="s">
        <v>850</v>
      </c>
      <c r="H45" s="27" t="s">
        <v>851</v>
      </c>
      <c r="I45" s="319"/>
      <c r="J45" s="319"/>
      <c r="K45" s="19" t="s">
        <v>700</v>
      </c>
      <c r="L45" s="2"/>
      <c r="M45" s="19"/>
      <c r="N45" s="367"/>
      <c r="O45" s="267"/>
      <c r="P45" s="26"/>
      <c r="Q45" s="27"/>
    </row>
    <row r="46" spans="1:17" ht="18.600000000000001">
      <c r="A46" s="230">
        <v>14</v>
      </c>
      <c r="B46" s="27" t="s">
        <v>461</v>
      </c>
      <c r="C46" s="20"/>
      <c r="D46" s="27" t="s">
        <v>284</v>
      </c>
      <c r="E46" s="53" t="s">
        <v>720</v>
      </c>
      <c r="F46" s="27" t="s">
        <v>341</v>
      </c>
      <c r="G46" s="27" t="s">
        <v>342</v>
      </c>
      <c r="H46" s="27" t="s">
        <v>645</v>
      </c>
      <c r="I46" s="27"/>
      <c r="J46" s="27"/>
      <c r="K46" s="19" t="s">
        <v>721</v>
      </c>
      <c r="L46" s="2"/>
      <c r="M46" s="19" t="s">
        <v>691</v>
      </c>
      <c r="N46" s="367">
        <v>45261</v>
      </c>
      <c r="O46" s="267">
        <v>33129.599999999999</v>
      </c>
      <c r="P46" s="26"/>
      <c r="Q46" s="27"/>
    </row>
    <row r="47" spans="1:17" ht="18.600000000000001">
      <c r="A47" s="230">
        <v>15</v>
      </c>
      <c r="B47" s="27" t="s">
        <v>274</v>
      </c>
      <c r="C47" s="20"/>
      <c r="D47" s="27" t="s">
        <v>284</v>
      </c>
      <c r="E47" s="27" t="s">
        <v>723</v>
      </c>
      <c r="F47" s="27" t="s">
        <v>282</v>
      </c>
      <c r="G47" s="27" t="s">
        <v>283</v>
      </c>
      <c r="H47" s="27" t="s">
        <v>199</v>
      </c>
      <c r="I47" s="27"/>
      <c r="J47" s="27"/>
      <c r="K47" s="19" t="s">
        <v>721</v>
      </c>
      <c r="L47" s="2"/>
      <c r="M47" s="19" t="s">
        <v>691</v>
      </c>
      <c r="N47" s="19" t="s">
        <v>722</v>
      </c>
      <c r="O47" s="52">
        <v>45780</v>
      </c>
      <c r="P47" s="26"/>
      <c r="Q47" s="27"/>
    </row>
    <row r="48" spans="1:17" ht="18.600000000000001">
      <c r="A48" s="230">
        <v>16</v>
      </c>
      <c r="B48" s="27" t="s">
        <v>741</v>
      </c>
      <c r="C48" s="20"/>
      <c r="D48" s="27" t="s">
        <v>715</v>
      </c>
      <c r="E48" s="321" t="s">
        <v>898</v>
      </c>
      <c r="F48" s="27" t="s">
        <v>560</v>
      </c>
      <c r="G48" s="27" t="s">
        <v>561</v>
      </c>
      <c r="H48" s="27" t="s">
        <v>562</v>
      </c>
      <c r="I48" s="27"/>
      <c r="J48" s="27"/>
      <c r="K48" s="19" t="s">
        <v>700</v>
      </c>
      <c r="L48" s="2"/>
      <c r="M48" s="19" t="s">
        <v>691</v>
      </c>
      <c r="N48" s="19" t="s">
        <v>718</v>
      </c>
      <c r="O48" s="52">
        <v>45780</v>
      </c>
      <c r="P48" s="26"/>
      <c r="Q48" s="27"/>
    </row>
    <row r="49" spans="1:17" ht="18.600000000000001">
      <c r="A49" s="230">
        <v>17</v>
      </c>
      <c r="B49" s="27" t="s">
        <v>220</v>
      </c>
      <c r="C49" s="20"/>
      <c r="D49" s="27" t="s">
        <v>284</v>
      </c>
      <c r="E49" s="27" t="s">
        <v>714</v>
      </c>
      <c r="F49" s="319" t="s">
        <v>63</v>
      </c>
      <c r="G49" s="319" t="s">
        <v>230</v>
      </c>
      <c r="H49" s="319" t="s">
        <v>517</v>
      </c>
      <c r="I49" s="319"/>
      <c r="J49" s="319"/>
      <c r="K49" s="19" t="s">
        <v>721</v>
      </c>
      <c r="L49" s="2"/>
      <c r="M49" s="19" t="s">
        <v>691</v>
      </c>
      <c r="N49" s="368" t="s">
        <v>221</v>
      </c>
      <c r="O49" s="267">
        <v>17991.599999999999</v>
      </c>
      <c r="P49" s="26"/>
      <c r="Q49" s="27"/>
    </row>
    <row r="50" spans="1:17" ht="18.600000000000001">
      <c r="A50" s="230">
        <v>18</v>
      </c>
      <c r="B50" s="27" t="s">
        <v>724</v>
      </c>
      <c r="C50" s="20"/>
      <c r="D50" s="27" t="s">
        <v>715</v>
      </c>
      <c r="E50" s="27"/>
      <c r="F50" s="319" t="s">
        <v>61</v>
      </c>
      <c r="G50" s="319" t="s">
        <v>332</v>
      </c>
      <c r="H50" s="319" t="s">
        <v>333</v>
      </c>
      <c r="I50" s="319"/>
      <c r="J50" s="319"/>
      <c r="K50" s="19"/>
      <c r="L50" s="2"/>
      <c r="M50" s="19"/>
      <c r="N50" s="367"/>
      <c r="O50" s="267"/>
      <c r="P50" s="26"/>
      <c r="Q50" s="27"/>
    </row>
    <row r="51" spans="1:17" ht="18.600000000000001">
      <c r="A51" s="230">
        <v>19</v>
      </c>
      <c r="B51" s="27" t="s">
        <v>461</v>
      </c>
      <c r="C51" s="20"/>
      <c r="D51" s="27" t="s">
        <v>284</v>
      </c>
      <c r="E51" s="27"/>
      <c r="F51" s="27" t="s">
        <v>348</v>
      </c>
      <c r="G51" s="34" t="s">
        <v>349</v>
      </c>
      <c r="H51" s="27" t="s">
        <v>350</v>
      </c>
      <c r="I51" s="319"/>
      <c r="J51" s="319"/>
      <c r="K51" s="19"/>
      <c r="L51" s="2"/>
      <c r="M51" s="19"/>
      <c r="N51" s="367"/>
      <c r="O51" s="267"/>
      <c r="P51" s="26"/>
      <c r="Q51" s="27"/>
    </row>
    <row r="52" spans="1:17" ht="18.600000000000001">
      <c r="A52" s="230">
        <v>20</v>
      </c>
      <c r="B52" s="27" t="s">
        <v>220</v>
      </c>
      <c r="C52" s="20"/>
      <c r="D52" s="27" t="s">
        <v>284</v>
      </c>
      <c r="E52" s="27"/>
      <c r="F52" s="319" t="s">
        <v>438</v>
      </c>
      <c r="G52" s="319" t="s">
        <v>439</v>
      </c>
      <c r="H52" s="319"/>
      <c r="I52" s="319"/>
      <c r="J52" s="319"/>
      <c r="K52" s="19" t="s">
        <v>721</v>
      </c>
      <c r="L52" s="2"/>
      <c r="M52" s="19" t="s">
        <v>691</v>
      </c>
      <c r="N52" s="368" t="s">
        <v>221</v>
      </c>
      <c r="O52" s="267">
        <v>17991.599999999999</v>
      </c>
      <c r="P52" s="26"/>
      <c r="Q52" s="27"/>
    </row>
    <row r="53" spans="1:17" ht="18.600000000000001">
      <c r="A53" s="332">
        <v>21</v>
      </c>
      <c r="B53" s="369" t="s">
        <v>778</v>
      </c>
      <c r="C53" s="369"/>
      <c r="D53" s="369" t="s">
        <v>455</v>
      </c>
      <c r="E53" s="369"/>
      <c r="F53" s="369" t="s">
        <v>425</v>
      </c>
      <c r="G53" s="369" t="s">
        <v>426</v>
      </c>
      <c r="H53" s="369" t="s">
        <v>427</v>
      </c>
      <c r="I53" s="350"/>
      <c r="J53" s="351"/>
      <c r="K53" s="352"/>
      <c r="L53" s="353"/>
      <c r="M53" s="354"/>
      <c r="N53" s="355"/>
      <c r="O53" s="355"/>
      <c r="P53" s="356"/>
      <c r="Q53" s="214"/>
    </row>
    <row r="54" spans="1:17" ht="18.600000000000001">
      <c r="A54" s="707"/>
      <c r="B54" s="656"/>
      <c r="C54" s="656"/>
      <c r="D54" s="656"/>
      <c r="E54" s="656"/>
      <c r="F54" s="656"/>
      <c r="G54" s="656"/>
      <c r="H54" s="656"/>
      <c r="I54" s="350"/>
      <c r="J54" s="351"/>
      <c r="K54" s="352"/>
      <c r="L54" s="353"/>
      <c r="M54" s="354"/>
      <c r="N54" s="355"/>
      <c r="O54" s="355"/>
      <c r="P54" s="356"/>
      <c r="Q54" s="214"/>
    </row>
    <row r="55" spans="1:17" ht="18.600000000000001">
      <c r="A55" s="331" t="s">
        <v>732</v>
      </c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1"/>
    </row>
    <row r="56" spans="1:17" ht="18.600000000000001">
      <c r="A56" s="707" t="s">
        <v>659</v>
      </c>
      <c r="B56" s="656"/>
      <c r="C56" s="656"/>
      <c r="D56" s="656"/>
      <c r="E56" s="656"/>
      <c r="F56" s="656"/>
      <c r="G56" s="656"/>
      <c r="H56" s="656"/>
      <c r="I56" s="350"/>
      <c r="J56" s="351"/>
      <c r="K56" s="352"/>
      <c r="L56" s="353"/>
      <c r="M56" s="354"/>
      <c r="N56" s="355"/>
      <c r="O56" s="355"/>
      <c r="P56" s="356"/>
      <c r="Q56" s="214"/>
    </row>
    <row r="57" spans="1:17" ht="18.600000000000001">
      <c r="A57" s="230">
        <v>1</v>
      </c>
      <c r="B57" s="20" t="s">
        <v>189</v>
      </c>
      <c r="C57" s="20" t="s">
        <v>194</v>
      </c>
      <c r="D57" s="27" t="s">
        <v>715</v>
      </c>
      <c r="E57" s="237" t="s">
        <v>687</v>
      </c>
      <c r="F57" s="23" t="s">
        <v>737</v>
      </c>
      <c r="G57" s="5" t="s">
        <v>192</v>
      </c>
      <c r="H57" s="23" t="s">
        <v>193</v>
      </c>
      <c r="I57" s="23"/>
      <c r="J57" s="27" t="str">
        <f t="shared" ref="J57:J58" si="0">CONCATENATE(F57, ", ", G57, " ", H57)</f>
        <v>CANO, ADELMO GATO</v>
      </c>
      <c r="K57" s="19" t="s">
        <v>721</v>
      </c>
      <c r="L57" s="207">
        <v>26078</v>
      </c>
      <c r="M57" s="28" t="s">
        <v>58</v>
      </c>
      <c r="N57" s="35" t="s">
        <v>162</v>
      </c>
      <c r="O57" s="35" t="s">
        <v>665</v>
      </c>
      <c r="P57" s="26" t="s">
        <v>736</v>
      </c>
      <c r="Q57" s="27" t="s">
        <v>3</v>
      </c>
    </row>
    <row r="58" spans="1:17" ht="18.600000000000001">
      <c r="A58" s="230">
        <v>2</v>
      </c>
      <c r="B58" s="20" t="s">
        <v>178</v>
      </c>
      <c r="C58" s="20" t="s">
        <v>183</v>
      </c>
      <c r="D58" s="27" t="s">
        <v>715</v>
      </c>
      <c r="E58" s="237" t="s">
        <v>687</v>
      </c>
      <c r="F58" s="23" t="s">
        <v>180</v>
      </c>
      <c r="G58" s="5" t="s">
        <v>181</v>
      </c>
      <c r="H58" s="23" t="s">
        <v>182</v>
      </c>
      <c r="I58" s="23"/>
      <c r="J58" s="27" t="str">
        <f t="shared" si="0"/>
        <v>HUBALDE, ROLAND BARTILAD</v>
      </c>
      <c r="K58" s="19" t="s">
        <v>721</v>
      </c>
      <c r="L58" s="232">
        <v>23752</v>
      </c>
      <c r="M58" s="28" t="s">
        <v>58</v>
      </c>
      <c r="N58" s="35" t="s">
        <v>179</v>
      </c>
      <c r="O58" s="35" t="s">
        <v>738</v>
      </c>
      <c r="P58" s="26" t="s">
        <v>739</v>
      </c>
      <c r="Q58" s="27" t="s">
        <v>11</v>
      </c>
    </row>
    <row r="59" spans="1:17" ht="18.600000000000001">
      <c r="A59" s="707" t="s">
        <v>688</v>
      </c>
      <c r="B59" s="656"/>
      <c r="C59" s="656"/>
      <c r="D59" s="656"/>
      <c r="E59" s="656"/>
      <c r="F59" s="656"/>
      <c r="G59" s="656"/>
      <c r="H59" s="657"/>
      <c r="I59" s="214"/>
      <c r="J59" s="27"/>
      <c r="K59" s="19"/>
      <c r="L59" s="232"/>
      <c r="M59" s="28"/>
      <c r="N59" s="35"/>
      <c r="O59" s="35"/>
      <c r="P59" s="26"/>
      <c r="Q59" s="27"/>
    </row>
    <row r="60" spans="1:17" ht="18.600000000000001">
      <c r="A60" s="230">
        <v>3</v>
      </c>
      <c r="B60" s="20" t="s">
        <v>724</v>
      </c>
      <c r="C60" s="20"/>
      <c r="D60" s="27" t="s">
        <v>715</v>
      </c>
      <c r="E60" s="237" t="s">
        <v>740</v>
      </c>
      <c r="F60" s="27" t="s">
        <v>315</v>
      </c>
      <c r="G60" s="214" t="s">
        <v>316</v>
      </c>
      <c r="H60" s="214" t="s">
        <v>317</v>
      </c>
      <c r="I60" s="214"/>
      <c r="J60" s="27" t="str">
        <f>CONCATENATE(F60, ", ", G60, " ", H60)</f>
        <v>GALOLO, LEAH GALAROSSA</v>
      </c>
      <c r="K60" s="19" t="s">
        <v>700</v>
      </c>
      <c r="L60" s="232"/>
      <c r="M60" s="28"/>
      <c r="N60" s="35"/>
      <c r="O60" s="35"/>
      <c r="P60" s="26"/>
      <c r="Q60" s="27"/>
    </row>
    <row r="61" spans="1:17" ht="18.600000000000001">
      <c r="A61" s="332">
        <v>4</v>
      </c>
      <c r="B61" s="369" t="s">
        <v>729</v>
      </c>
      <c r="C61" s="369"/>
      <c r="D61" s="27" t="s">
        <v>881</v>
      </c>
      <c r="E61" s="369"/>
      <c r="F61" s="178" t="s">
        <v>408</v>
      </c>
      <c r="G61" s="178" t="s">
        <v>409</v>
      </c>
      <c r="H61" s="178" t="s">
        <v>410</v>
      </c>
      <c r="I61" s="350"/>
      <c r="J61" s="351"/>
      <c r="K61" s="352"/>
      <c r="L61" s="372"/>
      <c r="M61" s="354"/>
      <c r="N61" s="355"/>
      <c r="O61" s="355"/>
      <c r="P61" s="356"/>
      <c r="Q61" s="214"/>
    </row>
    <row r="62" spans="1:17" ht="18.600000000000001">
      <c r="A62" s="707"/>
      <c r="B62" s="656"/>
      <c r="C62" s="656"/>
      <c r="D62" s="656"/>
      <c r="E62" s="656"/>
      <c r="F62" s="656"/>
      <c r="G62" s="656"/>
      <c r="H62" s="656"/>
      <c r="I62" s="350"/>
      <c r="J62" s="351"/>
      <c r="K62" s="352"/>
      <c r="L62" s="353"/>
      <c r="M62" s="354"/>
      <c r="N62" s="355"/>
      <c r="O62" s="355"/>
      <c r="P62" s="356"/>
      <c r="Q62" s="214"/>
    </row>
    <row r="63" spans="1:17" ht="18.600000000000001">
      <c r="A63" s="331" t="s">
        <v>742</v>
      </c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1"/>
    </row>
    <row r="64" spans="1:17" ht="15.75" customHeight="1">
      <c r="A64" s="707" t="s">
        <v>659</v>
      </c>
      <c r="B64" s="656"/>
      <c r="C64" s="656"/>
      <c r="D64" s="656"/>
      <c r="E64" s="656"/>
      <c r="F64" s="656"/>
      <c r="G64" s="656"/>
      <c r="H64" s="656"/>
      <c r="I64" s="350"/>
      <c r="J64" s="351"/>
      <c r="K64" s="354"/>
      <c r="L64" s="373"/>
      <c r="M64" s="354"/>
      <c r="N64" s="355"/>
      <c r="O64" s="355"/>
      <c r="P64" s="356"/>
      <c r="Q64" s="214"/>
    </row>
    <row r="65" spans="1:17" ht="15.75" customHeight="1">
      <c r="A65" s="230">
        <v>1</v>
      </c>
      <c r="B65" s="20" t="s">
        <v>151</v>
      </c>
      <c r="C65" s="20" t="s">
        <v>177</v>
      </c>
      <c r="D65" s="23" t="s">
        <v>746</v>
      </c>
      <c r="E65" s="237" t="s">
        <v>687</v>
      </c>
      <c r="F65" s="23" t="s">
        <v>163</v>
      </c>
      <c r="G65" s="5" t="s">
        <v>164</v>
      </c>
      <c r="H65" s="23" t="s">
        <v>82</v>
      </c>
      <c r="I65" s="23"/>
      <c r="J65" s="27" t="str">
        <f t="shared" ref="J65:J69" si="1">CONCATENATE(F65, ", ", G65, " ", H65)</f>
        <v>ABAD, FERDINAND BARIUAN</v>
      </c>
      <c r="K65" s="28" t="s">
        <v>85</v>
      </c>
      <c r="L65" s="216"/>
      <c r="M65" s="28" t="s">
        <v>58</v>
      </c>
      <c r="N65" s="35" t="s">
        <v>162</v>
      </c>
      <c r="O65" s="35" t="s">
        <v>677</v>
      </c>
      <c r="P65" s="60" t="s">
        <v>165</v>
      </c>
      <c r="Q65" s="27" t="s">
        <v>7</v>
      </c>
    </row>
    <row r="66" spans="1:17" ht="15.75" customHeight="1">
      <c r="A66" s="230">
        <v>2</v>
      </c>
      <c r="B66" s="20" t="s">
        <v>178</v>
      </c>
      <c r="C66" s="20" t="s">
        <v>188</v>
      </c>
      <c r="D66" s="23" t="s">
        <v>747</v>
      </c>
      <c r="E66" s="236" t="s">
        <v>748</v>
      </c>
      <c r="F66" s="23" t="s">
        <v>184</v>
      </c>
      <c r="G66" s="5" t="s">
        <v>185</v>
      </c>
      <c r="H66" s="23" t="s">
        <v>186</v>
      </c>
      <c r="I66" s="23"/>
      <c r="J66" s="27" t="str">
        <f t="shared" si="1"/>
        <v>BALIGOD, RICHARD PINEDA</v>
      </c>
      <c r="K66" s="28" t="s">
        <v>85</v>
      </c>
      <c r="L66" s="216">
        <v>25168</v>
      </c>
      <c r="M66" s="28" t="s">
        <v>58</v>
      </c>
      <c r="N66" s="56">
        <v>44718</v>
      </c>
      <c r="O66" s="52">
        <v>18739</v>
      </c>
      <c r="P66" s="60" t="s">
        <v>187</v>
      </c>
      <c r="Q66" s="27" t="s">
        <v>22</v>
      </c>
    </row>
    <row r="67" spans="1:17" ht="15.75" customHeight="1">
      <c r="A67" s="230">
        <v>3</v>
      </c>
      <c r="B67" s="20" t="s">
        <v>80</v>
      </c>
      <c r="C67" s="20" t="s">
        <v>86</v>
      </c>
      <c r="D67" s="23" t="s">
        <v>733</v>
      </c>
      <c r="E67" s="23" t="s">
        <v>734</v>
      </c>
      <c r="F67" s="23" t="s">
        <v>82</v>
      </c>
      <c r="G67" s="5" t="s">
        <v>83</v>
      </c>
      <c r="H67" s="23" t="s">
        <v>84</v>
      </c>
      <c r="I67" s="23"/>
      <c r="J67" s="27" t="str">
        <f t="shared" si="1"/>
        <v>BARIUAN, RONALD  SIUAGAN</v>
      </c>
      <c r="K67" s="28" t="s">
        <v>85</v>
      </c>
      <c r="L67" s="216">
        <v>27002</v>
      </c>
      <c r="M67" s="28" t="s">
        <v>58</v>
      </c>
      <c r="N67" s="35" t="s">
        <v>81</v>
      </c>
      <c r="O67" s="36">
        <v>69963</v>
      </c>
      <c r="P67" s="60" t="s">
        <v>749</v>
      </c>
      <c r="Q67" s="27" t="s">
        <v>16</v>
      </c>
    </row>
    <row r="68" spans="1:17" ht="15.75" customHeight="1">
      <c r="A68" s="230">
        <v>4</v>
      </c>
      <c r="B68" s="20" t="s">
        <v>832</v>
      </c>
      <c r="C68" s="20" t="s">
        <v>241</v>
      </c>
      <c r="D68" s="23" t="s">
        <v>780</v>
      </c>
      <c r="E68" s="23"/>
      <c r="F68" s="23" t="s">
        <v>237</v>
      </c>
      <c r="G68" s="5" t="s">
        <v>238</v>
      </c>
      <c r="H68" s="23" t="s">
        <v>239</v>
      </c>
      <c r="I68" s="23"/>
      <c r="J68" s="27" t="str">
        <f t="shared" si="1"/>
        <v>BAYLON, JOAQUIN BAUTISTA</v>
      </c>
      <c r="K68" s="28" t="s">
        <v>85</v>
      </c>
      <c r="L68" s="207">
        <v>24915</v>
      </c>
      <c r="M68" s="28" t="s">
        <v>58</v>
      </c>
      <c r="N68" s="35" t="s">
        <v>236</v>
      </c>
      <c r="O68" s="35" t="s">
        <v>833</v>
      </c>
      <c r="P68" s="26" t="s">
        <v>240</v>
      </c>
      <c r="Q68" s="27" t="s">
        <v>19</v>
      </c>
    </row>
    <row r="69" spans="1:17" ht="15.75" customHeight="1">
      <c r="A69" s="230">
        <v>5</v>
      </c>
      <c r="B69" s="20" t="s">
        <v>178</v>
      </c>
      <c r="C69" s="20" t="s">
        <v>219</v>
      </c>
      <c r="D69" s="23" t="s">
        <v>683</v>
      </c>
      <c r="E69" s="237" t="s">
        <v>750</v>
      </c>
      <c r="F69" s="23" t="s">
        <v>216</v>
      </c>
      <c r="G69" s="5" t="s">
        <v>217</v>
      </c>
      <c r="H69" s="23" t="s">
        <v>184</v>
      </c>
      <c r="I69" s="23"/>
      <c r="J69" s="27" t="str">
        <f t="shared" si="1"/>
        <v>BERMEJO, ALVIN BALIGOD</v>
      </c>
      <c r="K69" s="28" t="s">
        <v>85</v>
      </c>
      <c r="L69" s="216">
        <v>26348</v>
      </c>
      <c r="M69" s="28" t="s">
        <v>58</v>
      </c>
      <c r="N69" s="76">
        <v>44713</v>
      </c>
      <c r="O69" s="77">
        <v>16877</v>
      </c>
      <c r="P69" s="60" t="s">
        <v>218</v>
      </c>
      <c r="Q69" s="6" t="s">
        <v>23</v>
      </c>
    </row>
    <row r="70" spans="1:17" ht="15.75" customHeight="1">
      <c r="A70" s="707" t="s">
        <v>688</v>
      </c>
      <c r="B70" s="656"/>
      <c r="C70" s="656"/>
      <c r="D70" s="656"/>
      <c r="E70" s="656"/>
      <c r="F70" s="656"/>
      <c r="G70" s="656"/>
      <c r="H70" s="657"/>
      <c r="I70" s="27"/>
      <c r="J70" s="27"/>
      <c r="K70" s="19"/>
      <c r="L70" s="27"/>
      <c r="M70" s="19"/>
      <c r="N70" s="316"/>
      <c r="O70" s="52"/>
      <c r="P70" s="182"/>
      <c r="Q70" s="52"/>
    </row>
    <row r="71" spans="1:17" ht="15.75" customHeight="1">
      <c r="A71" s="230">
        <v>6</v>
      </c>
      <c r="B71" s="27" t="s">
        <v>724</v>
      </c>
      <c r="C71" s="347">
        <v>4</v>
      </c>
      <c r="D71" s="27" t="s">
        <v>299</v>
      </c>
      <c r="E71" s="321" t="s">
        <v>899</v>
      </c>
      <c r="F71" s="27" t="s">
        <v>309</v>
      </c>
      <c r="G71" s="34" t="s">
        <v>310</v>
      </c>
      <c r="H71" s="27" t="s">
        <v>311</v>
      </c>
      <c r="I71" s="27"/>
      <c r="J71" s="27" t="str">
        <f>CONCATENATE(F71, ", ", G71, " ", H71)</f>
        <v>ANAPI, DEEJAY GATAN</v>
      </c>
      <c r="K71" s="19" t="s">
        <v>721</v>
      </c>
      <c r="L71" s="27"/>
      <c r="M71" s="19" t="s">
        <v>691</v>
      </c>
      <c r="N71" s="316" t="s">
        <v>718</v>
      </c>
      <c r="O71" s="52">
        <v>32053</v>
      </c>
      <c r="P71" s="182">
        <v>35097</v>
      </c>
      <c r="Q71" s="52">
        <f>P71*20%</f>
        <v>7019.4000000000005</v>
      </c>
    </row>
    <row r="72" spans="1:17" ht="15.75" customHeight="1">
      <c r="A72" s="230">
        <v>7</v>
      </c>
      <c r="B72" s="27" t="s">
        <v>751</v>
      </c>
      <c r="C72" s="347"/>
      <c r="D72" s="27" t="s">
        <v>258</v>
      </c>
      <c r="E72" s="315"/>
      <c r="F72" s="27" t="s">
        <v>254</v>
      </c>
      <c r="G72" s="34" t="s">
        <v>255</v>
      </c>
      <c r="H72" s="27" t="s">
        <v>256</v>
      </c>
      <c r="I72" s="27"/>
      <c r="J72" s="27"/>
      <c r="K72" s="19"/>
      <c r="L72" s="27"/>
      <c r="M72" s="19"/>
      <c r="N72" s="316"/>
      <c r="O72" s="52"/>
      <c r="P72" s="182"/>
      <c r="Q72" s="52"/>
    </row>
    <row r="73" spans="1:17" ht="15.75" customHeight="1">
      <c r="A73" s="230">
        <v>8</v>
      </c>
      <c r="B73" s="27" t="s">
        <v>751</v>
      </c>
      <c r="C73" s="347"/>
      <c r="D73" s="27" t="s">
        <v>881</v>
      </c>
      <c r="E73" s="315" t="s">
        <v>752</v>
      </c>
      <c r="F73" s="27" t="s">
        <v>260</v>
      </c>
      <c r="G73" s="34" t="s">
        <v>261</v>
      </c>
      <c r="H73" s="27" t="s">
        <v>262</v>
      </c>
      <c r="I73" s="27"/>
      <c r="J73" s="27" t="str">
        <f>CONCATENATE(F73, ", ", G73, " ", H73)</f>
        <v>RECOLIZADO, JAYMAR CORSINO</v>
      </c>
      <c r="K73" s="19" t="s">
        <v>721</v>
      </c>
      <c r="L73" s="27"/>
      <c r="M73" s="19" t="s">
        <v>691</v>
      </c>
      <c r="N73" s="316" t="s">
        <v>718</v>
      </c>
      <c r="O73" s="52">
        <v>32053</v>
      </c>
      <c r="P73" s="182">
        <v>35097</v>
      </c>
      <c r="Q73" s="52">
        <f>P73*20%</f>
        <v>7019.4000000000005</v>
      </c>
    </row>
    <row r="74" spans="1:17" ht="15.75" customHeight="1">
      <c r="A74" s="230">
        <v>9</v>
      </c>
      <c r="B74" s="27" t="s">
        <v>730</v>
      </c>
      <c r="C74" s="347"/>
      <c r="D74" s="27" t="s">
        <v>272</v>
      </c>
      <c r="E74" s="128" t="s">
        <v>900</v>
      </c>
      <c r="F74" s="27" t="s">
        <v>386</v>
      </c>
      <c r="G74" s="34" t="s">
        <v>707</v>
      </c>
      <c r="H74" s="27" t="s">
        <v>388</v>
      </c>
      <c r="I74" s="27"/>
      <c r="J74" s="27"/>
      <c r="K74" s="19"/>
      <c r="L74" s="27"/>
      <c r="M74" s="19"/>
      <c r="N74" s="316"/>
      <c r="O74" s="52"/>
      <c r="P74" s="182"/>
      <c r="Q74" s="52"/>
    </row>
    <row r="75" spans="1:17" ht="18.600000000000001">
      <c r="A75" s="332">
        <v>10</v>
      </c>
      <c r="B75" s="369" t="s">
        <v>778</v>
      </c>
      <c r="C75" s="369"/>
      <c r="D75" s="369" t="s">
        <v>455</v>
      </c>
      <c r="E75" s="369"/>
      <c r="F75" s="369" t="s">
        <v>431</v>
      </c>
      <c r="G75" s="369" t="s">
        <v>432</v>
      </c>
      <c r="H75" s="369" t="s">
        <v>433</v>
      </c>
      <c r="I75" s="350"/>
      <c r="J75" s="351"/>
      <c r="K75" s="352"/>
      <c r="L75" s="353"/>
      <c r="M75" s="354"/>
      <c r="N75" s="355"/>
      <c r="O75" s="355"/>
      <c r="P75" s="356"/>
      <c r="Q75" s="214"/>
    </row>
    <row r="76" spans="1:17" ht="18.600000000000001">
      <c r="A76" s="707"/>
      <c r="B76" s="656"/>
      <c r="C76" s="656"/>
      <c r="D76" s="656"/>
      <c r="E76" s="656"/>
      <c r="F76" s="656"/>
      <c r="G76" s="656"/>
      <c r="H76" s="656"/>
      <c r="I76" s="350"/>
      <c r="J76" s="351"/>
      <c r="K76" s="352"/>
      <c r="L76" s="353"/>
      <c r="M76" s="354"/>
      <c r="N76" s="355"/>
      <c r="O76" s="355"/>
      <c r="P76" s="356"/>
      <c r="Q76" s="214"/>
    </row>
    <row r="77" spans="1:17" ht="18.600000000000001">
      <c r="A77" s="243" t="s">
        <v>755</v>
      </c>
      <c r="B77" s="374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5"/>
    </row>
    <row r="78" spans="1:17" ht="15.75" customHeight="1">
      <c r="A78" s="707" t="s">
        <v>659</v>
      </c>
      <c r="B78" s="656"/>
      <c r="C78" s="656"/>
      <c r="D78" s="656"/>
      <c r="E78" s="656"/>
      <c r="F78" s="656"/>
      <c r="G78" s="656"/>
      <c r="H78" s="656"/>
      <c r="I78" s="350"/>
      <c r="J78" s="351"/>
      <c r="K78" s="354"/>
      <c r="L78" s="376"/>
      <c r="M78" s="354"/>
      <c r="N78" s="377"/>
      <c r="O78" s="378"/>
      <c r="P78" s="356"/>
      <c r="Q78" s="214"/>
    </row>
    <row r="79" spans="1:17" ht="15.75" customHeight="1">
      <c r="A79" s="230">
        <v>1</v>
      </c>
      <c r="B79" s="20" t="s">
        <v>178</v>
      </c>
      <c r="C79" s="20" t="s">
        <v>215</v>
      </c>
      <c r="D79" s="23" t="s">
        <v>838</v>
      </c>
      <c r="E79" s="241" t="s">
        <v>901</v>
      </c>
      <c r="F79" s="23" t="s">
        <v>211</v>
      </c>
      <c r="G79" s="5" t="s">
        <v>212</v>
      </c>
      <c r="H79" s="23" t="s">
        <v>213</v>
      </c>
      <c r="I79" s="23"/>
      <c r="J79" s="27" t="str">
        <f t="shared" ref="J79:J81" si="2">CONCATENATE(F79, ", ", G79, " ", H79)</f>
        <v>ANDRES, RENE RABAGO</v>
      </c>
      <c r="K79" s="28" t="s">
        <v>85</v>
      </c>
      <c r="L79" s="244">
        <v>22474</v>
      </c>
      <c r="M79" s="28" t="s">
        <v>58</v>
      </c>
      <c r="N79" s="56">
        <v>44716</v>
      </c>
      <c r="O79" s="52">
        <v>17269</v>
      </c>
      <c r="P79" s="26" t="s">
        <v>214</v>
      </c>
      <c r="Q79" s="27" t="s">
        <v>21</v>
      </c>
    </row>
    <row r="80" spans="1:17" ht="15.75" customHeight="1">
      <c r="A80" s="230">
        <v>2</v>
      </c>
      <c r="B80" s="20" t="s">
        <v>80</v>
      </c>
      <c r="C80" s="20" t="s">
        <v>91</v>
      </c>
      <c r="D80" s="236" t="s">
        <v>756</v>
      </c>
      <c r="E80" s="357" t="s">
        <v>757</v>
      </c>
      <c r="F80" s="23" t="s">
        <v>87</v>
      </c>
      <c r="G80" s="5" t="s">
        <v>88</v>
      </c>
      <c r="H80" s="23" t="s">
        <v>89</v>
      </c>
      <c r="I80" s="23"/>
      <c r="J80" s="27" t="str">
        <f t="shared" si="2"/>
        <v>GAZZINGAN, CIRILO JR. NACINO</v>
      </c>
      <c r="K80" s="354"/>
      <c r="L80" s="376"/>
      <c r="M80" s="354"/>
      <c r="N80" s="377"/>
      <c r="O80" s="378"/>
      <c r="P80" s="356"/>
      <c r="Q80" s="214"/>
    </row>
    <row r="81" spans="1:17" ht="15.75" customHeight="1">
      <c r="A81" s="230">
        <v>3</v>
      </c>
      <c r="B81" s="319" t="s">
        <v>151</v>
      </c>
      <c r="C81" s="319" t="s">
        <v>168</v>
      </c>
      <c r="D81" s="379" t="s">
        <v>761</v>
      </c>
      <c r="E81" s="248" t="s">
        <v>762</v>
      </c>
      <c r="F81" s="27" t="s">
        <v>169</v>
      </c>
      <c r="G81" s="34" t="s">
        <v>170</v>
      </c>
      <c r="H81" s="27" t="s">
        <v>171</v>
      </c>
      <c r="I81" s="27"/>
      <c r="J81" s="27" t="str">
        <f t="shared" si="2"/>
        <v>NAZARITA, CONCEPCION CABALONGA</v>
      </c>
      <c r="K81" s="19" t="s">
        <v>64</v>
      </c>
      <c r="L81" s="380">
        <v>27564</v>
      </c>
      <c r="M81" s="19" t="s">
        <v>58</v>
      </c>
      <c r="N81" s="35" t="s">
        <v>162</v>
      </c>
      <c r="O81" s="35" t="s">
        <v>677</v>
      </c>
      <c r="P81" s="26" t="s">
        <v>760</v>
      </c>
      <c r="Q81" s="27" t="s">
        <v>10</v>
      </c>
    </row>
    <row r="82" spans="1:17" ht="15.75" customHeight="1">
      <c r="A82" s="230">
        <v>4</v>
      </c>
      <c r="B82" s="20" t="s">
        <v>151</v>
      </c>
      <c r="C82" s="20" t="s">
        <v>161</v>
      </c>
      <c r="D82" s="237" t="s">
        <v>758</v>
      </c>
      <c r="E82" s="237" t="s">
        <v>759</v>
      </c>
      <c r="F82" s="23" t="s">
        <v>157</v>
      </c>
      <c r="G82" s="5" t="s">
        <v>158</v>
      </c>
      <c r="H82" s="23" t="s">
        <v>159</v>
      </c>
      <c r="I82" s="23"/>
      <c r="J82" s="27"/>
      <c r="K82" s="28"/>
      <c r="L82" s="207"/>
      <c r="M82" s="28"/>
      <c r="N82" s="56"/>
      <c r="O82" s="52"/>
      <c r="P82" s="26"/>
      <c r="Q82" s="27"/>
    </row>
    <row r="83" spans="1:17" ht="15.75" customHeight="1">
      <c r="A83" s="230">
        <v>5</v>
      </c>
      <c r="B83" s="20" t="s">
        <v>151</v>
      </c>
      <c r="C83" s="20" t="s">
        <v>172</v>
      </c>
      <c r="D83" s="252" t="s">
        <v>763</v>
      </c>
      <c r="E83" s="241" t="s">
        <v>668</v>
      </c>
      <c r="F83" s="23" t="s">
        <v>173</v>
      </c>
      <c r="G83" s="5" t="s">
        <v>174</v>
      </c>
      <c r="H83" s="23" t="s">
        <v>175</v>
      </c>
      <c r="I83" s="23"/>
      <c r="J83" s="27" t="str">
        <f>CONCATENATE(F83, ", ", G83, " ", H83)</f>
        <v>RAMIREZ, DANIEL PADILLA</v>
      </c>
      <c r="K83" s="28" t="s">
        <v>85</v>
      </c>
      <c r="L83" s="207">
        <v>24753</v>
      </c>
      <c r="M83" s="28" t="s">
        <v>58</v>
      </c>
      <c r="N83" s="56">
        <v>44808</v>
      </c>
      <c r="O83" s="52">
        <v>20918</v>
      </c>
      <c r="P83" s="60" t="s">
        <v>176</v>
      </c>
      <c r="Q83" s="27" t="s">
        <v>25</v>
      </c>
    </row>
    <row r="84" spans="1:17" ht="15.75" customHeight="1">
      <c r="A84" s="230">
        <v>6</v>
      </c>
      <c r="B84" s="20" t="s">
        <v>764</v>
      </c>
      <c r="C84" s="20" t="s">
        <v>198</v>
      </c>
      <c r="D84" s="23" t="s">
        <v>747</v>
      </c>
      <c r="E84" s="241" t="s">
        <v>668</v>
      </c>
      <c r="F84" s="23" t="s">
        <v>199</v>
      </c>
      <c r="G84" s="5" t="s">
        <v>200</v>
      </c>
      <c r="H84" s="23" t="s">
        <v>197</v>
      </c>
      <c r="I84" s="23"/>
      <c r="J84" s="27"/>
      <c r="K84" s="28"/>
      <c r="L84" s="207"/>
      <c r="M84" s="28"/>
      <c r="N84" s="56"/>
      <c r="O84" s="52"/>
      <c r="P84" s="26"/>
      <c r="Q84" s="27"/>
    </row>
    <row r="85" spans="1:17" ht="18.600000000000001">
      <c r="A85" s="707" t="s">
        <v>688</v>
      </c>
      <c r="B85" s="656"/>
      <c r="C85" s="656"/>
      <c r="D85" s="656"/>
      <c r="E85" s="656"/>
      <c r="F85" s="656"/>
      <c r="G85" s="656"/>
      <c r="H85" s="657"/>
      <c r="I85" s="27"/>
      <c r="J85" s="27" t="str">
        <f>CONCATENATE(F85, ", ", G85, " ", H85)</f>
        <v xml:space="preserve">,  </v>
      </c>
      <c r="K85" s="19" t="s">
        <v>721</v>
      </c>
      <c r="L85" s="2"/>
      <c r="M85" s="79" t="s">
        <v>691</v>
      </c>
      <c r="N85" s="328">
        <v>45261</v>
      </c>
      <c r="O85" s="52">
        <v>26952</v>
      </c>
      <c r="P85" s="182">
        <v>27608</v>
      </c>
      <c r="Q85" s="52">
        <f>P85*20%</f>
        <v>5521.6</v>
      </c>
    </row>
    <row r="86" spans="1:17" ht="18.600000000000001">
      <c r="A86" s="230">
        <v>7</v>
      </c>
      <c r="B86" s="27" t="s">
        <v>820</v>
      </c>
      <c r="C86" s="315"/>
      <c r="D86" s="27" t="s">
        <v>455</v>
      </c>
      <c r="E86" s="379"/>
      <c r="F86" s="27" t="s">
        <v>415</v>
      </c>
      <c r="G86" s="34" t="s">
        <v>416</v>
      </c>
      <c r="H86" s="27" t="s">
        <v>417</v>
      </c>
      <c r="I86" s="27"/>
      <c r="J86" s="27"/>
      <c r="K86" s="19"/>
      <c r="L86" s="2"/>
      <c r="M86" s="19"/>
      <c r="N86" s="316"/>
      <c r="O86" s="52"/>
      <c r="P86" s="182"/>
      <c r="Q86" s="52"/>
    </row>
    <row r="87" spans="1:17" ht="18.600000000000001">
      <c r="A87" s="230">
        <v>8</v>
      </c>
      <c r="B87" s="27" t="s">
        <v>729</v>
      </c>
      <c r="C87" s="315" t="s">
        <v>880</v>
      </c>
      <c r="D87" s="27" t="s">
        <v>299</v>
      </c>
      <c r="E87" s="379" t="s">
        <v>766</v>
      </c>
      <c r="F87" s="27" t="s">
        <v>366</v>
      </c>
      <c r="G87" s="34" t="s">
        <v>367</v>
      </c>
      <c r="H87" s="27" t="s">
        <v>89</v>
      </c>
      <c r="I87" s="27"/>
      <c r="J87" s="27" t="str">
        <f t="shared" ref="J87:J88" si="3">CONCATENATE(F87, ", ", G87, " ", H87)</f>
        <v>SAGAYDORO, SHERYL NACINO</v>
      </c>
      <c r="K87" s="19" t="s">
        <v>700</v>
      </c>
      <c r="L87" s="2"/>
      <c r="M87" s="19" t="s">
        <v>691</v>
      </c>
      <c r="N87" s="316" t="s">
        <v>718</v>
      </c>
      <c r="O87" s="52">
        <v>32053</v>
      </c>
      <c r="P87" s="182">
        <v>35097</v>
      </c>
      <c r="Q87" s="52">
        <f>P87*20%</f>
        <v>7019.4000000000005</v>
      </c>
    </row>
    <row r="88" spans="1:17" ht="18.600000000000001">
      <c r="A88" s="230">
        <v>9</v>
      </c>
      <c r="B88" s="128" t="s">
        <v>621</v>
      </c>
      <c r="C88" s="128"/>
      <c r="D88" s="27" t="s">
        <v>881</v>
      </c>
      <c r="E88" s="365" t="s">
        <v>765</v>
      </c>
      <c r="F88" s="27" t="s">
        <v>291</v>
      </c>
      <c r="G88" s="27" t="s">
        <v>292</v>
      </c>
      <c r="H88" s="27" t="s">
        <v>293</v>
      </c>
      <c r="I88" s="27"/>
      <c r="J88" s="27" t="str">
        <f t="shared" si="3"/>
        <v>TOMAS, BRYAN HIDALGO</v>
      </c>
      <c r="K88" s="19" t="s">
        <v>721</v>
      </c>
      <c r="L88" s="19" t="s">
        <v>691</v>
      </c>
      <c r="M88" s="27" t="s">
        <v>139</v>
      </c>
      <c r="N88" s="128"/>
      <c r="O88" s="128"/>
      <c r="P88" s="128"/>
      <c r="Q88" s="128"/>
    </row>
    <row r="89" spans="1:17" ht="15.6">
      <c r="A89" s="13"/>
      <c r="B89" s="13"/>
      <c r="C89" s="13"/>
      <c r="D89" s="13"/>
      <c r="E89" s="13"/>
      <c r="F89" s="13"/>
      <c r="G89" s="134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ht="15.75" customHeight="1">
      <c r="A90" s="381" t="s">
        <v>767</v>
      </c>
      <c r="B90" s="382"/>
      <c r="C90" s="382"/>
      <c r="D90" s="382"/>
      <c r="E90" s="382"/>
      <c r="F90" s="382"/>
      <c r="G90" s="383"/>
      <c r="H90" s="382"/>
      <c r="I90" s="382"/>
      <c r="J90" s="382"/>
      <c r="K90" s="382"/>
      <c r="L90" s="382"/>
      <c r="M90" s="382"/>
      <c r="N90" s="382"/>
      <c r="O90" s="382"/>
      <c r="P90" s="382"/>
      <c r="Q90" s="384"/>
    </row>
    <row r="91" spans="1:17" ht="15.75" customHeight="1">
      <c r="A91" s="707" t="s">
        <v>659</v>
      </c>
      <c r="B91" s="656"/>
      <c r="C91" s="656"/>
      <c r="D91" s="656"/>
      <c r="E91" s="656"/>
      <c r="F91" s="656"/>
      <c r="G91" s="656"/>
      <c r="H91" s="656"/>
      <c r="I91" s="351"/>
      <c r="J91" s="351"/>
      <c r="K91" s="354"/>
      <c r="L91" s="353"/>
      <c r="M91" s="385"/>
      <c r="N91" s="355"/>
      <c r="O91" s="355"/>
      <c r="P91" s="356"/>
      <c r="Q91" s="214"/>
    </row>
    <row r="92" spans="1:17" ht="15.75" customHeight="1">
      <c r="A92" s="230">
        <v>1</v>
      </c>
      <c r="B92" s="256" t="s">
        <v>151</v>
      </c>
      <c r="C92" s="256" t="s">
        <v>812</v>
      </c>
      <c r="D92" s="379" t="s">
        <v>768</v>
      </c>
      <c r="E92" s="241" t="s">
        <v>769</v>
      </c>
      <c r="F92" s="27" t="s">
        <v>147</v>
      </c>
      <c r="G92" s="34" t="s">
        <v>148</v>
      </c>
      <c r="H92" s="27" t="s">
        <v>149</v>
      </c>
      <c r="I92" s="27"/>
      <c r="J92" s="27" t="str">
        <f>CONCATENATE(F92, ", ", G92, " ", H92)</f>
        <v>CABACUNGAN, LANIE AGTARAP</v>
      </c>
      <c r="K92" s="28" t="s">
        <v>64</v>
      </c>
      <c r="L92" s="207">
        <v>25000</v>
      </c>
      <c r="M92" s="24" t="s">
        <v>58</v>
      </c>
      <c r="N92" s="35" t="s">
        <v>190</v>
      </c>
      <c r="O92" s="35" t="s">
        <v>770</v>
      </c>
      <c r="P92" s="60" t="s">
        <v>771</v>
      </c>
      <c r="Q92" s="27" t="s">
        <v>4</v>
      </c>
    </row>
    <row r="93" spans="1:17" ht="15.75" customHeight="1">
      <c r="A93" s="708" t="s">
        <v>688</v>
      </c>
      <c r="B93" s="656"/>
      <c r="C93" s="656"/>
      <c r="D93" s="656"/>
      <c r="E93" s="656"/>
      <c r="F93" s="656"/>
      <c r="G93" s="656"/>
      <c r="H93" s="657"/>
      <c r="I93" s="27"/>
      <c r="J93" s="27"/>
      <c r="K93" s="19"/>
      <c r="L93" s="128"/>
      <c r="M93" s="19"/>
      <c r="N93" s="386"/>
      <c r="O93" s="52"/>
      <c r="P93" s="182"/>
      <c r="Q93" s="52"/>
    </row>
    <row r="94" spans="1:17" ht="15.75" customHeight="1">
      <c r="A94" s="230">
        <v>2</v>
      </c>
      <c r="B94" s="20" t="s">
        <v>139</v>
      </c>
      <c r="C94" s="20"/>
      <c r="D94" s="23" t="s">
        <v>881</v>
      </c>
      <c r="E94" s="241"/>
      <c r="F94" s="23" t="s">
        <v>163</v>
      </c>
      <c r="G94" s="5" t="s">
        <v>353</v>
      </c>
      <c r="H94" s="27" t="s">
        <v>354</v>
      </c>
      <c r="I94" s="23"/>
      <c r="J94" s="27" t="str">
        <f t="shared" ref="J94:J95" si="4">CONCATENATE(F94, ", ", G94, " ", H94)</f>
        <v>ABAD, DIETHER ALBANO</v>
      </c>
      <c r="K94" s="28" t="s">
        <v>721</v>
      </c>
      <c r="L94" s="207"/>
      <c r="M94" s="28"/>
      <c r="N94" s="35"/>
      <c r="O94" s="36"/>
      <c r="P94" s="26"/>
      <c r="Q94" s="27"/>
    </row>
    <row r="95" spans="1:17" ht="15.75" customHeight="1">
      <c r="A95" s="230">
        <v>3</v>
      </c>
      <c r="B95" s="20" t="s">
        <v>729</v>
      </c>
      <c r="C95" s="20"/>
      <c r="D95" s="23" t="s">
        <v>490</v>
      </c>
      <c r="E95" s="241"/>
      <c r="F95" s="23" t="s">
        <v>859</v>
      </c>
      <c r="G95" s="5" t="s">
        <v>847</v>
      </c>
      <c r="H95" s="27" t="s">
        <v>848</v>
      </c>
      <c r="I95" s="23"/>
      <c r="J95" s="27" t="str">
        <f t="shared" si="4"/>
        <v>CADIENTE, ULYSSES NIÑO MARCELO</v>
      </c>
      <c r="K95" s="28"/>
      <c r="L95" s="207"/>
      <c r="M95" s="28"/>
      <c r="N95" s="35"/>
      <c r="O95" s="36"/>
      <c r="P95" s="26"/>
      <c r="Q95" s="27"/>
    </row>
    <row r="96" spans="1:17" ht="15.75" customHeight="1">
      <c r="A96" s="230">
        <v>4</v>
      </c>
      <c r="B96" s="20" t="s">
        <v>820</v>
      </c>
      <c r="C96" s="20"/>
      <c r="D96" s="23" t="s">
        <v>455</v>
      </c>
      <c r="E96" s="241"/>
      <c r="F96" s="23" t="s">
        <v>852</v>
      </c>
      <c r="G96" s="5" t="s">
        <v>853</v>
      </c>
      <c r="H96" s="23" t="s">
        <v>854</v>
      </c>
      <c r="I96" s="23"/>
      <c r="J96" s="27"/>
      <c r="K96" s="28"/>
      <c r="L96" s="207"/>
      <c r="M96" s="28"/>
      <c r="N96" s="35"/>
      <c r="O96" s="36"/>
      <c r="P96" s="26"/>
      <c r="Q96" s="27"/>
    </row>
    <row r="97" spans="1:17" ht="15.75" customHeight="1">
      <c r="A97" s="230">
        <v>5</v>
      </c>
      <c r="B97" s="27" t="s">
        <v>754</v>
      </c>
      <c r="C97" s="20"/>
      <c r="D97" s="27" t="s">
        <v>299</v>
      </c>
      <c r="E97" s="128" t="s">
        <v>772</v>
      </c>
      <c r="F97" s="27" t="s">
        <v>363</v>
      </c>
      <c r="G97" s="34" t="s">
        <v>364</v>
      </c>
      <c r="H97" s="27" t="s">
        <v>365</v>
      </c>
      <c r="I97" s="27"/>
      <c r="J97" s="27" t="str">
        <f>CONCATENATE(F97, ", ", G97, " ", H97)</f>
        <v>VALDEZ, MARIA KRISTINE TAGUINOD</v>
      </c>
      <c r="K97" s="19" t="s">
        <v>700</v>
      </c>
      <c r="L97" s="128"/>
      <c r="M97" s="19" t="s">
        <v>691</v>
      </c>
      <c r="N97" s="386" t="s">
        <v>701</v>
      </c>
      <c r="O97" s="52">
        <v>22316</v>
      </c>
      <c r="P97" s="182">
        <v>25439</v>
      </c>
      <c r="Q97" s="52">
        <f>P97*20%</f>
        <v>5087.8</v>
      </c>
    </row>
    <row r="98" spans="1:17" ht="15.6">
      <c r="A98" s="13"/>
      <c r="B98" s="13"/>
      <c r="C98" s="13"/>
      <c r="D98" s="13"/>
      <c r="E98" s="13"/>
      <c r="F98" s="13"/>
      <c r="G98" s="134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ht="18.600000000000001">
      <c r="A99" s="331" t="s">
        <v>773</v>
      </c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1"/>
    </row>
    <row r="100" spans="1:17" ht="15.75" customHeight="1">
      <c r="A100" s="708" t="s">
        <v>659</v>
      </c>
      <c r="B100" s="656"/>
      <c r="C100" s="656"/>
      <c r="D100" s="656"/>
      <c r="E100" s="656"/>
      <c r="F100" s="656"/>
      <c r="G100" s="656"/>
      <c r="H100" s="656"/>
      <c r="I100" s="387"/>
      <c r="J100" s="351"/>
      <c r="K100" s="385"/>
      <c r="L100" s="353"/>
      <c r="M100" s="385"/>
      <c r="N100" s="355"/>
      <c r="O100" s="355"/>
      <c r="P100" s="356"/>
      <c r="Q100" s="214"/>
    </row>
    <row r="101" spans="1:17" ht="15.75" customHeight="1">
      <c r="A101" s="19">
        <v>1</v>
      </c>
      <c r="B101" s="257" t="s">
        <v>776</v>
      </c>
      <c r="C101" s="256" t="s">
        <v>210</v>
      </c>
      <c r="D101" s="65" t="s">
        <v>672</v>
      </c>
      <c r="E101" s="241" t="s">
        <v>769</v>
      </c>
      <c r="F101" s="65" t="s">
        <v>147</v>
      </c>
      <c r="G101" s="388" t="s">
        <v>208</v>
      </c>
      <c r="H101" s="65" t="s">
        <v>209</v>
      </c>
      <c r="I101" s="65"/>
      <c r="J101" s="27" t="str">
        <f>CONCATENATE(F101, ", ", G101, " ", H101)</f>
        <v>CABACUNGAN, MEDY JOSE MOSADAS</v>
      </c>
      <c r="K101" s="24" t="s">
        <v>85</v>
      </c>
      <c r="L101" s="207">
        <v>25349</v>
      </c>
      <c r="M101" s="24" t="s">
        <v>58</v>
      </c>
      <c r="N101" s="35" t="s">
        <v>146</v>
      </c>
      <c r="O101" s="35" t="s">
        <v>665</v>
      </c>
      <c r="P101" s="60" t="s">
        <v>775</v>
      </c>
      <c r="Q101" s="27" t="s">
        <v>20</v>
      </c>
    </row>
    <row r="102" spans="1:17" ht="15.75" customHeight="1">
      <c r="A102" s="707" t="s">
        <v>688</v>
      </c>
      <c r="B102" s="656"/>
      <c r="C102" s="656"/>
      <c r="D102" s="656"/>
      <c r="E102" s="656"/>
      <c r="F102" s="656"/>
      <c r="G102" s="656"/>
      <c r="H102" s="657"/>
      <c r="I102" s="27"/>
      <c r="J102" s="27"/>
      <c r="K102" s="19"/>
      <c r="L102" s="128"/>
      <c r="M102" s="19"/>
      <c r="N102" s="386"/>
      <c r="O102" s="52"/>
      <c r="P102" s="182"/>
      <c r="Q102" s="52"/>
    </row>
    <row r="103" spans="1:17" ht="15.75" customHeight="1">
      <c r="A103" s="230">
        <v>2</v>
      </c>
      <c r="B103" s="27" t="s">
        <v>605</v>
      </c>
      <c r="C103" s="20"/>
      <c r="D103" s="27" t="s">
        <v>455</v>
      </c>
      <c r="E103" s="365" t="s">
        <v>902</v>
      </c>
      <c r="F103" s="27" t="s">
        <v>141</v>
      </c>
      <c r="G103" s="34" t="s">
        <v>142</v>
      </c>
      <c r="H103" s="27" t="s">
        <v>143</v>
      </c>
      <c r="I103" s="47"/>
      <c r="J103" s="27" t="str">
        <f t="shared" ref="J103:J105" si="5">CONCATENATE(F103, ", ", G103, " ", H103)</f>
        <v>AGAOID, EDISON SALVADOR</v>
      </c>
      <c r="K103" s="28"/>
      <c r="L103" s="216"/>
      <c r="M103" s="47"/>
      <c r="N103" s="35"/>
      <c r="O103" s="35"/>
      <c r="P103" s="26"/>
      <c r="Q103" s="27"/>
    </row>
    <row r="104" spans="1:17" ht="15.75" customHeight="1">
      <c r="A104" s="230">
        <v>3</v>
      </c>
      <c r="B104" s="27" t="s">
        <v>754</v>
      </c>
      <c r="C104" s="178"/>
      <c r="D104" s="27" t="s">
        <v>299</v>
      </c>
      <c r="E104" s="128" t="s">
        <v>777</v>
      </c>
      <c r="F104" s="27" t="s">
        <v>99</v>
      </c>
      <c r="G104" s="34" t="s">
        <v>370</v>
      </c>
      <c r="H104" s="27" t="s">
        <v>371</v>
      </c>
      <c r="I104" s="27"/>
      <c r="J104" s="27" t="str">
        <f t="shared" si="5"/>
        <v>DEL ROSARIO, JONATHAN FERNANDEZ</v>
      </c>
      <c r="K104" s="19" t="s">
        <v>721</v>
      </c>
      <c r="L104" s="128"/>
      <c r="M104" s="19" t="s">
        <v>691</v>
      </c>
      <c r="N104" s="386" t="s">
        <v>701</v>
      </c>
      <c r="O104" s="52">
        <v>22316</v>
      </c>
      <c r="P104" s="182">
        <v>25439</v>
      </c>
      <c r="Q104" s="52">
        <f t="shared" ref="Q104:Q105" si="6">P104*20%</f>
        <v>5087.8</v>
      </c>
    </row>
    <row r="105" spans="1:17" ht="15" customHeight="1">
      <c r="A105" s="230">
        <v>4</v>
      </c>
      <c r="B105" s="27" t="s">
        <v>724</v>
      </c>
      <c r="C105" s="178"/>
      <c r="D105" s="27" t="s">
        <v>881</v>
      </c>
      <c r="E105" s="128" t="s">
        <v>727</v>
      </c>
      <c r="F105" s="27" t="s">
        <v>327</v>
      </c>
      <c r="G105" s="34" t="s">
        <v>328</v>
      </c>
      <c r="H105" s="27" t="s">
        <v>329</v>
      </c>
      <c r="I105" s="27"/>
      <c r="J105" s="27" t="str">
        <f t="shared" si="5"/>
        <v>GARCIA, JEANNE SHANNON ORIAL</v>
      </c>
      <c r="K105" s="19" t="s">
        <v>700</v>
      </c>
      <c r="L105" s="128"/>
      <c r="M105" s="19" t="s">
        <v>691</v>
      </c>
      <c r="N105" s="386" t="s">
        <v>701</v>
      </c>
      <c r="O105" s="52">
        <v>22316</v>
      </c>
      <c r="P105" s="182">
        <v>25439</v>
      </c>
      <c r="Q105" s="52">
        <f t="shared" si="6"/>
        <v>5087.8</v>
      </c>
    </row>
    <row r="107" spans="1:17" ht="15.75" customHeight="1">
      <c r="A107" s="331" t="s">
        <v>779</v>
      </c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1"/>
    </row>
    <row r="108" spans="1:17" ht="15.75" customHeight="1">
      <c r="A108" s="708" t="s">
        <v>659</v>
      </c>
      <c r="B108" s="656"/>
      <c r="C108" s="656"/>
      <c r="D108" s="656"/>
      <c r="E108" s="656"/>
      <c r="F108" s="656"/>
      <c r="G108" s="656"/>
      <c r="H108" s="656"/>
      <c r="I108" s="389"/>
      <c r="J108" s="351"/>
      <c r="K108" s="385"/>
      <c r="L108" s="390"/>
      <c r="M108" s="391"/>
      <c r="N108" s="355"/>
      <c r="O108" s="355"/>
      <c r="P108" s="356"/>
      <c r="Q108" s="214"/>
    </row>
    <row r="109" spans="1:17" ht="15.75" customHeight="1">
      <c r="A109" s="19">
        <v>1</v>
      </c>
      <c r="B109" s="27" t="s">
        <v>178</v>
      </c>
      <c r="C109" s="27"/>
      <c r="D109" s="27" t="s">
        <v>747</v>
      </c>
      <c r="E109" s="27" t="s">
        <v>780</v>
      </c>
      <c r="F109" s="27" t="s">
        <v>242</v>
      </c>
      <c r="G109" s="34" t="s">
        <v>243</v>
      </c>
      <c r="H109" s="27"/>
      <c r="I109" s="27"/>
      <c r="J109" s="27" t="str">
        <f t="shared" ref="J109:J110" si="7">CONCATENATE(F109, ", ", G109, " ", H109)</f>
        <v xml:space="preserve">ROSAL, JOSEPH </v>
      </c>
      <c r="K109" s="27"/>
      <c r="L109" s="380"/>
      <c r="M109" s="27"/>
      <c r="N109" s="19"/>
      <c r="O109" s="19"/>
      <c r="P109" s="27"/>
      <c r="Q109" s="27"/>
    </row>
    <row r="110" spans="1:17" ht="15.75" customHeight="1">
      <c r="A110" s="19">
        <v>2</v>
      </c>
      <c r="B110" s="238" t="s">
        <v>105</v>
      </c>
      <c r="C110" s="238" t="s">
        <v>144</v>
      </c>
      <c r="D110" s="46" t="s">
        <v>781</v>
      </c>
      <c r="E110" s="46" t="s">
        <v>782</v>
      </c>
      <c r="F110" s="46" t="s">
        <v>106</v>
      </c>
      <c r="G110" s="333" t="s">
        <v>107</v>
      </c>
      <c r="H110" s="46" t="s">
        <v>108</v>
      </c>
      <c r="I110" s="46"/>
      <c r="J110" s="27" t="str">
        <f t="shared" si="7"/>
        <v>TULAUAN, JOHANNA FERIDO</v>
      </c>
      <c r="K110" s="24" t="s">
        <v>64</v>
      </c>
      <c r="L110" s="37">
        <v>45272</v>
      </c>
      <c r="M110" s="215" t="s">
        <v>58</v>
      </c>
      <c r="N110" s="35" t="s">
        <v>140</v>
      </c>
      <c r="O110" s="35" t="s">
        <v>783</v>
      </c>
      <c r="P110" s="60" t="s">
        <v>784</v>
      </c>
      <c r="Q110" s="27" t="s">
        <v>14</v>
      </c>
    </row>
    <row r="111" spans="1:17" ht="18.600000000000001">
      <c r="A111" s="708" t="s">
        <v>688</v>
      </c>
      <c r="B111" s="656"/>
      <c r="C111" s="656"/>
      <c r="D111" s="656"/>
      <c r="E111" s="656"/>
      <c r="F111" s="656"/>
      <c r="G111" s="656"/>
      <c r="H111" s="657"/>
      <c r="I111" s="27"/>
      <c r="J111" s="27"/>
      <c r="K111" s="19"/>
      <c r="L111" s="19"/>
      <c r="M111" s="19"/>
      <c r="N111" s="386"/>
      <c r="O111" s="52"/>
      <c r="P111" s="52"/>
      <c r="Q111" s="52"/>
    </row>
    <row r="112" spans="1:17" ht="15.75" customHeight="1">
      <c r="A112" s="19">
        <v>3</v>
      </c>
      <c r="B112" s="27" t="s">
        <v>820</v>
      </c>
      <c r="C112" s="27"/>
      <c r="D112" s="27" t="s">
        <v>455</v>
      </c>
      <c r="E112" s="27"/>
      <c r="F112" s="27" t="s">
        <v>391</v>
      </c>
      <c r="G112" s="34" t="s">
        <v>392</v>
      </c>
      <c r="H112" s="27" t="s">
        <v>393</v>
      </c>
      <c r="I112" s="27"/>
      <c r="J112" s="27"/>
      <c r="K112" s="27"/>
      <c r="L112" s="380"/>
      <c r="M112" s="27"/>
      <c r="N112" s="19"/>
      <c r="O112" s="19"/>
      <c r="P112" s="27"/>
      <c r="Q112" s="27"/>
    </row>
    <row r="113" spans="1:17" ht="15.75" customHeight="1">
      <c r="A113" s="19">
        <v>4</v>
      </c>
      <c r="B113" s="27" t="s">
        <v>754</v>
      </c>
      <c r="C113" s="27"/>
      <c r="D113" s="27" t="s">
        <v>299</v>
      </c>
      <c r="E113" s="27" t="s">
        <v>903</v>
      </c>
      <c r="F113" s="27" t="s">
        <v>375</v>
      </c>
      <c r="G113" s="34" t="s">
        <v>376</v>
      </c>
      <c r="H113" s="27" t="s">
        <v>377</v>
      </c>
      <c r="I113" s="27"/>
      <c r="J113" s="27" t="str">
        <f t="shared" ref="J113:J114" si="8">CONCATENATE(F113, ", ", G113, " ", H113)</f>
        <v>DAWIDEO, SAMANTHA PAYUKET</v>
      </c>
      <c r="K113" s="27" t="s">
        <v>700</v>
      </c>
      <c r="L113" s="380"/>
      <c r="M113" s="27" t="s">
        <v>691</v>
      </c>
      <c r="N113" s="19" t="s">
        <v>701</v>
      </c>
      <c r="O113" s="19">
        <v>22316</v>
      </c>
      <c r="P113" s="27">
        <v>25439</v>
      </c>
      <c r="Q113" s="27">
        <f>P113*20%</f>
        <v>5087.8</v>
      </c>
    </row>
    <row r="114" spans="1:17" ht="15.75" customHeight="1">
      <c r="A114" s="19">
        <v>5</v>
      </c>
      <c r="B114" s="27" t="s">
        <v>621</v>
      </c>
      <c r="C114" s="27"/>
      <c r="D114" s="27" t="s">
        <v>881</v>
      </c>
      <c r="E114" s="27" t="s">
        <v>785</v>
      </c>
      <c r="F114" s="27" t="s">
        <v>286</v>
      </c>
      <c r="G114" s="34" t="s">
        <v>287</v>
      </c>
      <c r="H114" s="27" t="s">
        <v>288</v>
      </c>
      <c r="I114" s="27"/>
      <c r="J114" s="27" t="str">
        <f t="shared" si="8"/>
        <v>MADDELA, KARL STEVEN ADALEM</v>
      </c>
      <c r="K114" s="27"/>
      <c r="L114" s="380"/>
      <c r="M114" s="27"/>
      <c r="N114" s="19"/>
      <c r="O114" s="19"/>
      <c r="P114" s="27"/>
      <c r="Q114" s="27"/>
    </row>
    <row r="115" spans="1:17" ht="18.600000000000001">
      <c r="A115" s="218"/>
      <c r="B115" s="53"/>
      <c r="C115" s="13"/>
      <c r="D115" s="53"/>
      <c r="E115" s="219"/>
      <c r="F115" s="134"/>
      <c r="G115" s="134"/>
      <c r="H115" s="138"/>
      <c r="I115" s="138"/>
      <c r="J115" s="53"/>
      <c r="K115" s="218"/>
      <c r="L115" s="218"/>
      <c r="M115" s="218"/>
      <c r="N115" s="220"/>
      <c r="O115" s="221"/>
      <c r="P115" s="221"/>
      <c r="Q115" s="221"/>
    </row>
    <row r="116" spans="1:17" ht="18.600000000000001">
      <c r="A116" s="218"/>
      <c r="B116" s="53"/>
      <c r="C116" s="13"/>
      <c r="D116" s="53"/>
      <c r="E116" s="219"/>
      <c r="F116" s="134"/>
      <c r="G116" s="134"/>
      <c r="H116" s="138"/>
      <c r="I116" s="138"/>
      <c r="J116" s="53"/>
      <c r="K116" s="218"/>
      <c r="L116" s="218"/>
      <c r="M116" s="218"/>
      <c r="N116" s="220"/>
      <c r="O116" s="221"/>
      <c r="P116" s="221"/>
      <c r="Q116" s="221"/>
    </row>
    <row r="117" spans="1:17" ht="18.600000000000001">
      <c r="A117" s="218"/>
      <c r="B117" s="53"/>
      <c r="C117" s="13"/>
      <c r="D117" s="53"/>
      <c r="E117" s="219"/>
      <c r="F117" s="134"/>
      <c r="G117" s="134"/>
      <c r="H117" s="138"/>
      <c r="I117" s="138"/>
      <c r="J117" s="53"/>
      <c r="K117" s="218"/>
      <c r="L117" s="218"/>
      <c r="M117" s="218"/>
      <c r="N117" s="220"/>
      <c r="O117" s="221"/>
      <c r="P117" s="221"/>
      <c r="Q117" s="221"/>
    </row>
    <row r="118" spans="1:17" ht="18.600000000000001">
      <c r="A118" s="218"/>
      <c r="B118" s="53"/>
      <c r="C118" s="13"/>
      <c r="D118" s="53"/>
      <c r="E118" s="219"/>
      <c r="F118" s="134"/>
      <c r="G118" s="134"/>
      <c r="H118" s="138"/>
      <c r="I118" s="138"/>
      <c r="J118" s="53"/>
      <c r="K118" s="218"/>
      <c r="L118" s="218"/>
      <c r="M118" s="218"/>
      <c r="N118" s="220"/>
      <c r="O118" s="221"/>
      <c r="P118" s="221"/>
      <c r="Q118" s="221"/>
    </row>
    <row r="120" spans="1:17" ht="18.600000000000001">
      <c r="A120" s="218"/>
      <c r="B120" s="53"/>
      <c r="C120" s="13"/>
      <c r="D120" s="53"/>
      <c r="E120" s="219"/>
      <c r="F120" s="134"/>
      <c r="G120" s="134"/>
      <c r="H120" s="138"/>
      <c r="I120" s="138"/>
      <c r="J120" s="53"/>
      <c r="K120" s="218"/>
      <c r="L120" s="218"/>
      <c r="M120" s="218"/>
      <c r="N120" s="220"/>
      <c r="O120" s="221"/>
      <c r="P120" s="221"/>
      <c r="Q120" s="221"/>
    </row>
    <row r="121" spans="1:17" ht="18.600000000000001">
      <c r="A121" s="218"/>
      <c r="B121" s="53"/>
      <c r="C121" s="13"/>
      <c r="D121" s="53"/>
      <c r="E121" s="219"/>
      <c r="F121" s="134"/>
      <c r="G121" s="134"/>
      <c r="H121" s="138"/>
      <c r="I121" s="138"/>
      <c r="J121" s="53"/>
      <c r="K121" s="218"/>
      <c r="L121" s="218"/>
      <c r="M121" s="218"/>
      <c r="N121" s="220"/>
      <c r="O121" s="221"/>
      <c r="P121" s="221"/>
      <c r="Q121" s="221"/>
    </row>
    <row r="122" spans="1:17" ht="18.600000000000001">
      <c r="A122" s="218"/>
      <c r="B122" s="53"/>
      <c r="C122" s="13"/>
      <c r="D122" s="53"/>
      <c r="E122" s="219"/>
      <c r="F122" s="134"/>
      <c r="G122" s="134"/>
      <c r="H122" s="138"/>
      <c r="I122" s="138"/>
      <c r="J122" s="53"/>
      <c r="K122" s="218"/>
      <c r="L122" s="218"/>
      <c r="M122" s="218"/>
      <c r="N122" s="220"/>
      <c r="O122" s="221"/>
      <c r="P122" s="221"/>
      <c r="Q122" s="221"/>
    </row>
    <row r="123" spans="1:17" ht="18.600000000000001">
      <c r="A123" s="218"/>
      <c r="B123" s="53"/>
      <c r="C123" s="13"/>
      <c r="D123" s="53"/>
      <c r="E123" s="219"/>
      <c r="F123" s="134"/>
      <c r="G123" s="134"/>
      <c r="H123" s="138"/>
      <c r="I123" s="138"/>
      <c r="J123" s="53"/>
      <c r="K123" s="218"/>
      <c r="L123" s="218"/>
      <c r="M123" s="218"/>
      <c r="N123" s="220"/>
      <c r="O123" s="221"/>
      <c r="P123" s="221"/>
      <c r="Q123" s="221"/>
    </row>
    <row r="124" spans="1:17" ht="18.600000000000001">
      <c r="A124" s="218"/>
      <c r="B124" s="53"/>
      <c r="C124" s="13"/>
      <c r="D124" s="53"/>
      <c r="E124" s="219"/>
      <c r="F124" s="134"/>
      <c r="G124" s="134"/>
      <c r="H124" s="138"/>
      <c r="I124" s="138"/>
      <c r="J124" s="53"/>
      <c r="K124" s="218"/>
      <c r="L124" s="218"/>
      <c r="M124" s="218"/>
      <c r="N124" s="220"/>
      <c r="O124" s="221"/>
      <c r="P124" s="221"/>
      <c r="Q124" s="221"/>
    </row>
    <row r="125" spans="1:17" ht="18.600000000000001">
      <c r="A125" s="218"/>
      <c r="B125" s="53"/>
      <c r="C125" s="13"/>
      <c r="D125" s="53"/>
      <c r="E125" s="219"/>
      <c r="F125" s="134"/>
      <c r="G125" s="134"/>
      <c r="H125" s="138"/>
      <c r="I125" s="138"/>
      <c r="J125" s="53"/>
      <c r="K125" s="218"/>
      <c r="L125" s="218"/>
      <c r="M125" s="218"/>
      <c r="N125" s="220"/>
      <c r="O125" s="221"/>
      <c r="P125" s="221"/>
      <c r="Q125" s="221"/>
    </row>
    <row r="126" spans="1:17" ht="18.600000000000001">
      <c r="A126" s="218"/>
      <c r="B126" s="53"/>
      <c r="C126" s="13"/>
      <c r="D126" s="53"/>
      <c r="E126" s="219"/>
      <c r="F126" s="134"/>
      <c r="G126" s="134"/>
      <c r="H126" s="138"/>
      <c r="I126" s="138"/>
      <c r="J126" s="53"/>
      <c r="K126" s="218"/>
      <c r="L126" s="218"/>
      <c r="M126" s="218"/>
      <c r="N126" s="220"/>
      <c r="O126" s="221"/>
      <c r="P126" s="221"/>
      <c r="Q126" s="221"/>
    </row>
    <row r="127" spans="1:17" ht="18.600000000000001">
      <c r="A127" s="218"/>
      <c r="B127" s="53"/>
      <c r="C127" s="13"/>
      <c r="D127" s="53"/>
      <c r="E127" s="219"/>
      <c r="F127" s="134"/>
      <c r="G127" s="134"/>
      <c r="H127" s="138"/>
      <c r="I127" s="138"/>
      <c r="J127" s="53"/>
      <c r="K127" s="218"/>
      <c r="L127" s="218"/>
      <c r="M127" s="218"/>
      <c r="N127" s="220"/>
      <c r="O127" s="221"/>
      <c r="P127" s="221"/>
      <c r="Q127" s="221"/>
    </row>
    <row r="128" spans="1:17" ht="18.600000000000001">
      <c r="A128" s="218"/>
      <c r="B128" s="53"/>
      <c r="C128" s="13"/>
      <c r="D128" s="53"/>
      <c r="E128" s="219"/>
      <c r="F128" s="134"/>
      <c r="G128" s="134"/>
      <c r="H128" s="138"/>
      <c r="I128" s="138"/>
      <c r="J128" s="53"/>
      <c r="K128" s="218"/>
      <c r="L128" s="218"/>
      <c r="M128" s="218"/>
      <c r="N128" s="220"/>
      <c r="O128" s="221"/>
      <c r="P128" s="221"/>
      <c r="Q128" s="221"/>
    </row>
    <row r="129" spans="1:17" ht="18.600000000000001">
      <c r="A129" s="218"/>
      <c r="B129" s="53"/>
      <c r="C129" s="13"/>
      <c r="D129" s="53"/>
      <c r="E129" s="219"/>
      <c r="F129" s="134"/>
      <c r="G129" s="134"/>
      <c r="H129" s="138"/>
      <c r="I129" s="138"/>
      <c r="J129" s="53"/>
      <c r="K129" s="218"/>
      <c r="L129" s="218"/>
      <c r="M129" s="218"/>
      <c r="N129" s="220"/>
      <c r="O129" s="221"/>
      <c r="P129" s="221"/>
      <c r="Q129" s="221"/>
    </row>
    <row r="130" spans="1:17" ht="18.600000000000001">
      <c r="A130" s="218"/>
      <c r="B130" s="53"/>
      <c r="C130" s="13"/>
      <c r="D130" s="53"/>
      <c r="E130" s="219"/>
      <c r="F130" s="134"/>
      <c r="G130" s="134"/>
      <c r="H130" s="138"/>
      <c r="I130" s="138"/>
      <c r="J130" s="53"/>
      <c r="K130" s="218"/>
      <c r="L130" s="218"/>
      <c r="M130" s="218"/>
      <c r="N130" s="220"/>
      <c r="O130" s="221"/>
      <c r="P130" s="221"/>
      <c r="Q130" s="221"/>
    </row>
    <row r="131" spans="1:17" ht="18.600000000000001">
      <c r="A131" s="218"/>
      <c r="B131" s="53"/>
      <c r="C131" s="13"/>
      <c r="D131" s="53"/>
      <c r="E131" s="219"/>
      <c r="F131" s="134"/>
      <c r="G131" s="134"/>
      <c r="H131" s="138"/>
      <c r="I131" s="138"/>
      <c r="J131" s="53"/>
      <c r="K131" s="218"/>
      <c r="L131" s="218"/>
      <c r="M131" s="218"/>
      <c r="N131" s="220"/>
      <c r="O131" s="221"/>
      <c r="P131" s="221"/>
      <c r="Q131" s="221"/>
    </row>
    <row r="132" spans="1:17" ht="18.600000000000001">
      <c r="A132" s="218"/>
      <c r="B132" s="53"/>
      <c r="C132" s="13"/>
      <c r="D132" s="53"/>
      <c r="E132" s="219"/>
      <c r="F132" s="134"/>
      <c r="G132" s="134"/>
      <c r="H132" s="138"/>
      <c r="I132" s="138"/>
      <c r="J132" s="53"/>
      <c r="K132" s="218"/>
      <c r="L132" s="218"/>
      <c r="M132" s="218"/>
      <c r="N132" s="220"/>
      <c r="O132" s="221"/>
      <c r="P132" s="221"/>
      <c r="Q132" s="221"/>
    </row>
  </sheetData>
  <mergeCells count="41">
    <mergeCell ref="A21:H21"/>
    <mergeCell ref="A30:H30"/>
    <mergeCell ref="A31:Q31"/>
    <mergeCell ref="A32:H32"/>
    <mergeCell ref="A35:H35"/>
    <mergeCell ref="A9:Q9"/>
    <mergeCell ref="A10:H10"/>
    <mergeCell ref="A1:Q1"/>
    <mergeCell ref="A2:Q2"/>
    <mergeCell ref="A3:Q3"/>
    <mergeCell ref="B4:Q4"/>
    <mergeCell ref="A5:Q5"/>
    <mergeCell ref="A6:A7"/>
    <mergeCell ref="B6:B7"/>
    <mergeCell ref="E6:E7"/>
    <mergeCell ref="F6:H6"/>
    <mergeCell ref="N6:N7"/>
    <mergeCell ref="O6:O7"/>
    <mergeCell ref="P6:P7"/>
    <mergeCell ref="Q6:Q7"/>
    <mergeCell ref="A8:Q8"/>
    <mergeCell ref="C6:C7"/>
    <mergeCell ref="D6:D7"/>
    <mergeCell ref="K6:K7"/>
    <mergeCell ref="L6:L7"/>
    <mergeCell ref="M6:M7"/>
    <mergeCell ref="A102:H102"/>
    <mergeCell ref="A108:H108"/>
    <mergeCell ref="A111:H111"/>
    <mergeCell ref="A54:H54"/>
    <mergeCell ref="A56:H56"/>
    <mergeCell ref="A59:H59"/>
    <mergeCell ref="A62:H62"/>
    <mergeCell ref="A64:H64"/>
    <mergeCell ref="A70:H70"/>
    <mergeCell ref="A76:H76"/>
    <mergeCell ref="A78:H78"/>
    <mergeCell ref="A85:H85"/>
    <mergeCell ref="A91:H91"/>
    <mergeCell ref="A93:H93"/>
    <mergeCell ref="A100:H100"/>
  </mergeCells>
  <pageMargins left="0.70866141732283472" right="0.78873239436619724" top="0.74803149606299213" bottom="0.74803149606299213" header="0" footer="0"/>
  <pageSetup paperSize="5" orientation="landscape"/>
  <rowBreaks count="4" manualBreakCount="4">
    <brk id="89" man="1"/>
    <brk id="60" man="1"/>
    <brk id="61" man="1"/>
    <brk id="30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outlinePr summaryBelow="0" summaryRight="0"/>
    <pageSetUpPr fitToPage="1"/>
  </sheetPr>
  <dimension ref="A1:M53"/>
  <sheetViews>
    <sheetView workbookViewId="0"/>
  </sheetViews>
  <sheetFormatPr defaultColWidth="14.44140625" defaultRowHeight="15" customHeight="1"/>
  <cols>
    <col min="1" max="1" width="8" customWidth="1"/>
    <col min="2" max="2" width="58.88671875" customWidth="1"/>
    <col min="3" max="3" width="43" customWidth="1"/>
    <col min="4" max="6" width="14.44140625" hidden="1"/>
    <col min="7" max="7" width="19.33203125" customWidth="1"/>
    <col min="8" max="8" width="23.5546875" customWidth="1"/>
    <col min="9" max="9" width="20.109375" customWidth="1"/>
    <col min="10" max="11" width="14.44140625" hidden="1"/>
    <col min="12" max="12" width="6.44140625" customWidth="1"/>
  </cols>
  <sheetData>
    <row r="1" spans="1:13" ht="18">
      <c r="A1" s="711" t="s">
        <v>66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</row>
    <row r="2" spans="1:13" ht="18">
      <c r="A2" s="392"/>
      <c r="B2" s="392"/>
      <c r="C2" s="392"/>
      <c r="D2" s="392"/>
      <c r="E2" s="712" t="s">
        <v>43</v>
      </c>
      <c r="F2" s="657"/>
      <c r="G2" s="712" t="s">
        <v>44</v>
      </c>
      <c r="H2" s="656"/>
      <c r="I2" s="657"/>
      <c r="J2" s="392"/>
      <c r="K2" s="392"/>
    </row>
    <row r="3" spans="1:13" ht="18">
      <c r="A3" s="30" t="s">
        <v>788</v>
      </c>
      <c r="B3" s="393" t="s">
        <v>41</v>
      </c>
      <c r="C3" s="393" t="s">
        <v>49</v>
      </c>
      <c r="D3" s="393" t="s">
        <v>42</v>
      </c>
      <c r="E3" s="393">
        <v>2022</v>
      </c>
      <c r="F3" s="393">
        <v>2023</v>
      </c>
      <c r="G3" s="393" t="s">
        <v>654</v>
      </c>
      <c r="H3" s="393" t="s">
        <v>655</v>
      </c>
      <c r="I3" s="393" t="s">
        <v>656</v>
      </c>
      <c r="J3" s="393" t="s">
        <v>45</v>
      </c>
      <c r="K3" s="394" t="s">
        <v>540</v>
      </c>
    </row>
    <row r="4" spans="1:13" ht="15.6" hidden="1">
      <c r="A4" s="144">
        <v>1</v>
      </c>
      <c r="B4" s="147" t="s">
        <v>789</v>
      </c>
      <c r="C4" s="146"/>
      <c r="D4" s="224" t="s">
        <v>790</v>
      </c>
      <c r="E4" s="145">
        <v>20918</v>
      </c>
      <c r="F4" s="145">
        <v>21747</v>
      </c>
      <c r="G4" s="147" t="s">
        <v>163</v>
      </c>
      <c r="H4" s="147" t="s">
        <v>164</v>
      </c>
      <c r="I4" s="147" t="s">
        <v>82</v>
      </c>
      <c r="J4" s="144" t="s">
        <v>64</v>
      </c>
      <c r="K4" s="2" t="s">
        <v>791</v>
      </c>
    </row>
    <row r="5" spans="1:13" ht="18">
      <c r="A5" s="30">
        <v>1</v>
      </c>
      <c r="B5" s="395" t="s">
        <v>792</v>
      </c>
      <c r="C5" s="29" t="s">
        <v>215</v>
      </c>
      <c r="D5" s="396" t="s">
        <v>800</v>
      </c>
      <c r="E5" s="397">
        <v>17269</v>
      </c>
      <c r="F5" s="397">
        <v>17962</v>
      </c>
      <c r="G5" s="395" t="s">
        <v>211</v>
      </c>
      <c r="H5" s="395" t="s">
        <v>212</v>
      </c>
      <c r="I5" s="395" t="s">
        <v>213</v>
      </c>
      <c r="J5" s="30" t="s">
        <v>85</v>
      </c>
      <c r="K5" s="392" t="s">
        <v>66</v>
      </c>
      <c r="L5" s="89">
        <v>1</v>
      </c>
    </row>
    <row r="6" spans="1:13" ht="18">
      <c r="A6" s="30">
        <v>2</v>
      </c>
      <c r="B6" s="395" t="s">
        <v>792</v>
      </c>
      <c r="C6" s="29" t="s">
        <v>188</v>
      </c>
      <c r="D6" s="396" t="s">
        <v>809</v>
      </c>
      <c r="E6" s="397">
        <v>18739</v>
      </c>
      <c r="F6" s="397">
        <v>18739</v>
      </c>
      <c r="G6" s="395" t="s">
        <v>184</v>
      </c>
      <c r="H6" s="395" t="s">
        <v>185</v>
      </c>
      <c r="I6" s="395" t="s">
        <v>186</v>
      </c>
      <c r="J6" s="30" t="s">
        <v>85</v>
      </c>
      <c r="K6" s="392" t="s">
        <v>66</v>
      </c>
      <c r="L6" s="89">
        <v>2</v>
      </c>
    </row>
    <row r="7" spans="1:13" ht="18">
      <c r="A7" s="30">
        <v>3</v>
      </c>
      <c r="B7" s="395" t="s">
        <v>793</v>
      </c>
      <c r="C7" s="29" t="s">
        <v>86</v>
      </c>
      <c r="D7" s="29" t="s">
        <v>794</v>
      </c>
      <c r="E7" s="397">
        <v>69963</v>
      </c>
      <c r="F7" s="397">
        <v>71511</v>
      </c>
      <c r="G7" s="395" t="s">
        <v>82</v>
      </c>
      <c r="H7" s="395" t="s">
        <v>83</v>
      </c>
      <c r="I7" s="395" t="s">
        <v>84</v>
      </c>
      <c r="J7" s="30" t="s">
        <v>85</v>
      </c>
      <c r="K7" s="392" t="s">
        <v>66</v>
      </c>
      <c r="L7" s="89">
        <v>3</v>
      </c>
    </row>
    <row r="8" spans="1:13" ht="15.6" hidden="1">
      <c r="A8" s="144">
        <v>5</v>
      </c>
      <c r="B8" s="147" t="s">
        <v>807</v>
      </c>
      <c r="C8" s="146"/>
      <c r="D8" s="224" t="s">
        <v>808</v>
      </c>
      <c r="E8" s="145">
        <v>14903</v>
      </c>
      <c r="F8" s="145">
        <v>15486</v>
      </c>
      <c r="G8" s="147" t="s">
        <v>237</v>
      </c>
      <c r="H8" s="147" t="s">
        <v>238</v>
      </c>
      <c r="I8" s="147" t="s">
        <v>239</v>
      </c>
      <c r="J8" s="144" t="s">
        <v>85</v>
      </c>
      <c r="K8" s="2" t="s">
        <v>791</v>
      </c>
    </row>
    <row r="9" spans="1:13" ht="18">
      <c r="A9" s="30">
        <v>4</v>
      </c>
      <c r="B9" s="395" t="s">
        <v>792</v>
      </c>
      <c r="C9" s="29" t="s">
        <v>219</v>
      </c>
      <c r="D9" s="29" t="s">
        <v>795</v>
      </c>
      <c r="E9" s="397">
        <v>16877</v>
      </c>
      <c r="F9" s="397">
        <v>17553</v>
      </c>
      <c r="G9" s="395" t="s">
        <v>216</v>
      </c>
      <c r="H9" s="395" t="s">
        <v>217</v>
      </c>
      <c r="I9" s="395" t="s">
        <v>184</v>
      </c>
      <c r="J9" s="30" t="s">
        <v>85</v>
      </c>
      <c r="K9" s="392" t="s">
        <v>66</v>
      </c>
      <c r="L9" s="89">
        <v>4</v>
      </c>
    </row>
    <row r="10" spans="1:13" ht="15.6" hidden="1">
      <c r="A10" s="144">
        <v>7</v>
      </c>
      <c r="B10" s="147" t="s">
        <v>789</v>
      </c>
      <c r="C10" s="144"/>
      <c r="D10" s="225" t="s">
        <v>796</v>
      </c>
      <c r="E10" s="145">
        <v>21626</v>
      </c>
      <c r="F10" s="145">
        <v>22483</v>
      </c>
      <c r="G10" s="147" t="s">
        <v>147</v>
      </c>
      <c r="H10" s="147" t="s">
        <v>148</v>
      </c>
      <c r="I10" s="147" t="s">
        <v>149</v>
      </c>
      <c r="J10" s="144" t="s">
        <v>85</v>
      </c>
      <c r="K10" s="2" t="s">
        <v>791</v>
      </c>
    </row>
    <row r="11" spans="1:13" ht="15.6" hidden="1">
      <c r="A11" s="144">
        <v>8</v>
      </c>
      <c r="B11" s="147" t="s">
        <v>797</v>
      </c>
      <c r="C11" s="144"/>
      <c r="D11" s="225" t="s">
        <v>798</v>
      </c>
      <c r="E11" s="145">
        <v>17269</v>
      </c>
      <c r="F11" s="145">
        <v>17962</v>
      </c>
      <c r="G11" s="147" t="s">
        <v>147</v>
      </c>
      <c r="H11" s="147" t="s">
        <v>208</v>
      </c>
      <c r="I11" s="147" t="s">
        <v>209</v>
      </c>
      <c r="J11" s="144" t="s">
        <v>85</v>
      </c>
      <c r="K11" s="2" t="s">
        <v>791</v>
      </c>
    </row>
    <row r="12" spans="1:13" ht="15.6" hidden="1">
      <c r="A12" s="144">
        <v>9</v>
      </c>
      <c r="B12" s="147" t="s">
        <v>799</v>
      </c>
      <c r="C12" s="146"/>
      <c r="D12" s="224" t="s">
        <v>800</v>
      </c>
      <c r="E12" s="145">
        <v>17269</v>
      </c>
      <c r="F12" s="145">
        <v>17962</v>
      </c>
      <c r="G12" s="147" t="s">
        <v>737</v>
      </c>
      <c r="H12" s="147" t="s">
        <v>192</v>
      </c>
      <c r="I12" s="147" t="s">
        <v>193</v>
      </c>
      <c r="J12" s="144" t="s">
        <v>85</v>
      </c>
      <c r="K12" s="2" t="s">
        <v>791</v>
      </c>
    </row>
    <row r="13" spans="1:13" ht="15.6" hidden="1">
      <c r="A13" s="144">
        <v>10</v>
      </c>
      <c r="B13" s="147" t="s">
        <v>799</v>
      </c>
      <c r="C13" s="146"/>
      <c r="D13" s="224" t="s">
        <v>800</v>
      </c>
      <c r="E13" s="145">
        <v>17269</v>
      </c>
      <c r="F13" s="145">
        <v>17962</v>
      </c>
      <c r="G13" s="147" t="s">
        <v>195</v>
      </c>
      <c r="H13" s="147" t="s">
        <v>196</v>
      </c>
      <c r="I13" s="147" t="s">
        <v>197</v>
      </c>
      <c r="J13" s="144" t="s">
        <v>85</v>
      </c>
      <c r="K13" s="2" t="s">
        <v>791</v>
      </c>
    </row>
    <row r="14" spans="1:13" ht="18">
      <c r="A14" s="30">
        <v>5</v>
      </c>
      <c r="B14" s="395" t="s">
        <v>220</v>
      </c>
      <c r="C14" s="29" t="s">
        <v>229</v>
      </c>
      <c r="D14" s="29" t="s">
        <v>802</v>
      </c>
      <c r="E14" s="397">
        <v>14993</v>
      </c>
      <c r="F14" s="397">
        <v>15586</v>
      </c>
      <c r="G14" s="395" t="s">
        <v>225</v>
      </c>
      <c r="H14" s="395" t="s">
        <v>226</v>
      </c>
      <c r="I14" s="395" t="s">
        <v>227</v>
      </c>
      <c r="J14" s="30" t="s">
        <v>85</v>
      </c>
      <c r="K14" s="392" t="s">
        <v>66</v>
      </c>
      <c r="L14" s="89">
        <v>5</v>
      </c>
    </row>
    <row r="15" spans="1:13" ht="18">
      <c r="A15" s="30">
        <v>6</v>
      </c>
      <c r="B15" s="395" t="s">
        <v>793</v>
      </c>
      <c r="C15" s="29" t="s">
        <v>91</v>
      </c>
      <c r="D15" s="29" t="s">
        <v>794</v>
      </c>
      <c r="E15" s="397">
        <v>69963</v>
      </c>
      <c r="F15" s="397">
        <v>71511</v>
      </c>
      <c r="G15" s="395" t="s">
        <v>87</v>
      </c>
      <c r="H15" s="395" t="s">
        <v>88</v>
      </c>
      <c r="I15" s="395" t="s">
        <v>89</v>
      </c>
      <c r="J15" s="30" t="s">
        <v>85</v>
      </c>
      <c r="K15" s="392" t="s">
        <v>66</v>
      </c>
      <c r="L15" s="89">
        <v>6</v>
      </c>
    </row>
    <row r="16" spans="1:13" ht="18">
      <c r="A16" s="30">
        <v>7</v>
      </c>
      <c r="B16" s="398" t="s">
        <v>793</v>
      </c>
      <c r="C16" s="399" t="s">
        <v>831</v>
      </c>
      <c r="D16" s="399" t="s">
        <v>794</v>
      </c>
      <c r="E16" s="400">
        <v>69963</v>
      </c>
      <c r="F16" s="400">
        <v>71511</v>
      </c>
      <c r="G16" s="227"/>
      <c r="H16" s="227"/>
      <c r="I16" s="227"/>
      <c r="J16" s="30" t="s">
        <v>64</v>
      </c>
      <c r="K16" s="392" t="s">
        <v>66</v>
      </c>
      <c r="L16" s="89">
        <v>7</v>
      </c>
      <c r="M16" s="33" t="s">
        <v>857</v>
      </c>
    </row>
    <row r="17" spans="1:13" ht="18">
      <c r="A17" s="30">
        <v>8</v>
      </c>
      <c r="B17" s="395" t="s">
        <v>792</v>
      </c>
      <c r="C17" s="29" t="s">
        <v>183</v>
      </c>
      <c r="D17" s="396" t="s">
        <v>804</v>
      </c>
      <c r="E17" s="397">
        <v>17806</v>
      </c>
      <c r="F17" s="397">
        <v>18520</v>
      </c>
      <c r="G17" s="395" t="s">
        <v>180</v>
      </c>
      <c r="H17" s="395" t="s">
        <v>181</v>
      </c>
      <c r="I17" s="395" t="s">
        <v>182</v>
      </c>
      <c r="J17" s="30" t="s">
        <v>85</v>
      </c>
      <c r="K17" s="392" t="s">
        <v>66</v>
      </c>
      <c r="L17" s="89">
        <v>8</v>
      </c>
    </row>
    <row r="18" spans="1:13" ht="18">
      <c r="A18" s="30">
        <v>9</v>
      </c>
      <c r="B18" s="395" t="s">
        <v>793</v>
      </c>
      <c r="C18" s="29" t="s">
        <v>96</v>
      </c>
      <c r="D18" s="29" t="s">
        <v>886</v>
      </c>
      <c r="E18" s="397">
        <v>49835</v>
      </c>
      <c r="F18" s="397">
        <v>51357</v>
      </c>
      <c r="G18" s="395" t="s">
        <v>92</v>
      </c>
      <c r="H18" s="395" t="s">
        <v>93</v>
      </c>
      <c r="I18" s="395" t="s">
        <v>94</v>
      </c>
      <c r="J18" s="30" t="s">
        <v>85</v>
      </c>
      <c r="K18" s="392" t="s">
        <v>66</v>
      </c>
      <c r="L18" s="89">
        <v>9</v>
      </c>
    </row>
    <row r="19" spans="1:13" ht="18">
      <c r="A19" s="30">
        <v>10</v>
      </c>
      <c r="B19" s="395" t="s">
        <v>792</v>
      </c>
      <c r="C19" s="29" t="s">
        <v>206</v>
      </c>
      <c r="D19" s="396" t="s">
        <v>800</v>
      </c>
      <c r="E19" s="397">
        <v>17269</v>
      </c>
      <c r="F19" s="397">
        <v>17962</v>
      </c>
      <c r="G19" s="395" t="s">
        <v>203</v>
      </c>
      <c r="H19" s="395" t="s">
        <v>204</v>
      </c>
      <c r="I19" s="395" t="s">
        <v>205</v>
      </c>
      <c r="J19" s="30" t="s">
        <v>85</v>
      </c>
      <c r="K19" s="392" t="s">
        <v>66</v>
      </c>
      <c r="L19" s="89">
        <v>10</v>
      </c>
    </row>
    <row r="20" spans="1:13" ht="15.6" hidden="1">
      <c r="A20" s="144">
        <v>17</v>
      </c>
      <c r="B20" s="147" t="s">
        <v>789</v>
      </c>
      <c r="C20" s="146"/>
      <c r="D20" s="224" t="s">
        <v>805</v>
      </c>
      <c r="E20" s="145">
        <v>21093</v>
      </c>
      <c r="F20" s="145">
        <v>21929</v>
      </c>
      <c r="G20" s="147" t="s">
        <v>153</v>
      </c>
      <c r="H20" s="147" t="s">
        <v>154</v>
      </c>
      <c r="I20" s="147" t="s">
        <v>155</v>
      </c>
      <c r="J20" s="144" t="s">
        <v>85</v>
      </c>
      <c r="K20" s="2" t="s">
        <v>791</v>
      </c>
    </row>
    <row r="21" spans="1:13" ht="15.6" hidden="1">
      <c r="A21" s="144">
        <v>18</v>
      </c>
      <c r="B21" s="147" t="s">
        <v>789</v>
      </c>
      <c r="C21" s="146"/>
      <c r="D21" s="224" t="s">
        <v>790</v>
      </c>
      <c r="E21" s="145">
        <v>20918</v>
      </c>
      <c r="F21" s="145">
        <v>21747</v>
      </c>
      <c r="G21" s="147" t="s">
        <v>153</v>
      </c>
      <c r="H21" s="147" t="s">
        <v>167</v>
      </c>
      <c r="I21" s="147" t="s">
        <v>155</v>
      </c>
      <c r="J21" s="144" t="s">
        <v>85</v>
      </c>
      <c r="K21" s="2" t="s">
        <v>791</v>
      </c>
    </row>
    <row r="22" spans="1:13" ht="15.6" hidden="1">
      <c r="A22" s="144">
        <v>19</v>
      </c>
      <c r="B22" s="147" t="s">
        <v>789</v>
      </c>
      <c r="C22" s="146"/>
      <c r="D22" s="224" t="s">
        <v>790</v>
      </c>
      <c r="E22" s="145">
        <v>20918</v>
      </c>
      <c r="F22" s="145">
        <v>21747</v>
      </c>
      <c r="G22" s="147" t="s">
        <v>169</v>
      </c>
      <c r="H22" s="147" t="s">
        <v>170</v>
      </c>
      <c r="I22" s="147" t="s">
        <v>171</v>
      </c>
      <c r="J22" s="144" t="s">
        <v>64</v>
      </c>
      <c r="K22" s="2" t="s">
        <v>791</v>
      </c>
    </row>
    <row r="23" spans="1:13" ht="15.6" hidden="1">
      <c r="A23" s="144">
        <v>20</v>
      </c>
      <c r="B23" s="147" t="s">
        <v>789</v>
      </c>
      <c r="C23" s="146"/>
      <c r="D23" s="224" t="s">
        <v>805</v>
      </c>
      <c r="E23" s="145">
        <v>21093</v>
      </c>
      <c r="F23" s="145">
        <v>21929</v>
      </c>
      <c r="G23" s="147" t="s">
        <v>157</v>
      </c>
      <c r="H23" s="147" t="s">
        <v>158</v>
      </c>
      <c r="I23" s="147" t="s">
        <v>159</v>
      </c>
      <c r="J23" s="144" t="s">
        <v>85</v>
      </c>
      <c r="K23" s="2" t="s">
        <v>791</v>
      </c>
    </row>
    <row r="24" spans="1:13" ht="15.6" hidden="1">
      <c r="A24" s="144">
        <v>21</v>
      </c>
      <c r="B24" s="147" t="s">
        <v>789</v>
      </c>
      <c r="C24" s="146"/>
      <c r="D24" s="224" t="s">
        <v>790</v>
      </c>
      <c r="E24" s="145">
        <v>20918</v>
      </c>
      <c r="F24" s="145">
        <v>21747</v>
      </c>
      <c r="G24" s="147" t="s">
        <v>173</v>
      </c>
      <c r="H24" s="147" t="s">
        <v>174</v>
      </c>
      <c r="I24" s="147" t="s">
        <v>175</v>
      </c>
      <c r="J24" s="144" t="s">
        <v>85</v>
      </c>
      <c r="K24" s="2" t="s">
        <v>791</v>
      </c>
    </row>
    <row r="25" spans="1:13" ht="15.6" hidden="1">
      <c r="A25" s="144">
        <v>22</v>
      </c>
      <c r="B25" s="147" t="s">
        <v>799</v>
      </c>
      <c r="C25" s="146"/>
      <c r="D25" s="224" t="s">
        <v>800</v>
      </c>
      <c r="E25" s="145">
        <v>17269</v>
      </c>
      <c r="F25" s="145">
        <v>17962</v>
      </c>
      <c r="G25" s="147" t="s">
        <v>199</v>
      </c>
      <c r="H25" s="147" t="s">
        <v>200</v>
      </c>
      <c r="I25" s="147" t="s">
        <v>197</v>
      </c>
      <c r="J25" s="144" t="s">
        <v>64</v>
      </c>
      <c r="K25" s="2" t="s">
        <v>791</v>
      </c>
    </row>
    <row r="26" spans="1:13" ht="18">
      <c r="A26" s="30">
        <v>11</v>
      </c>
      <c r="B26" s="395" t="s">
        <v>801</v>
      </c>
      <c r="C26" s="29" t="s">
        <v>109</v>
      </c>
      <c r="D26" s="29" t="s">
        <v>884</v>
      </c>
      <c r="E26" s="397">
        <v>27608</v>
      </c>
      <c r="F26" s="397">
        <v>29165</v>
      </c>
      <c r="G26" s="395" t="s">
        <v>106</v>
      </c>
      <c r="H26" s="395" t="s">
        <v>107</v>
      </c>
      <c r="I26" s="395" t="s">
        <v>108</v>
      </c>
      <c r="J26" s="30" t="s">
        <v>64</v>
      </c>
      <c r="K26" s="392" t="s">
        <v>66</v>
      </c>
      <c r="L26" s="89">
        <v>11</v>
      </c>
    </row>
    <row r="27" spans="1:13" ht="18">
      <c r="A27" s="30">
        <v>12</v>
      </c>
      <c r="B27" s="395" t="s">
        <v>686</v>
      </c>
      <c r="C27" s="30" t="s">
        <v>224</v>
      </c>
      <c r="D27" s="401" t="s">
        <v>802</v>
      </c>
      <c r="E27" s="397">
        <v>14993</v>
      </c>
      <c r="F27" s="397">
        <v>15586</v>
      </c>
      <c r="G27" s="395" t="s">
        <v>63</v>
      </c>
      <c r="H27" s="395" t="s">
        <v>222</v>
      </c>
      <c r="I27" s="395" t="s">
        <v>223</v>
      </c>
      <c r="J27" s="30" t="s">
        <v>85</v>
      </c>
      <c r="K27" s="392" t="s">
        <v>66</v>
      </c>
      <c r="L27" s="89">
        <v>12</v>
      </c>
    </row>
    <row r="28" spans="1:13" ht="18">
      <c r="A28" s="30">
        <v>13</v>
      </c>
      <c r="B28" s="398" t="s">
        <v>801</v>
      </c>
      <c r="C28" s="399" t="s">
        <v>118</v>
      </c>
      <c r="D28" s="399" t="s">
        <v>886</v>
      </c>
      <c r="E28" s="400">
        <v>49835</v>
      </c>
      <c r="F28" s="400">
        <v>51357</v>
      </c>
      <c r="G28" s="227"/>
      <c r="H28" s="227"/>
      <c r="I28" s="227"/>
      <c r="J28" s="30" t="s">
        <v>64</v>
      </c>
      <c r="K28" s="392" t="s">
        <v>66</v>
      </c>
      <c r="L28" s="89">
        <v>13</v>
      </c>
      <c r="M28" s="33" t="s">
        <v>857</v>
      </c>
    </row>
    <row r="29" spans="1:13" ht="18">
      <c r="A29" s="30">
        <v>14</v>
      </c>
      <c r="B29" s="392" t="s">
        <v>59</v>
      </c>
      <c r="C29" s="29" t="s">
        <v>67</v>
      </c>
      <c r="D29" s="402"/>
      <c r="E29" s="402"/>
      <c r="F29" s="392"/>
      <c r="G29" s="392" t="s">
        <v>61</v>
      </c>
      <c r="H29" s="392" t="s">
        <v>62</v>
      </c>
      <c r="I29" s="392" t="s">
        <v>63</v>
      </c>
      <c r="J29" s="402" t="s">
        <v>64</v>
      </c>
      <c r="K29" s="392" t="s">
        <v>66</v>
      </c>
      <c r="L29" s="89">
        <v>14</v>
      </c>
    </row>
    <row r="30" spans="1:13" ht="18">
      <c r="A30" s="30">
        <v>15</v>
      </c>
      <c r="B30" s="403" t="s">
        <v>245</v>
      </c>
      <c r="C30" s="399" t="s">
        <v>113</v>
      </c>
      <c r="D30" s="404" t="s">
        <v>98</v>
      </c>
      <c r="E30" s="404"/>
      <c r="F30" s="403"/>
      <c r="G30" s="403"/>
      <c r="H30" s="403"/>
      <c r="I30" s="403"/>
      <c r="J30" s="402"/>
      <c r="K30" s="392"/>
      <c r="L30" s="89"/>
      <c r="M30" s="33" t="s">
        <v>904</v>
      </c>
    </row>
    <row r="31" spans="1:13" ht="18">
      <c r="A31" s="30">
        <v>16</v>
      </c>
      <c r="B31" s="403" t="s">
        <v>810</v>
      </c>
      <c r="C31" s="399" t="s">
        <v>144</v>
      </c>
      <c r="D31" s="404" t="s">
        <v>98</v>
      </c>
      <c r="E31" s="404"/>
      <c r="F31" s="403"/>
      <c r="G31" s="403"/>
      <c r="H31" s="403"/>
      <c r="I31" s="403"/>
      <c r="J31" s="402"/>
      <c r="K31" s="392"/>
      <c r="L31" s="89"/>
      <c r="M31" s="33" t="s">
        <v>904</v>
      </c>
    </row>
    <row r="32" spans="1:13" ht="18">
      <c r="A32" s="30">
        <v>15</v>
      </c>
      <c r="B32" s="392" t="s">
        <v>97</v>
      </c>
      <c r="C32" s="402" t="s">
        <v>104</v>
      </c>
      <c r="D32" s="402" t="s">
        <v>98</v>
      </c>
      <c r="E32" s="402"/>
      <c r="F32" s="392"/>
      <c r="G32" s="392" t="s">
        <v>99</v>
      </c>
      <c r="H32" s="392" t="s">
        <v>100</v>
      </c>
      <c r="I32" s="392" t="s">
        <v>101</v>
      </c>
      <c r="J32" s="402" t="s">
        <v>85</v>
      </c>
      <c r="K32" s="392" t="s">
        <v>66</v>
      </c>
      <c r="L32" s="89">
        <v>15</v>
      </c>
    </row>
    <row r="33" spans="1:13" ht="18">
      <c r="A33" s="30">
        <v>16</v>
      </c>
      <c r="B33" s="392" t="s">
        <v>119</v>
      </c>
      <c r="C33" s="402" t="s">
        <v>126</v>
      </c>
      <c r="D33" s="402" t="s">
        <v>120</v>
      </c>
      <c r="E33" s="402"/>
      <c r="F33" s="392"/>
      <c r="G33" s="392" t="s">
        <v>122</v>
      </c>
      <c r="H33" s="392" t="s">
        <v>786</v>
      </c>
      <c r="I33" s="392" t="s">
        <v>123</v>
      </c>
      <c r="J33" s="402" t="s">
        <v>64</v>
      </c>
      <c r="K33" s="392" t="s">
        <v>66</v>
      </c>
      <c r="L33" s="89">
        <v>16</v>
      </c>
    </row>
    <row r="34" spans="1:13" ht="18">
      <c r="A34" s="30">
        <v>19</v>
      </c>
      <c r="B34" s="403" t="s">
        <v>811</v>
      </c>
      <c r="C34" s="404" t="s">
        <v>131</v>
      </c>
      <c r="D34" s="404" t="s">
        <v>120</v>
      </c>
      <c r="E34" s="404"/>
      <c r="F34" s="403"/>
      <c r="G34" s="403"/>
      <c r="H34" s="403"/>
      <c r="I34" s="403"/>
      <c r="J34" s="402"/>
      <c r="K34" s="392"/>
      <c r="L34" s="89"/>
      <c r="M34" s="33" t="s">
        <v>904</v>
      </c>
    </row>
    <row r="35" spans="1:13" ht="18">
      <c r="A35" s="30">
        <v>20</v>
      </c>
      <c r="B35" s="403" t="s">
        <v>132</v>
      </c>
      <c r="C35" s="404" t="s">
        <v>138</v>
      </c>
      <c r="D35" s="404" t="s">
        <v>133</v>
      </c>
      <c r="E35" s="404"/>
      <c r="F35" s="403"/>
      <c r="G35" s="403"/>
      <c r="H35" s="403"/>
      <c r="I35" s="403"/>
      <c r="J35" s="402"/>
      <c r="K35" s="392"/>
      <c r="L35" s="89"/>
      <c r="M35" s="33" t="s">
        <v>904</v>
      </c>
    </row>
    <row r="36" spans="1:13" ht="18">
      <c r="A36" s="30">
        <v>21</v>
      </c>
      <c r="B36" s="392" t="s">
        <v>803</v>
      </c>
      <c r="C36" s="402" t="s">
        <v>73</v>
      </c>
      <c r="D36" s="402" t="s">
        <v>69</v>
      </c>
      <c r="E36" s="402"/>
      <c r="F36" s="392"/>
      <c r="G36" s="395" t="s">
        <v>70</v>
      </c>
      <c r="H36" s="395" t="s">
        <v>71</v>
      </c>
      <c r="I36" s="395" t="s">
        <v>72</v>
      </c>
      <c r="J36" s="402"/>
      <c r="K36" s="392"/>
      <c r="L36" s="89"/>
    </row>
    <row r="37" spans="1:13" ht="18">
      <c r="A37" s="30">
        <v>22</v>
      </c>
      <c r="B37" s="392" t="s">
        <v>806</v>
      </c>
      <c r="C37" s="402" t="s">
        <v>79</v>
      </c>
      <c r="D37" s="402" t="s">
        <v>69</v>
      </c>
      <c r="E37" s="402"/>
      <c r="F37" s="392"/>
      <c r="G37" s="395" t="s">
        <v>75</v>
      </c>
      <c r="H37" s="395" t="s">
        <v>76</v>
      </c>
      <c r="I37" s="395" t="s">
        <v>77</v>
      </c>
      <c r="J37" s="402"/>
      <c r="K37" s="392"/>
      <c r="L37" s="89"/>
    </row>
    <row r="38" spans="1:13" ht="18">
      <c r="A38" s="405" t="s">
        <v>791</v>
      </c>
      <c r="B38" s="223"/>
      <c r="C38" s="223"/>
      <c r="D38" s="223"/>
      <c r="E38" s="223"/>
      <c r="F38" s="223"/>
      <c r="G38" s="223"/>
      <c r="H38" s="223"/>
      <c r="I38" s="223"/>
      <c r="J38" s="406"/>
      <c r="K38" s="223"/>
      <c r="L38" s="89"/>
    </row>
    <row r="39" spans="1:13" ht="18">
      <c r="A39" s="395"/>
      <c r="B39" s="407"/>
      <c r="C39" s="407"/>
      <c r="D39" s="407"/>
      <c r="E39" s="713" t="s">
        <v>43</v>
      </c>
      <c r="F39" s="657"/>
      <c r="G39" s="713" t="s">
        <v>44</v>
      </c>
      <c r="H39" s="656"/>
      <c r="I39" s="657"/>
      <c r="J39" s="408"/>
      <c r="K39" s="407"/>
      <c r="L39" s="89"/>
    </row>
    <row r="40" spans="1:13" ht="18">
      <c r="A40" s="409" t="s">
        <v>788</v>
      </c>
      <c r="B40" s="410" t="s">
        <v>41</v>
      </c>
      <c r="C40" s="410" t="s">
        <v>49</v>
      </c>
      <c r="D40" s="410" t="s">
        <v>42</v>
      </c>
      <c r="E40" s="410">
        <v>2022</v>
      </c>
      <c r="F40" s="410">
        <v>2023</v>
      </c>
      <c r="G40" s="410" t="s">
        <v>654</v>
      </c>
      <c r="H40" s="410" t="s">
        <v>655</v>
      </c>
      <c r="I40" s="410" t="s">
        <v>656</v>
      </c>
      <c r="J40" s="410" t="s">
        <v>45</v>
      </c>
      <c r="K40" s="411" t="s">
        <v>540</v>
      </c>
      <c r="L40" s="89"/>
    </row>
    <row r="41" spans="1:13" ht="18">
      <c r="A41" s="409">
        <v>17</v>
      </c>
      <c r="B41" s="412" t="s">
        <v>789</v>
      </c>
      <c r="C41" s="413" t="s">
        <v>177</v>
      </c>
      <c r="D41" s="414" t="s">
        <v>790</v>
      </c>
      <c r="E41" s="415">
        <v>20918</v>
      </c>
      <c r="F41" s="415">
        <v>21747</v>
      </c>
      <c r="G41" s="412" t="s">
        <v>163</v>
      </c>
      <c r="H41" s="412" t="s">
        <v>164</v>
      </c>
      <c r="I41" s="412" t="s">
        <v>82</v>
      </c>
      <c r="J41" s="416" t="s">
        <v>85</v>
      </c>
      <c r="K41" s="412" t="s">
        <v>791</v>
      </c>
      <c r="L41" s="89">
        <v>1</v>
      </c>
    </row>
    <row r="42" spans="1:13" ht="18">
      <c r="A42" s="409">
        <v>18</v>
      </c>
      <c r="B42" s="412" t="s">
        <v>807</v>
      </c>
      <c r="C42" s="413" t="s">
        <v>241</v>
      </c>
      <c r="D42" s="414" t="s">
        <v>808</v>
      </c>
      <c r="E42" s="415">
        <v>14903</v>
      </c>
      <c r="F42" s="415">
        <v>15486</v>
      </c>
      <c r="G42" s="412" t="s">
        <v>237</v>
      </c>
      <c r="H42" s="412" t="s">
        <v>238</v>
      </c>
      <c r="I42" s="412" t="s">
        <v>239</v>
      </c>
      <c r="J42" s="416" t="s">
        <v>85</v>
      </c>
      <c r="K42" s="412" t="s">
        <v>791</v>
      </c>
      <c r="L42" s="89">
        <v>2</v>
      </c>
    </row>
    <row r="43" spans="1:13" ht="18">
      <c r="A43" s="409">
        <v>19</v>
      </c>
      <c r="B43" s="412" t="s">
        <v>789</v>
      </c>
      <c r="C43" s="416" t="s">
        <v>812</v>
      </c>
      <c r="D43" s="417" t="s">
        <v>796</v>
      </c>
      <c r="E43" s="415">
        <v>21626</v>
      </c>
      <c r="F43" s="415">
        <v>22483</v>
      </c>
      <c r="G43" s="412" t="s">
        <v>147</v>
      </c>
      <c r="H43" s="412" t="s">
        <v>148</v>
      </c>
      <c r="I43" s="412" t="s">
        <v>149</v>
      </c>
      <c r="J43" s="416" t="s">
        <v>85</v>
      </c>
      <c r="K43" s="412" t="s">
        <v>791</v>
      </c>
      <c r="L43" s="89">
        <v>3</v>
      </c>
    </row>
    <row r="44" spans="1:13" ht="18">
      <c r="A44" s="409">
        <v>20</v>
      </c>
      <c r="B44" s="412" t="s">
        <v>797</v>
      </c>
      <c r="C44" s="416" t="s">
        <v>210</v>
      </c>
      <c r="D44" s="417" t="s">
        <v>798</v>
      </c>
      <c r="E44" s="415">
        <v>17269</v>
      </c>
      <c r="F44" s="415">
        <v>17962</v>
      </c>
      <c r="G44" s="412" t="s">
        <v>147</v>
      </c>
      <c r="H44" s="412" t="s">
        <v>208</v>
      </c>
      <c r="I44" s="412" t="s">
        <v>209</v>
      </c>
      <c r="J44" s="416" t="s">
        <v>85</v>
      </c>
      <c r="K44" s="412" t="s">
        <v>791</v>
      </c>
      <c r="L44" s="89">
        <v>4</v>
      </c>
    </row>
    <row r="45" spans="1:13" ht="18">
      <c r="A45" s="409">
        <v>21</v>
      </c>
      <c r="B45" s="412" t="s">
        <v>799</v>
      </c>
      <c r="C45" s="413" t="s">
        <v>813</v>
      </c>
      <c r="D45" s="414" t="s">
        <v>800</v>
      </c>
      <c r="E45" s="415">
        <v>17269</v>
      </c>
      <c r="F45" s="415">
        <v>17962</v>
      </c>
      <c r="G45" s="412" t="s">
        <v>737</v>
      </c>
      <c r="H45" s="412" t="s">
        <v>192</v>
      </c>
      <c r="I45" s="412" t="s">
        <v>193</v>
      </c>
      <c r="J45" s="416" t="s">
        <v>85</v>
      </c>
      <c r="K45" s="412" t="s">
        <v>791</v>
      </c>
      <c r="L45" s="89">
        <v>5</v>
      </c>
    </row>
    <row r="46" spans="1:13" ht="18">
      <c r="A46" s="409">
        <v>22</v>
      </c>
      <c r="B46" s="412" t="s">
        <v>799</v>
      </c>
      <c r="C46" s="413" t="s">
        <v>814</v>
      </c>
      <c r="D46" s="414" t="s">
        <v>800</v>
      </c>
      <c r="E46" s="415">
        <v>17269</v>
      </c>
      <c r="F46" s="415">
        <v>17962</v>
      </c>
      <c r="G46" s="412" t="s">
        <v>195</v>
      </c>
      <c r="H46" s="412" t="s">
        <v>196</v>
      </c>
      <c r="I46" s="412" t="s">
        <v>197</v>
      </c>
      <c r="J46" s="416" t="s">
        <v>85</v>
      </c>
      <c r="K46" s="412" t="s">
        <v>791</v>
      </c>
      <c r="L46" s="89">
        <v>6</v>
      </c>
    </row>
    <row r="47" spans="1:13" ht="18">
      <c r="A47" s="409">
        <v>23</v>
      </c>
      <c r="B47" s="412" t="s">
        <v>789</v>
      </c>
      <c r="C47" s="413" t="s">
        <v>156</v>
      </c>
      <c r="D47" s="414" t="s">
        <v>805</v>
      </c>
      <c r="E47" s="415">
        <v>21093</v>
      </c>
      <c r="F47" s="415">
        <v>21929</v>
      </c>
      <c r="G47" s="412" t="s">
        <v>153</v>
      </c>
      <c r="H47" s="412" t="s">
        <v>154</v>
      </c>
      <c r="I47" s="412" t="s">
        <v>155</v>
      </c>
      <c r="J47" s="416" t="s">
        <v>85</v>
      </c>
      <c r="K47" s="412" t="s">
        <v>791</v>
      </c>
      <c r="L47" s="89">
        <v>7</v>
      </c>
    </row>
    <row r="48" spans="1:13" ht="18">
      <c r="A48" s="409">
        <v>24</v>
      </c>
      <c r="B48" s="412" t="s">
        <v>789</v>
      </c>
      <c r="C48" s="413" t="s">
        <v>166</v>
      </c>
      <c r="D48" s="414" t="s">
        <v>790</v>
      </c>
      <c r="E48" s="415">
        <v>20918</v>
      </c>
      <c r="F48" s="415">
        <v>21747</v>
      </c>
      <c r="G48" s="412" t="s">
        <v>153</v>
      </c>
      <c r="H48" s="412" t="s">
        <v>167</v>
      </c>
      <c r="I48" s="412" t="s">
        <v>155</v>
      </c>
      <c r="J48" s="416" t="s">
        <v>85</v>
      </c>
      <c r="K48" s="412" t="s">
        <v>791</v>
      </c>
      <c r="L48" s="89">
        <v>8</v>
      </c>
    </row>
    <row r="49" spans="1:12" ht="18">
      <c r="A49" s="409">
        <v>25</v>
      </c>
      <c r="B49" s="412" t="s">
        <v>789</v>
      </c>
      <c r="C49" s="413" t="s">
        <v>168</v>
      </c>
      <c r="D49" s="414" t="s">
        <v>790</v>
      </c>
      <c r="E49" s="415">
        <v>20918</v>
      </c>
      <c r="F49" s="415">
        <v>21747</v>
      </c>
      <c r="G49" s="412" t="s">
        <v>169</v>
      </c>
      <c r="H49" s="412" t="s">
        <v>170</v>
      </c>
      <c r="I49" s="412" t="s">
        <v>171</v>
      </c>
      <c r="J49" s="416" t="s">
        <v>64</v>
      </c>
      <c r="K49" s="412" t="s">
        <v>791</v>
      </c>
      <c r="L49" s="89">
        <v>9</v>
      </c>
    </row>
    <row r="50" spans="1:12" ht="18">
      <c r="A50" s="409">
        <v>26</v>
      </c>
      <c r="B50" s="412" t="s">
        <v>789</v>
      </c>
      <c r="C50" s="413" t="s">
        <v>161</v>
      </c>
      <c r="D50" s="414" t="s">
        <v>805</v>
      </c>
      <c r="E50" s="415">
        <v>21093</v>
      </c>
      <c r="F50" s="415">
        <v>21929</v>
      </c>
      <c r="G50" s="412" t="s">
        <v>157</v>
      </c>
      <c r="H50" s="412" t="s">
        <v>158</v>
      </c>
      <c r="I50" s="412" t="s">
        <v>159</v>
      </c>
      <c r="J50" s="416" t="s">
        <v>85</v>
      </c>
      <c r="K50" s="412" t="s">
        <v>791</v>
      </c>
      <c r="L50" s="89">
        <v>10</v>
      </c>
    </row>
    <row r="51" spans="1:12" ht="18">
      <c r="A51" s="409">
        <v>27</v>
      </c>
      <c r="B51" s="412" t="s">
        <v>789</v>
      </c>
      <c r="C51" s="413" t="s">
        <v>172</v>
      </c>
      <c r="D51" s="414" t="s">
        <v>790</v>
      </c>
      <c r="E51" s="415">
        <v>20918</v>
      </c>
      <c r="F51" s="415">
        <v>21747</v>
      </c>
      <c r="G51" s="412" t="s">
        <v>173</v>
      </c>
      <c r="H51" s="412" t="s">
        <v>174</v>
      </c>
      <c r="I51" s="412" t="s">
        <v>175</v>
      </c>
      <c r="J51" s="416" t="s">
        <v>85</v>
      </c>
      <c r="K51" s="412" t="s">
        <v>791</v>
      </c>
      <c r="L51" s="89">
        <v>11</v>
      </c>
    </row>
    <row r="52" spans="1:12" ht="18">
      <c r="A52" s="409">
        <v>28</v>
      </c>
      <c r="B52" s="412" t="s">
        <v>799</v>
      </c>
      <c r="C52" s="413" t="s">
        <v>198</v>
      </c>
      <c r="D52" s="414" t="s">
        <v>800</v>
      </c>
      <c r="E52" s="415">
        <v>17269</v>
      </c>
      <c r="F52" s="415">
        <v>17962</v>
      </c>
      <c r="G52" s="412" t="s">
        <v>199</v>
      </c>
      <c r="H52" s="412" t="s">
        <v>200</v>
      </c>
      <c r="I52" s="412" t="s">
        <v>197</v>
      </c>
      <c r="J52" s="416" t="s">
        <v>64</v>
      </c>
      <c r="K52" s="412" t="s">
        <v>791</v>
      </c>
      <c r="L52" s="89">
        <v>12</v>
      </c>
    </row>
    <row r="53" spans="1:12" ht="18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</row>
  </sheetData>
  <autoFilter ref="B3:K37" xr:uid="{00000000-0009-0000-0000-00001D000000}">
    <filterColumn colId="9">
      <filters blank="1">
        <filter val="PLANTILLA"/>
      </filters>
    </filterColumn>
  </autoFilter>
  <customSheetViews>
    <customSheetView guid="{1753918D-4CF5-4B42-AF41-45F5F1D91AD7}" filter="1" showAutoFilter="1">
      <pageMargins left="0.7" right="0.7" top="0.75" bottom="0.75" header="0.3" footer="0.3"/>
      <autoFilter ref="A4:K37" xr:uid="{18E05693-28A6-4C2E-9F9B-E16F59353D85}"/>
      <extLst>
        <ext uri="GoogleSheetsCustomDataVersion1">
          <go:sheetsCustomData xmlns:go="http://customooxmlschemas.google.com/" filterViewId="1995099435"/>
        </ext>
      </extLst>
    </customSheetView>
  </customSheetViews>
  <mergeCells count="5">
    <mergeCell ref="A1:K1"/>
    <mergeCell ref="E2:F2"/>
    <mergeCell ref="G2:I2"/>
    <mergeCell ref="E39:F39"/>
    <mergeCell ref="G39:I39"/>
  </mergeCells>
  <printOptions horizontalCentered="1"/>
  <pageMargins left="0.25" right="0.25" top="0.75" bottom="0.75" header="0" footer="0"/>
  <pageSetup paperSize="9" pageOrder="overThenDown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B977"/>
  <sheetViews>
    <sheetView workbookViewId="0"/>
  </sheetViews>
  <sheetFormatPr defaultColWidth="14.44140625" defaultRowHeight="15" customHeight="1"/>
  <cols>
    <col min="1" max="1" width="4.6640625" customWidth="1"/>
    <col min="2" max="2" width="35.88671875" customWidth="1"/>
    <col min="3" max="3" width="22.44140625" customWidth="1"/>
    <col min="4" max="4" width="38.5546875" customWidth="1"/>
    <col min="5" max="5" width="25.6640625" customWidth="1"/>
    <col min="6" max="6" width="17.5546875" customWidth="1"/>
    <col min="7" max="7" width="13.5546875" customWidth="1"/>
    <col min="8" max="8" width="18.88671875" customWidth="1"/>
    <col min="9" max="9" width="20.6640625" customWidth="1"/>
    <col min="10" max="10" width="10.109375" customWidth="1"/>
    <col min="11" max="11" width="18.44140625" customWidth="1"/>
    <col min="12" max="12" width="45.5546875" customWidth="1"/>
    <col min="13" max="13" width="48.44140625" customWidth="1"/>
    <col min="14" max="28" width="8.6640625" customWidth="1"/>
  </cols>
  <sheetData>
    <row r="1" spans="1:28" ht="14.4">
      <c r="A1" s="155"/>
      <c r="B1" s="155"/>
      <c r="C1" s="155"/>
      <c r="D1" s="155"/>
      <c r="E1" s="155"/>
      <c r="F1" s="418"/>
      <c r="G1" s="155"/>
      <c r="H1" s="155"/>
      <c r="I1" s="155"/>
      <c r="J1" s="155"/>
      <c r="K1" s="419"/>
      <c r="L1" s="418"/>
      <c r="M1" s="155"/>
      <c r="N1" s="155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</row>
    <row r="2" spans="1:28" ht="14.4">
      <c r="A2" s="155"/>
      <c r="B2" s="155"/>
      <c r="C2" s="155"/>
      <c r="D2" s="155"/>
      <c r="E2" s="155"/>
      <c r="F2" s="418"/>
      <c r="G2" s="155"/>
      <c r="H2" s="155"/>
      <c r="I2" s="155"/>
      <c r="J2" s="155"/>
      <c r="K2" s="419"/>
      <c r="L2" s="418"/>
      <c r="M2" s="155"/>
      <c r="N2" s="155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</row>
    <row r="3" spans="1:28" ht="14.4">
      <c r="A3" s="155"/>
      <c r="B3" s="155"/>
      <c r="C3" s="155"/>
      <c r="D3" s="155"/>
      <c r="E3" s="155"/>
      <c r="F3" s="418"/>
      <c r="G3" s="155"/>
      <c r="H3" s="155"/>
      <c r="I3" s="155"/>
      <c r="J3" s="155"/>
      <c r="K3" s="419"/>
      <c r="L3" s="418"/>
      <c r="M3" s="155"/>
      <c r="N3" s="155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</row>
    <row r="4" spans="1:28" ht="23.4">
      <c r="A4" s="159"/>
      <c r="B4" s="159"/>
      <c r="C4" s="159"/>
      <c r="D4" s="159"/>
      <c r="E4" s="159"/>
      <c r="F4" s="420"/>
      <c r="G4" s="159"/>
      <c r="H4" s="159"/>
      <c r="I4" s="159"/>
      <c r="J4" s="159"/>
      <c r="K4" s="421"/>
      <c r="L4" s="420"/>
      <c r="M4" s="159"/>
      <c r="N4" s="159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</row>
    <row r="5" spans="1:28" ht="23.4">
      <c r="A5" s="159"/>
      <c r="B5" s="159"/>
      <c r="C5" s="159"/>
      <c r="D5" s="159"/>
      <c r="E5" s="159"/>
      <c r="F5" s="420"/>
      <c r="G5" s="159"/>
      <c r="H5" s="159"/>
      <c r="I5" s="159"/>
      <c r="J5" s="159"/>
      <c r="K5" s="421"/>
      <c r="L5" s="420"/>
      <c r="M5" s="159"/>
      <c r="N5" s="159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</row>
    <row r="6" spans="1:28" ht="23.4">
      <c r="A6" s="159"/>
      <c r="B6" s="159"/>
      <c r="C6" s="159"/>
      <c r="D6" s="159"/>
      <c r="E6" s="159"/>
      <c r="F6" s="420"/>
      <c r="G6" s="159"/>
      <c r="H6" s="159"/>
      <c r="I6" s="159"/>
      <c r="J6" s="159"/>
      <c r="K6" s="421"/>
      <c r="L6" s="420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</row>
    <row r="7" spans="1:28" ht="28.8">
      <c r="A7" s="158"/>
      <c r="B7" s="158"/>
      <c r="C7" s="422"/>
      <c r="D7" s="422"/>
      <c r="E7" s="422"/>
      <c r="F7" s="423"/>
      <c r="G7" s="422"/>
      <c r="H7" s="158"/>
      <c r="I7" s="422" t="s">
        <v>539</v>
      </c>
      <c r="J7" s="158"/>
      <c r="K7" s="424"/>
      <c r="L7" s="423"/>
      <c r="M7" s="422"/>
      <c r="N7" s="159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</row>
    <row r="8" spans="1:28" ht="14.4">
      <c r="A8" s="155"/>
      <c r="B8" s="155"/>
      <c r="C8" s="155"/>
      <c r="D8" s="155"/>
      <c r="E8" s="155"/>
      <c r="F8" s="418"/>
      <c r="G8" s="155"/>
      <c r="H8" s="155"/>
      <c r="I8" s="155"/>
      <c r="J8" s="155"/>
      <c r="K8" s="419"/>
      <c r="L8" s="418"/>
      <c r="M8" s="155"/>
      <c r="N8" s="155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</row>
    <row r="9" spans="1:28" ht="22.2">
      <c r="A9" s="163"/>
      <c r="B9" s="164" t="s">
        <v>41</v>
      </c>
      <c r="C9" s="164" t="s">
        <v>53</v>
      </c>
      <c r="D9" s="164" t="s">
        <v>54</v>
      </c>
      <c r="E9" s="164" t="s">
        <v>55</v>
      </c>
      <c r="F9" s="425" t="s">
        <v>46</v>
      </c>
      <c r="G9" s="164" t="s">
        <v>45</v>
      </c>
      <c r="H9" s="164" t="s">
        <v>540</v>
      </c>
      <c r="I9" s="164" t="s">
        <v>48</v>
      </c>
      <c r="J9" s="426" t="s">
        <v>42</v>
      </c>
      <c r="K9" s="427" t="s">
        <v>43</v>
      </c>
      <c r="L9" s="428" t="s">
        <v>47</v>
      </c>
      <c r="M9" s="164" t="s">
        <v>544</v>
      </c>
      <c r="N9" s="155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</row>
    <row r="10" spans="1:28" ht="24.6">
      <c r="A10" s="429">
        <v>1</v>
      </c>
      <c r="B10" s="430" t="s">
        <v>686</v>
      </c>
      <c r="C10" s="431" t="s">
        <v>63</v>
      </c>
      <c r="D10" s="431" t="s">
        <v>222</v>
      </c>
      <c r="E10" s="431" t="s">
        <v>223</v>
      </c>
      <c r="F10" s="432">
        <v>25047</v>
      </c>
      <c r="G10" s="433" t="s">
        <v>85</v>
      </c>
      <c r="H10" s="433" t="s">
        <v>58</v>
      </c>
      <c r="I10" s="433"/>
      <c r="J10" s="434">
        <v>44652</v>
      </c>
      <c r="K10" s="435">
        <v>14993</v>
      </c>
      <c r="L10" s="436" t="s">
        <v>685</v>
      </c>
      <c r="M10" s="431" t="s">
        <v>1</v>
      </c>
      <c r="N10" s="155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</row>
    <row r="11" spans="1:28" ht="24.6">
      <c r="A11" s="437">
        <v>2</v>
      </c>
      <c r="B11" s="438" t="s">
        <v>682</v>
      </c>
      <c r="C11" s="439" t="s">
        <v>225</v>
      </c>
      <c r="D11" s="439" t="s">
        <v>226</v>
      </c>
      <c r="E11" s="439" t="s">
        <v>227</v>
      </c>
      <c r="F11" s="432">
        <v>25882</v>
      </c>
      <c r="G11" s="173" t="s">
        <v>85</v>
      </c>
      <c r="H11" s="440" t="s">
        <v>58</v>
      </c>
      <c r="I11" s="173"/>
      <c r="J11" s="441">
        <v>44652</v>
      </c>
      <c r="K11" s="442">
        <v>14993</v>
      </c>
      <c r="L11" s="443" t="s">
        <v>670</v>
      </c>
      <c r="M11" s="444" t="s">
        <v>2</v>
      </c>
      <c r="N11" s="155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</row>
    <row r="12" spans="1:28" ht="24.6">
      <c r="A12" s="445">
        <v>3</v>
      </c>
      <c r="B12" s="446" t="s">
        <v>764</v>
      </c>
      <c r="C12" s="444" t="s">
        <v>199</v>
      </c>
      <c r="D12" s="444" t="s">
        <v>200</v>
      </c>
      <c r="E12" s="444" t="s">
        <v>197</v>
      </c>
      <c r="F12" s="432">
        <v>25951</v>
      </c>
      <c r="G12" s="173" t="s">
        <v>64</v>
      </c>
      <c r="H12" s="173" t="s">
        <v>58</v>
      </c>
      <c r="I12" s="173"/>
      <c r="J12" s="441">
        <v>44716</v>
      </c>
      <c r="K12" s="442">
        <v>17269</v>
      </c>
      <c r="L12" s="443" t="s">
        <v>201</v>
      </c>
      <c r="M12" s="444" t="s">
        <v>6</v>
      </c>
      <c r="N12" s="155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</row>
    <row r="13" spans="1:28" ht="24">
      <c r="A13" s="429">
        <v>4</v>
      </c>
      <c r="B13" s="446" t="s">
        <v>189</v>
      </c>
      <c r="C13" s="444" t="s">
        <v>737</v>
      </c>
      <c r="D13" s="444" t="s">
        <v>192</v>
      </c>
      <c r="E13" s="444" t="s">
        <v>193</v>
      </c>
      <c r="F13" s="432">
        <v>26078</v>
      </c>
      <c r="G13" s="173" t="s">
        <v>85</v>
      </c>
      <c r="H13" s="173" t="s">
        <v>58</v>
      </c>
      <c r="I13" s="447"/>
      <c r="J13" s="448">
        <v>44716</v>
      </c>
      <c r="K13" s="442">
        <v>17269</v>
      </c>
      <c r="L13" s="443" t="s">
        <v>736</v>
      </c>
      <c r="M13" s="444" t="s">
        <v>3</v>
      </c>
      <c r="N13" s="155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</row>
    <row r="14" spans="1:28" ht="24.6">
      <c r="A14" s="437">
        <v>5</v>
      </c>
      <c r="B14" s="446" t="s">
        <v>189</v>
      </c>
      <c r="C14" s="444" t="s">
        <v>195</v>
      </c>
      <c r="D14" s="444" t="s">
        <v>196</v>
      </c>
      <c r="E14" s="444" t="s">
        <v>197</v>
      </c>
      <c r="F14" s="432">
        <v>27966</v>
      </c>
      <c r="G14" s="173" t="s">
        <v>85</v>
      </c>
      <c r="H14" s="173" t="s">
        <v>58</v>
      </c>
      <c r="I14" s="173"/>
      <c r="J14" s="441">
        <v>44716</v>
      </c>
      <c r="K14" s="442">
        <v>17269</v>
      </c>
      <c r="L14" s="449" t="s">
        <v>666</v>
      </c>
      <c r="M14" s="444" t="s">
        <v>5</v>
      </c>
      <c r="N14" s="155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</row>
    <row r="15" spans="1:28" ht="24.6">
      <c r="A15" s="445">
        <v>6</v>
      </c>
      <c r="B15" s="446" t="s">
        <v>151</v>
      </c>
      <c r="C15" s="444" t="s">
        <v>147</v>
      </c>
      <c r="D15" s="444" t="s">
        <v>148</v>
      </c>
      <c r="E15" s="444" t="s">
        <v>149</v>
      </c>
      <c r="F15" s="432">
        <v>25000</v>
      </c>
      <c r="G15" s="173" t="s">
        <v>64</v>
      </c>
      <c r="H15" s="173" t="s">
        <v>58</v>
      </c>
      <c r="I15" s="173"/>
      <c r="J15" s="441">
        <v>44812</v>
      </c>
      <c r="K15" s="442">
        <v>21626</v>
      </c>
      <c r="L15" s="449" t="s">
        <v>771</v>
      </c>
      <c r="M15" s="444" t="s">
        <v>4</v>
      </c>
      <c r="N15" s="155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</row>
    <row r="16" spans="1:28" ht="24.6">
      <c r="A16" s="429">
        <v>7</v>
      </c>
      <c r="B16" s="446" t="s">
        <v>151</v>
      </c>
      <c r="C16" s="444" t="s">
        <v>153</v>
      </c>
      <c r="D16" s="444" t="s">
        <v>154</v>
      </c>
      <c r="E16" s="444" t="s">
        <v>155</v>
      </c>
      <c r="F16" s="432">
        <v>26146</v>
      </c>
      <c r="G16" s="173" t="s">
        <v>85</v>
      </c>
      <c r="H16" s="173" t="s">
        <v>58</v>
      </c>
      <c r="I16" s="173"/>
      <c r="J16" s="441">
        <v>44809</v>
      </c>
      <c r="K16" s="442">
        <v>21093</v>
      </c>
      <c r="L16" s="449" t="s">
        <v>674</v>
      </c>
      <c r="M16" s="444" t="s">
        <v>8</v>
      </c>
      <c r="N16" s="155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</row>
    <row r="17" spans="1:28" ht="15.75" customHeight="1">
      <c r="A17" s="437">
        <v>8</v>
      </c>
      <c r="B17" s="446" t="s">
        <v>151</v>
      </c>
      <c r="C17" s="444" t="s">
        <v>157</v>
      </c>
      <c r="D17" s="444" t="s">
        <v>158</v>
      </c>
      <c r="E17" s="444" t="s">
        <v>159</v>
      </c>
      <c r="F17" s="432">
        <v>24753</v>
      </c>
      <c r="G17" s="173" t="s">
        <v>85</v>
      </c>
      <c r="H17" s="173" t="s">
        <v>58</v>
      </c>
      <c r="I17" s="173"/>
      <c r="J17" s="441">
        <v>44809</v>
      </c>
      <c r="K17" s="442">
        <v>21093</v>
      </c>
      <c r="L17" s="443" t="s">
        <v>160</v>
      </c>
      <c r="M17" s="444" t="s">
        <v>24</v>
      </c>
      <c r="N17" s="155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</row>
    <row r="18" spans="1:28" ht="15.75" customHeight="1">
      <c r="A18" s="445">
        <v>9</v>
      </c>
      <c r="B18" s="446" t="s">
        <v>151</v>
      </c>
      <c r="C18" s="444" t="s">
        <v>153</v>
      </c>
      <c r="D18" s="444" t="s">
        <v>167</v>
      </c>
      <c r="E18" s="444" t="s">
        <v>155</v>
      </c>
      <c r="F18" s="432">
        <v>23689</v>
      </c>
      <c r="G18" s="173" t="s">
        <v>85</v>
      </c>
      <c r="H18" s="173" t="s">
        <v>58</v>
      </c>
      <c r="I18" s="173"/>
      <c r="J18" s="441">
        <v>44808</v>
      </c>
      <c r="K18" s="442">
        <v>20918</v>
      </c>
      <c r="L18" s="449" t="s">
        <v>678</v>
      </c>
      <c r="M18" s="444" t="s">
        <v>9</v>
      </c>
      <c r="N18" s="155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</row>
    <row r="19" spans="1:28" ht="15.75" customHeight="1">
      <c r="A19" s="429">
        <v>10</v>
      </c>
      <c r="B19" s="446" t="s">
        <v>151</v>
      </c>
      <c r="C19" s="444" t="s">
        <v>163</v>
      </c>
      <c r="D19" s="444" t="s">
        <v>164</v>
      </c>
      <c r="E19" s="444" t="s">
        <v>82</v>
      </c>
      <c r="F19" s="450"/>
      <c r="G19" s="173" t="s">
        <v>85</v>
      </c>
      <c r="H19" s="173" t="s">
        <v>58</v>
      </c>
      <c r="I19" s="173"/>
      <c r="J19" s="441">
        <v>44808</v>
      </c>
      <c r="K19" s="442">
        <v>20918</v>
      </c>
      <c r="L19" s="449" t="s">
        <v>165</v>
      </c>
      <c r="M19" s="444" t="s">
        <v>7</v>
      </c>
      <c r="N19" s="155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</row>
    <row r="20" spans="1:28" ht="15.75" customHeight="1">
      <c r="A20" s="437">
        <v>11</v>
      </c>
      <c r="B20" s="446" t="s">
        <v>151</v>
      </c>
      <c r="C20" s="444" t="s">
        <v>173</v>
      </c>
      <c r="D20" s="444" t="s">
        <v>174</v>
      </c>
      <c r="E20" s="444" t="s">
        <v>175</v>
      </c>
      <c r="F20" s="432">
        <v>24805</v>
      </c>
      <c r="G20" s="173" t="s">
        <v>85</v>
      </c>
      <c r="H20" s="173" t="s">
        <v>58</v>
      </c>
      <c r="I20" s="173"/>
      <c r="J20" s="441">
        <v>44808</v>
      </c>
      <c r="K20" s="442">
        <v>20918</v>
      </c>
      <c r="L20" s="449" t="s">
        <v>176</v>
      </c>
      <c r="M20" s="444" t="s">
        <v>25</v>
      </c>
      <c r="N20" s="155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</row>
    <row r="21" spans="1:28" ht="15.75" customHeight="1">
      <c r="A21" s="445">
        <v>12</v>
      </c>
      <c r="B21" s="446" t="s">
        <v>151</v>
      </c>
      <c r="C21" s="444" t="s">
        <v>169</v>
      </c>
      <c r="D21" s="444" t="s">
        <v>170</v>
      </c>
      <c r="E21" s="444" t="s">
        <v>171</v>
      </c>
      <c r="F21" s="432">
        <v>27564</v>
      </c>
      <c r="G21" s="173" t="s">
        <v>64</v>
      </c>
      <c r="H21" s="173" t="s">
        <v>58</v>
      </c>
      <c r="I21" s="173"/>
      <c r="J21" s="441">
        <v>44808</v>
      </c>
      <c r="K21" s="442">
        <v>20918</v>
      </c>
      <c r="L21" s="443" t="s">
        <v>760</v>
      </c>
      <c r="M21" s="444" t="s">
        <v>10</v>
      </c>
      <c r="N21" s="155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</row>
    <row r="22" spans="1:28" ht="15.75" customHeight="1">
      <c r="A22" s="429">
        <v>13</v>
      </c>
      <c r="B22" s="446" t="s">
        <v>178</v>
      </c>
      <c r="C22" s="444" t="s">
        <v>180</v>
      </c>
      <c r="D22" s="444" t="s">
        <v>181</v>
      </c>
      <c r="E22" s="444" t="s">
        <v>182</v>
      </c>
      <c r="F22" s="432">
        <v>23752</v>
      </c>
      <c r="G22" s="173" t="s">
        <v>85</v>
      </c>
      <c r="H22" s="173" t="s">
        <v>58</v>
      </c>
      <c r="I22" s="447"/>
      <c r="J22" s="448">
        <v>44720</v>
      </c>
      <c r="K22" s="442">
        <v>17806</v>
      </c>
      <c r="L22" s="443" t="s">
        <v>739</v>
      </c>
      <c r="M22" s="444" t="s">
        <v>11</v>
      </c>
      <c r="N22" s="155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</row>
    <row r="23" spans="1:28" ht="15.75" customHeight="1">
      <c r="A23" s="437">
        <v>14</v>
      </c>
      <c r="B23" s="446" t="s">
        <v>178</v>
      </c>
      <c r="C23" s="444" t="s">
        <v>184</v>
      </c>
      <c r="D23" s="444" t="s">
        <v>185</v>
      </c>
      <c r="E23" s="444" t="s">
        <v>186</v>
      </c>
      <c r="F23" s="432">
        <v>25168</v>
      </c>
      <c r="G23" s="173" t="s">
        <v>85</v>
      </c>
      <c r="H23" s="173" t="s">
        <v>58</v>
      </c>
      <c r="I23" s="173"/>
      <c r="J23" s="441">
        <v>44718</v>
      </c>
      <c r="K23" s="442">
        <v>18739</v>
      </c>
      <c r="L23" s="449" t="s">
        <v>187</v>
      </c>
      <c r="M23" s="444" t="s">
        <v>22</v>
      </c>
      <c r="N23" s="155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</row>
    <row r="24" spans="1:28" ht="15.75" customHeight="1">
      <c r="A24" s="445">
        <v>15</v>
      </c>
      <c r="B24" s="446" t="s">
        <v>178</v>
      </c>
      <c r="C24" s="444" t="s">
        <v>211</v>
      </c>
      <c r="D24" s="444" t="s">
        <v>212</v>
      </c>
      <c r="E24" s="444" t="s">
        <v>213</v>
      </c>
      <c r="F24" s="432">
        <v>22474</v>
      </c>
      <c r="G24" s="173" t="s">
        <v>85</v>
      </c>
      <c r="H24" s="173" t="s">
        <v>58</v>
      </c>
      <c r="I24" s="173"/>
      <c r="J24" s="441">
        <v>44716</v>
      </c>
      <c r="K24" s="442">
        <v>17269</v>
      </c>
      <c r="L24" s="443" t="s">
        <v>214</v>
      </c>
      <c r="M24" s="444" t="s">
        <v>21</v>
      </c>
      <c r="N24" s="155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</row>
    <row r="25" spans="1:28" ht="15.75" customHeight="1">
      <c r="A25" s="429">
        <v>16</v>
      </c>
      <c r="B25" s="446" t="s">
        <v>178</v>
      </c>
      <c r="C25" s="444" t="s">
        <v>203</v>
      </c>
      <c r="D25" s="444" t="s">
        <v>204</v>
      </c>
      <c r="E25" s="444" t="s">
        <v>205</v>
      </c>
      <c r="F25" s="432">
        <v>26844</v>
      </c>
      <c r="G25" s="173" t="s">
        <v>85</v>
      </c>
      <c r="H25" s="173" t="s">
        <v>58</v>
      </c>
      <c r="I25" s="173"/>
      <c r="J25" s="441">
        <v>44716</v>
      </c>
      <c r="K25" s="442">
        <v>17269</v>
      </c>
      <c r="L25" s="449" t="s">
        <v>681</v>
      </c>
      <c r="M25" s="444" t="s">
        <v>12</v>
      </c>
      <c r="N25" s="155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</row>
    <row r="26" spans="1:28" ht="15.75" customHeight="1">
      <c r="A26" s="437">
        <v>17</v>
      </c>
      <c r="B26" s="446" t="s">
        <v>178</v>
      </c>
      <c r="C26" s="444" t="s">
        <v>216</v>
      </c>
      <c r="D26" s="444" t="s">
        <v>217</v>
      </c>
      <c r="E26" s="444" t="s">
        <v>184</v>
      </c>
      <c r="F26" s="432">
        <v>26348</v>
      </c>
      <c r="G26" s="173" t="s">
        <v>85</v>
      </c>
      <c r="H26" s="173" t="s">
        <v>58</v>
      </c>
      <c r="I26" s="173"/>
      <c r="J26" s="441">
        <v>44713</v>
      </c>
      <c r="K26" s="442">
        <v>16877</v>
      </c>
      <c r="L26" s="449" t="s">
        <v>218</v>
      </c>
      <c r="M26" s="444" t="s">
        <v>23</v>
      </c>
      <c r="N26" s="155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</row>
    <row r="27" spans="1:28" ht="15.75" customHeight="1">
      <c r="A27" s="445">
        <v>18</v>
      </c>
      <c r="B27" s="451" t="s">
        <v>905</v>
      </c>
      <c r="C27" s="452" t="s">
        <v>906</v>
      </c>
      <c r="D27" s="452" t="s">
        <v>907</v>
      </c>
      <c r="E27" s="452" t="s">
        <v>908</v>
      </c>
      <c r="F27" s="453">
        <v>34008</v>
      </c>
      <c r="G27" s="454" t="s">
        <v>85</v>
      </c>
      <c r="H27" s="454" t="s">
        <v>58</v>
      </c>
      <c r="I27" s="454"/>
      <c r="J27" s="455">
        <v>44866</v>
      </c>
      <c r="K27" s="456" t="s">
        <v>909</v>
      </c>
      <c r="L27" s="457" t="s">
        <v>910</v>
      </c>
      <c r="M27" s="452" t="s">
        <v>911</v>
      </c>
      <c r="N27" s="155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</row>
    <row r="28" spans="1:28" ht="15.75" customHeight="1">
      <c r="A28" s="429">
        <v>19</v>
      </c>
      <c r="B28" s="446" t="s">
        <v>461</v>
      </c>
      <c r="C28" s="444" t="s">
        <v>585</v>
      </c>
      <c r="D28" s="444" t="s">
        <v>586</v>
      </c>
      <c r="E28" s="444" t="s">
        <v>587</v>
      </c>
      <c r="F28" s="432">
        <v>34639</v>
      </c>
      <c r="G28" s="173" t="s">
        <v>85</v>
      </c>
      <c r="H28" s="173" t="s">
        <v>545</v>
      </c>
      <c r="I28" s="173" t="s">
        <v>320</v>
      </c>
      <c r="J28" s="458" t="s">
        <v>912</v>
      </c>
      <c r="K28" s="442">
        <v>38463.4</v>
      </c>
      <c r="L28" s="443" t="s">
        <v>590</v>
      </c>
      <c r="M28" s="444" t="s">
        <v>913</v>
      </c>
      <c r="N28" s="155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</row>
    <row r="29" spans="1:28" ht="15.75" customHeight="1">
      <c r="A29" s="437">
        <v>20</v>
      </c>
      <c r="B29" s="444" t="s">
        <v>461</v>
      </c>
      <c r="C29" s="444" t="s">
        <v>300</v>
      </c>
      <c r="D29" s="444" t="s">
        <v>301</v>
      </c>
      <c r="E29" s="444" t="s">
        <v>302</v>
      </c>
      <c r="F29" s="432">
        <v>34771</v>
      </c>
      <c r="G29" s="173" t="s">
        <v>85</v>
      </c>
      <c r="H29" s="173" t="s">
        <v>545</v>
      </c>
      <c r="I29" s="173" t="s">
        <v>320</v>
      </c>
      <c r="J29" s="458" t="s">
        <v>912</v>
      </c>
      <c r="K29" s="442">
        <v>38463.4</v>
      </c>
      <c r="L29" s="449" t="s">
        <v>593</v>
      </c>
      <c r="M29" s="444" t="s">
        <v>35</v>
      </c>
      <c r="N29" s="155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</row>
    <row r="30" spans="1:28" ht="15.75" customHeight="1">
      <c r="A30" s="445">
        <v>21</v>
      </c>
      <c r="B30" s="459" t="s">
        <v>461</v>
      </c>
      <c r="C30" s="444" t="s">
        <v>282</v>
      </c>
      <c r="D30" s="444" t="s">
        <v>283</v>
      </c>
      <c r="E30" s="444" t="s">
        <v>199</v>
      </c>
      <c r="F30" s="432">
        <v>33544</v>
      </c>
      <c r="G30" s="173" t="s">
        <v>85</v>
      </c>
      <c r="H30" s="173" t="s">
        <v>545</v>
      </c>
      <c r="I30" s="173" t="s">
        <v>617</v>
      </c>
      <c r="J30" s="458" t="s">
        <v>912</v>
      </c>
      <c r="K30" s="442">
        <v>29394</v>
      </c>
      <c r="L30" s="443" t="s">
        <v>619</v>
      </c>
      <c r="M30" s="444" t="s">
        <v>37</v>
      </c>
      <c r="N30" s="155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</row>
    <row r="31" spans="1:28" ht="15.75" customHeight="1">
      <c r="A31" s="429">
        <v>22</v>
      </c>
      <c r="B31" s="446" t="s">
        <v>461</v>
      </c>
      <c r="C31" s="446" t="s">
        <v>291</v>
      </c>
      <c r="D31" s="446" t="s">
        <v>292</v>
      </c>
      <c r="E31" s="446" t="s">
        <v>293</v>
      </c>
      <c r="F31" s="460">
        <v>35819</v>
      </c>
      <c r="G31" s="461" t="s">
        <v>85</v>
      </c>
      <c r="H31" s="461" t="s">
        <v>545</v>
      </c>
      <c r="I31" s="173" t="s">
        <v>320</v>
      </c>
      <c r="J31" s="458" t="s">
        <v>912</v>
      </c>
      <c r="K31" s="442">
        <v>29394</v>
      </c>
      <c r="L31" s="443" t="s">
        <v>596</v>
      </c>
      <c r="M31" s="444" t="s">
        <v>32</v>
      </c>
      <c r="N31" s="155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</row>
    <row r="32" spans="1:28" ht="15.75" customHeight="1">
      <c r="A32" s="437">
        <v>23</v>
      </c>
      <c r="B32" s="446" t="s">
        <v>461</v>
      </c>
      <c r="C32" s="444" t="s">
        <v>61</v>
      </c>
      <c r="D32" s="444" t="s">
        <v>332</v>
      </c>
      <c r="E32" s="444" t="s">
        <v>333</v>
      </c>
      <c r="F32" s="432"/>
      <c r="G32" s="173" t="s">
        <v>85</v>
      </c>
      <c r="H32" s="173" t="s">
        <v>545</v>
      </c>
      <c r="I32" s="173" t="s">
        <v>320</v>
      </c>
      <c r="J32" s="458" t="s">
        <v>912</v>
      </c>
      <c r="K32" s="442" t="s">
        <v>909</v>
      </c>
      <c r="L32" s="443" t="s">
        <v>914</v>
      </c>
      <c r="M32" s="444" t="s">
        <v>334</v>
      </c>
      <c r="N32" s="155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</row>
    <row r="33" spans="1:28" ht="15.75" customHeight="1">
      <c r="A33" s="445">
        <v>24</v>
      </c>
      <c r="B33" s="446" t="s">
        <v>461</v>
      </c>
      <c r="C33" s="444" t="s">
        <v>598</v>
      </c>
      <c r="D33" s="444" t="s">
        <v>599</v>
      </c>
      <c r="E33" s="444" t="s">
        <v>600</v>
      </c>
      <c r="F33" s="432">
        <v>33989</v>
      </c>
      <c r="G33" s="173" t="s">
        <v>85</v>
      </c>
      <c r="H33" s="440" t="s">
        <v>545</v>
      </c>
      <c r="I33" s="173" t="s">
        <v>320</v>
      </c>
      <c r="J33" s="458" t="s">
        <v>912</v>
      </c>
      <c r="K33" s="442">
        <v>29394</v>
      </c>
      <c r="L33" s="443" t="s">
        <v>603</v>
      </c>
      <c r="M33" s="444" t="s">
        <v>604</v>
      </c>
      <c r="N33" s="155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</row>
    <row r="34" spans="1:28" ht="15.75" customHeight="1">
      <c r="A34" s="429">
        <v>25</v>
      </c>
      <c r="B34" s="446" t="s">
        <v>274</v>
      </c>
      <c r="C34" s="444" t="s">
        <v>276</v>
      </c>
      <c r="D34" s="444" t="s">
        <v>277</v>
      </c>
      <c r="E34" s="444" t="s">
        <v>278</v>
      </c>
      <c r="F34" s="460">
        <v>33426</v>
      </c>
      <c r="G34" s="173" t="s">
        <v>85</v>
      </c>
      <c r="H34" s="173" t="s">
        <v>545</v>
      </c>
      <c r="I34" s="173" t="s">
        <v>320</v>
      </c>
      <c r="J34" s="458" t="s">
        <v>275</v>
      </c>
      <c r="K34" s="442">
        <v>38463.4</v>
      </c>
      <c r="L34" s="443" t="s">
        <v>572</v>
      </c>
      <c r="M34" s="444" t="s">
        <v>34</v>
      </c>
      <c r="N34" s="155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</row>
    <row r="35" spans="1:28" ht="15.75" customHeight="1">
      <c r="A35" s="437">
        <v>26</v>
      </c>
      <c r="B35" s="438" t="s">
        <v>274</v>
      </c>
      <c r="C35" s="439" t="s">
        <v>111</v>
      </c>
      <c r="D35" s="439" t="s">
        <v>112</v>
      </c>
      <c r="E35" s="439" t="s">
        <v>101</v>
      </c>
      <c r="F35" s="432">
        <v>33434</v>
      </c>
      <c r="G35" s="173" t="s">
        <v>85</v>
      </c>
      <c r="H35" s="440" t="s">
        <v>545</v>
      </c>
      <c r="I35" s="173" t="s">
        <v>567</v>
      </c>
      <c r="J35" s="458" t="s">
        <v>275</v>
      </c>
      <c r="K35" s="442">
        <v>42127.199999999997</v>
      </c>
      <c r="L35" s="449" t="s">
        <v>569</v>
      </c>
      <c r="M35" s="444" t="s">
        <v>31</v>
      </c>
      <c r="N35" s="155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</row>
    <row r="36" spans="1:28" ht="15.75" customHeight="1">
      <c r="A36" s="445">
        <v>27</v>
      </c>
      <c r="B36" s="438" t="s">
        <v>274</v>
      </c>
      <c r="C36" s="439" t="s">
        <v>114</v>
      </c>
      <c r="D36" s="439" t="s">
        <v>115</v>
      </c>
      <c r="E36" s="439" t="s">
        <v>116</v>
      </c>
      <c r="F36" s="432">
        <v>34086</v>
      </c>
      <c r="G36" s="173" t="s">
        <v>85</v>
      </c>
      <c r="H36" s="440" t="s">
        <v>545</v>
      </c>
      <c r="I36" s="173" t="s">
        <v>320</v>
      </c>
      <c r="J36" s="458" t="s">
        <v>275</v>
      </c>
      <c r="K36" s="442">
        <v>56149.2</v>
      </c>
      <c r="L36" s="449" t="s">
        <v>117</v>
      </c>
      <c r="M36" s="444" t="s">
        <v>33</v>
      </c>
      <c r="N36" s="155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</row>
    <row r="37" spans="1:28" ht="15.75" customHeight="1">
      <c r="A37" s="429">
        <v>28</v>
      </c>
      <c r="B37" s="444" t="s">
        <v>274</v>
      </c>
      <c r="C37" s="463" t="s">
        <v>514</v>
      </c>
      <c r="D37" s="463" t="s">
        <v>515</v>
      </c>
      <c r="E37" s="463" t="s">
        <v>516</v>
      </c>
      <c r="F37" s="432">
        <v>33856</v>
      </c>
      <c r="G37" s="173" t="s">
        <v>85</v>
      </c>
      <c r="H37" s="173" t="s">
        <v>545</v>
      </c>
      <c r="I37" s="173" t="s">
        <v>320</v>
      </c>
      <c r="J37" s="458" t="s">
        <v>275</v>
      </c>
      <c r="K37" s="442">
        <v>38463.4</v>
      </c>
      <c r="L37" s="443" t="s">
        <v>578</v>
      </c>
      <c r="M37" s="444" t="s">
        <v>36</v>
      </c>
      <c r="N37" s="155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 spans="1:28" ht="15.75" customHeight="1">
      <c r="A38" s="437">
        <v>29</v>
      </c>
      <c r="B38" s="464" t="s">
        <v>274</v>
      </c>
      <c r="C38" s="465" t="s">
        <v>915</v>
      </c>
      <c r="D38" s="465" t="s">
        <v>916</v>
      </c>
      <c r="E38" s="465" t="s">
        <v>917</v>
      </c>
      <c r="F38" s="453"/>
      <c r="G38" s="454" t="s">
        <v>85</v>
      </c>
      <c r="H38" s="466" t="s">
        <v>545</v>
      </c>
      <c r="I38" s="454" t="s">
        <v>320</v>
      </c>
      <c r="J38" s="467" t="s">
        <v>275</v>
      </c>
      <c r="K38" s="456" t="s">
        <v>909</v>
      </c>
      <c r="L38" s="457" t="s">
        <v>918</v>
      </c>
      <c r="M38" s="452" t="s">
        <v>919</v>
      </c>
      <c r="N38" s="155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</row>
    <row r="39" spans="1:28" ht="15.75" customHeight="1">
      <c r="A39" s="445">
        <v>30</v>
      </c>
      <c r="B39" s="438" t="s">
        <v>274</v>
      </c>
      <c r="C39" s="439" t="s">
        <v>579</v>
      </c>
      <c r="D39" s="439" t="s">
        <v>580</v>
      </c>
      <c r="E39" s="439" t="s">
        <v>581</v>
      </c>
      <c r="F39" s="432">
        <v>32673</v>
      </c>
      <c r="G39" s="173" t="s">
        <v>85</v>
      </c>
      <c r="H39" s="173" t="s">
        <v>545</v>
      </c>
      <c r="I39" s="173" t="s">
        <v>320</v>
      </c>
      <c r="J39" s="458" t="s">
        <v>275</v>
      </c>
      <c r="K39" s="442">
        <v>42127.199999999997</v>
      </c>
      <c r="L39" s="449" t="s">
        <v>584</v>
      </c>
      <c r="M39" s="444" t="s">
        <v>920</v>
      </c>
      <c r="N39" s="155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</row>
    <row r="40" spans="1:28" ht="15.75" customHeight="1">
      <c r="A40" s="429">
        <v>31</v>
      </c>
      <c r="B40" s="446" t="s">
        <v>245</v>
      </c>
      <c r="C40" s="444" t="s">
        <v>92</v>
      </c>
      <c r="D40" s="444" t="s">
        <v>93</v>
      </c>
      <c r="E40" s="444" t="s">
        <v>94</v>
      </c>
      <c r="F40" s="460">
        <v>26101</v>
      </c>
      <c r="G40" s="173" t="s">
        <v>85</v>
      </c>
      <c r="H40" s="173" t="s">
        <v>58</v>
      </c>
      <c r="I40" s="173"/>
      <c r="J40" s="458" t="s">
        <v>98</v>
      </c>
      <c r="K40" s="442">
        <v>49835</v>
      </c>
      <c r="L40" s="443" t="s">
        <v>95</v>
      </c>
      <c r="M40" s="444" t="s">
        <v>13</v>
      </c>
      <c r="N40" s="155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</row>
    <row r="41" spans="1:28" ht="15.75" customHeight="1">
      <c r="A41" s="437">
        <v>32</v>
      </c>
      <c r="B41" s="438" t="s">
        <v>139</v>
      </c>
      <c r="C41" s="439" t="s">
        <v>622</v>
      </c>
      <c r="D41" s="439" t="s">
        <v>623</v>
      </c>
      <c r="E41" s="439" t="s">
        <v>624</v>
      </c>
      <c r="F41" s="432">
        <v>29591</v>
      </c>
      <c r="G41" s="173" t="s">
        <v>85</v>
      </c>
      <c r="H41" s="440" t="s">
        <v>545</v>
      </c>
      <c r="I41" s="173" t="s">
        <v>620</v>
      </c>
      <c r="J41" s="441">
        <v>44896</v>
      </c>
      <c r="K41" s="442">
        <v>42127.199999999997</v>
      </c>
      <c r="L41" s="449" t="s">
        <v>626</v>
      </c>
      <c r="M41" s="444" t="s">
        <v>40</v>
      </c>
      <c r="N41" s="155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</row>
    <row r="42" spans="1:28" ht="15.75" customHeight="1">
      <c r="A42" s="445">
        <v>33</v>
      </c>
      <c r="B42" s="438" t="s">
        <v>139</v>
      </c>
      <c r="C42" s="439" t="s">
        <v>473</v>
      </c>
      <c r="D42" s="439" t="s">
        <v>627</v>
      </c>
      <c r="E42" s="439" t="s">
        <v>628</v>
      </c>
      <c r="F42" s="432">
        <v>34365</v>
      </c>
      <c r="G42" s="173" t="s">
        <v>85</v>
      </c>
      <c r="H42" s="440" t="s">
        <v>545</v>
      </c>
      <c r="I42" s="173" t="s">
        <v>620</v>
      </c>
      <c r="J42" s="441">
        <v>44896</v>
      </c>
      <c r="K42" s="442">
        <v>29394</v>
      </c>
      <c r="L42" s="443" t="s">
        <v>630</v>
      </c>
      <c r="M42" s="468" t="s">
        <v>38</v>
      </c>
      <c r="N42" s="155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</row>
    <row r="43" spans="1:28" ht="15.75" customHeight="1">
      <c r="A43" s="429">
        <v>34</v>
      </c>
      <c r="B43" s="438" t="s">
        <v>139</v>
      </c>
      <c r="C43" s="439" t="s">
        <v>106</v>
      </c>
      <c r="D43" s="439" t="s">
        <v>107</v>
      </c>
      <c r="E43" s="439" t="s">
        <v>108</v>
      </c>
      <c r="F43" s="460">
        <v>45272</v>
      </c>
      <c r="G43" s="173" t="s">
        <v>64</v>
      </c>
      <c r="H43" s="440" t="s">
        <v>58</v>
      </c>
      <c r="I43" s="173"/>
      <c r="J43" s="441">
        <v>44896</v>
      </c>
      <c r="K43" s="442">
        <v>27608</v>
      </c>
      <c r="L43" s="449" t="s">
        <v>784</v>
      </c>
      <c r="M43" s="444" t="s">
        <v>14</v>
      </c>
      <c r="N43" s="155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</row>
    <row r="44" spans="1:28" ht="15.75" customHeight="1">
      <c r="A44" s="437">
        <v>35</v>
      </c>
      <c r="B44" s="438" t="s">
        <v>139</v>
      </c>
      <c r="C44" s="439" t="s">
        <v>298</v>
      </c>
      <c r="D44" s="439" t="s">
        <v>635</v>
      </c>
      <c r="E44" s="439" t="s">
        <v>636</v>
      </c>
      <c r="F44" s="432">
        <v>35911</v>
      </c>
      <c r="G44" s="173" t="s">
        <v>85</v>
      </c>
      <c r="H44" s="440" t="s">
        <v>545</v>
      </c>
      <c r="I44" s="173" t="s">
        <v>620</v>
      </c>
      <c r="J44" s="441">
        <v>44896</v>
      </c>
      <c r="K44" s="442">
        <v>29394</v>
      </c>
      <c r="L44" s="443" t="s">
        <v>638</v>
      </c>
      <c r="M44" s="444" t="s">
        <v>39</v>
      </c>
      <c r="N44" s="155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</row>
    <row r="45" spans="1:28" ht="15.75" customHeight="1">
      <c r="A45" s="445">
        <v>36</v>
      </c>
      <c r="B45" s="446" t="s">
        <v>105</v>
      </c>
      <c r="C45" s="444" t="s">
        <v>75</v>
      </c>
      <c r="D45" s="444" t="s">
        <v>76</v>
      </c>
      <c r="E45" s="444" t="s">
        <v>77</v>
      </c>
      <c r="F45" s="460">
        <v>23662</v>
      </c>
      <c r="G45" s="173" t="s">
        <v>64</v>
      </c>
      <c r="H45" s="173" t="s">
        <v>58</v>
      </c>
      <c r="I45" s="173"/>
      <c r="J45" s="458" t="s">
        <v>98</v>
      </c>
      <c r="K45" s="442">
        <v>49835</v>
      </c>
      <c r="L45" s="443" t="s">
        <v>78</v>
      </c>
      <c r="M45" s="444" t="s">
        <v>15</v>
      </c>
      <c r="N45" s="155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</row>
    <row r="46" spans="1:28" ht="17.25" customHeight="1">
      <c r="A46" s="429">
        <v>37</v>
      </c>
      <c r="B46" s="446" t="s">
        <v>80</v>
      </c>
      <c r="C46" s="444" t="s">
        <v>82</v>
      </c>
      <c r="D46" s="444" t="s">
        <v>83</v>
      </c>
      <c r="E46" s="444" t="s">
        <v>84</v>
      </c>
      <c r="F46" s="460">
        <v>27002</v>
      </c>
      <c r="G46" s="173" t="s">
        <v>85</v>
      </c>
      <c r="H46" s="173" t="s">
        <v>58</v>
      </c>
      <c r="I46" s="173"/>
      <c r="J46" s="458" t="s">
        <v>81</v>
      </c>
      <c r="K46" s="442">
        <v>69963</v>
      </c>
      <c r="L46" s="449" t="s">
        <v>749</v>
      </c>
      <c r="M46" s="444" t="s">
        <v>16</v>
      </c>
      <c r="N46" s="155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</row>
    <row r="47" spans="1:28" ht="17.25" customHeight="1">
      <c r="A47" s="437">
        <v>38</v>
      </c>
      <c r="B47" s="446" t="s">
        <v>80</v>
      </c>
      <c r="C47" s="444" t="s">
        <v>87</v>
      </c>
      <c r="D47" s="444" t="s">
        <v>88</v>
      </c>
      <c r="E47" s="444" t="s">
        <v>89</v>
      </c>
      <c r="F47" s="460">
        <v>25815</v>
      </c>
      <c r="G47" s="173" t="s">
        <v>85</v>
      </c>
      <c r="H47" s="173" t="s">
        <v>58</v>
      </c>
      <c r="I47" s="173"/>
      <c r="J47" s="458" t="s">
        <v>81</v>
      </c>
      <c r="K47" s="442">
        <v>69963</v>
      </c>
      <c r="L47" s="443" t="s">
        <v>90</v>
      </c>
      <c r="M47" s="444" t="s">
        <v>17</v>
      </c>
      <c r="N47" s="155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</row>
    <row r="48" spans="1:28" ht="17.25" customHeight="1">
      <c r="A48" s="445">
        <v>39</v>
      </c>
      <c r="B48" s="446" t="s">
        <v>80</v>
      </c>
      <c r="C48" s="444" t="s">
        <v>70</v>
      </c>
      <c r="D48" s="444" t="s">
        <v>71</v>
      </c>
      <c r="E48" s="444" t="s">
        <v>72</v>
      </c>
      <c r="F48" s="460">
        <v>23575</v>
      </c>
      <c r="G48" s="173" t="s">
        <v>64</v>
      </c>
      <c r="H48" s="173" t="s">
        <v>58</v>
      </c>
      <c r="I48" s="173"/>
      <c r="J48" s="458" t="s">
        <v>81</v>
      </c>
      <c r="K48" s="442">
        <v>69963</v>
      </c>
      <c r="L48" s="443" t="s">
        <v>710</v>
      </c>
      <c r="M48" s="444" t="s">
        <v>18</v>
      </c>
      <c r="N48" s="155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</row>
    <row r="49" spans="1:28" ht="17.25" customHeight="1">
      <c r="A49" s="429">
        <v>40</v>
      </c>
      <c r="B49" s="469" t="s">
        <v>832</v>
      </c>
      <c r="C49" s="470" t="s">
        <v>237</v>
      </c>
      <c r="D49" s="470" t="s">
        <v>238</v>
      </c>
      <c r="E49" s="470" t="s">
        <v>239</v>
      </c>
      <c r="F49" s="432">
        <v>24915</v>
      </c>
      <c r="G49" s="188" t="s">
        <v>85</v>
      </c>
      <c r="H49" s="188" t="s">
        <v>58</v>
      </c>
      <c r="I49" s="188"/>
      <c r="J49" s="471">
        <v>44628</v>
      </c>
      <c r="K49" s="472">
        <v>14903</v>
      </c>
      <c r="L49" s="473" t="s">
        <v>240</v>
      </c>
      <c r="M49" s="470" t="s">
        <v>19</v>
      </c>
      <c r="N49" s="155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</row>
    <row r="50" spans="1:28" ht="15.75" customHeight="1">
      <c r="A50" s="437">
        <v>41</v>
      </c>
      <c r="B50" s="446" t="s">
        <v>207</v>
      </c>
      <c r="C50" s="444" t="s">
        <v>147</v>
      </c>
      <c r="D50" s="444" t="s">
        <v>208</v>
      </c>
      <c r="E50" s="444" t="s">
        <v>209</v>
      </c>
      <c r="F50" s="432">
        <v>25349</v>
      </c>
      <c r="G50" s="173" t="s">
        <v>85</v>
      </c>
      <c r="H50" s="173" t="s">
        <v>58</v>
      </c>
      <c r="I50" s="173"/>
      <c r="J50" s="441">
        <v>44716</v>
      </c>
      <c r="K50" s="442">
        <v>17269</v>
      </c>
      <c r="L50" s="449" t="s">
        <v>775</v>
      </c>
      <c r="M50" s="444" t="s">
        <v>20</v>
      </c>
      <c r="N50" s="155"/>
      <c r="O50" s="462"/>
      <c r="P50" s="462"/>
      <c r="Q50" s="462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</row>
    <row r="51" spans="1:28" ht="15.75" customHeight="1">
      <c r="A51" s="429">
        <v>43</v>
      </c>
      <c r="B51" s="464" t="s">
        <v>921</v>
      </c>
      <c r="C51" s="465" t="s">
        <v>63</v>
      </c>
      <c r="D51" s="465" t="s">
        <v>230</v>
      </c>
      <c r="E51" s="465" t="s">
        <v>517</v>
      </c>
      <c r="F51" s="453">
        <v>34694</v>
      </c>
      <c r="G51" s="454" t="s">
        <v>85</v>
      </c>
      <c r="H51" s="466" t="s">
        <v>545</v>
      </c>
      <c r="I51" s="454" t="s">
        <v>922</v>
      </c>
      <c r="J51" s="455">
        <v>44866</v>
      </c>
      <c r="K51" s="456">
        <v>26779.200000000001</v>
      </c>
      <c r="L51" s="457" t="s">
        <v>232</v>
      </c>
      <c r="M51" s="452" t="s">
        <v>233</v>
      </c>
      <c r="N51" s="155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</row>
    <row r="52" spans="1:28" ht="15.75" customHeight="1">
      <c r="A52" s="437">
        <v>44</v>
      </c>
      <c r="B52" s="438" t="s">
        <v>518</v>
      </c>
      <c r="C52" s="439" t="s">
        <v>141</v>
      </c>
      <c r="D52" s="439" t="s">
        <v>142</v>
      </c>
      <c r="E52" s="439" t="s">
        <v>143</v>
      </c>
      <c r="F52" s="432">
        <v>34927</v>
      </c>
      <c r="G52" s="173" t="s">
        <v>85</v>
      </c>
      <c r="H52" s="440" t="s">
        <v>545</v>
      </c>
      <c r="I52" s="173" t="s">
        <v>455</v>
      </c>
      <c r="J52" s="458" t="s">
        <v>120</v>
      </c>
      <c r="K52" s="442">
        <v>38463.4</v>
      </c>
      <c r="L52" s="449" t="s">
        <v>549</v>
      </c>
      <c r="M52" s="444" t="s">
        <v>27</v>
      </c>
      <c r="N52" s="155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</row>
    <row r="53" spans="1:28" ht="15.75" customHeight="1">
      <c r="A53" s="445">
        <v>45</v>
      </c>
      <c r="B53" s="444" t="s">
        <v>520</v>
      </c>
      <c r="C53" s="444" t="s">
        <v>363</v>
      </c>
      <c r="D53" s="444" t="s">
        <v>364</v>
      </c>
      <c r="E53" s="444" t="s">
        <v>365</v>
      </c>
      <c r="F53" s="432">
        <v>32384</v>
      </c>
      <c r="G53" s="173" t="s">
        <v>64</v>
      </c>
      <c r="H53" s="173" t="s">
        <v>545</v>
      </c>
      <c r="I53" s="173" t="s">
        <v>922</v>
      </c>
      <c r="J53" s="458" t="s">
        <v>923</v>
      </c>
      <c r="K53" s="442">
        <v>26779.200000000001</v>
      </c>
      <c r="L53" s="443" t="s">
        <v>547</v>
      </c>
      <c r="M53" s="468" t="s">
        <v>26</v>
      </c>
      <c r="N53" s="155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</row>
    <row r="54" spans="1:28" ht="15.75" customHeight="1">
      <c r="A54" s="429">
        <v>46</v>
      </c>
      <c r="B54" s="444" t="s">
        <v>520</v>
      </c>
      <c r="C54" s="444" t="s">
        <v>560</v>
      </c>
      <c r="D54" s="444" t="s">
        <v>561</v>
      </c>
      <c r="E54" s="444" t="s">
        <v>562</v>
      </c>
      <c r="F54" s="432">
        <v>36349</v>
      </c>
      <c r="G54" s="173" t="s">
        <v>64</v>
      </c>
      <c r="H54" s="173" t="s">
        <v>545</v>
      </c>
      <c r="I54" s="173" t="s">
        <v>379</v>
      </c>
      <c r="J54" s="441">
        <v>44866</v>
      </c>
      <c r="K54" s="442">
        <v>26779.200000000001</v>
      </c>
      <c r="L54" s="463" t="s">
        <v>564</v>
      </c>
      <c r="M54" s="444"/>
      <c r="N54" s="155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</row>
    <row r="55" spans="1:28" ht="15.75" customHeight="1">
      <c r="A55" s="437">
        <v>47</v>
      </c>
      <c r="B55" s="198" t="s">
        <v>519</v>
      </c>
      <c r="C55" s="198" t="s">
        <v>128</v>
      </c>
      <c r="D55" s="198" t="s">
        <v>129</v>
      </c>
      <c r="E55" s="198" t="s">
        <v>130</v>
      </c>
      <c r="F55" s="432">
        <v>45114</v>
      </c>
      <c r="G55" s="173" t="s">
        <v>85</v>
      </c>
      <c r="H55" s="458" t="s">
        <v>545</v>
      </c>
      <c r="I55" s="458" t="s">
        <v>924</v>
      </c>
      <c r="J55" s="458" t="s">
        <v>120</v>
      </c>
      <c r="K55" s="474">
        <v>38463.4</v>
      </c>
      <c r="L55" s="475">
        <v>9060069530</v>
      </c>
      <c r="M55" s="198" t="s">
        <v>29</v>
      </c>
      <c r="N55" s="155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</row>
    <row r="56" spans="1:28" ht="15.75" customHeight="1">
      <c r="A56" s="445">
        <v>48</v>
      </c>
      <c r="B56" s="446" t="s">
        <v>550</v>
      </c>
      <c r="C56" s="444" t="s">
        <v>296</v>
      </c>
      <c r="D56" s="444" t="s">
        <v>297</v>
      </c>
      <c r="E56" s="444" t="s">
        <v>298</v>
      </c>
      <c r="F56" s="432">
        <v>35555</v>
      </c>
      <c r="G56" s="173" t="s">
        <v>64</v>
      </c>
      <c r="H56" s="440" t="s">
        <v>545</v>
      </c>
      <c r="I56" s="173" t="s">
        <v>925</v>
      </c>
      <c r="J56" s="441">
        <v>44866</v>
      </c>
      <c r="K56" s="442">
        <v>26779.200000000001</v>
      </c>
      <c r="L56" s="443" t="s">
        <v>552</v>
      </c>
      <c r="M56" s="444" t="s">
        <v>28</v>
      </c>
      <c r="N56" s="155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</row>
    <row r="57" spans="1:28" ht="15.75" customHeight="1">
      <c r="A57" s="476">
        <v>49</v>
      </c>
      <c r="B57" s="477" t="s">
        <v>520</v>
      </c>
      <c r="C57" s="478" t="s">
        <v>926</v>
      </c>
      <c r="D57" s="478" t="s">
        <v>927</v>
      </c>
      <c r="E57" s="478" t="s">
        <v>928</v>
      </c>
      <c r="F57" s="479"/>
      <c r="G57" s="478" t="s">
        <v>64</v>
      </c>
      <c r="H57" s="478" t="s">
        <v>545</v>
      </c>
      <c r="I57" s="467" t="s">
        <v>922</v>
      </c>
      <c r="J57" s="480">
        <v>44866</v>
      </c>
      <c r="K57" s="481"/>
      <c r="L57" s="479">
        <v>9978932337</v>
      </c>
      <c r="M57" s="478" t="s">
        <v>929</v>
      </c>
      <c r="N57" s="482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</row>
    <row r="58" spans="1:28" ht="15.75" customHeight="1">
      <c r="A58" s="158"/>
      <c r="B58" s="155"/>
      <c r="C58" s="155"/>
      <c r="D58" s="155"/>
      <c r="E58" s="155"/>
      <c r="F58" s="418"/>
      <c r="G58" s="155"/>
      <c r="H58" s="155"/>
      <c r="I58" s="155"/>
      <c r="J58" s="155"/>
      <c r="K58" s="419"/>
      <c r="L58" s="418"/>
      <c r="M58" s="155"/>
      <c r="N58" s="155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</row>
    <row r="59" spans="1:28" ht="15.75" customHeight="1">
      <c r="A59" s="158"/>
      <c r="B59" s="155"/>
      <c r="C59" s="155"/>
      <c r="D59" s="155"/>
      <c r="E59" s="155"/>
      <c r="F59" s="418"/>
      <c r="G59" s="155"/>
      <c r="H59" s="155"/>
      <c r="I59" s="155"/>
      <c r="J59" s="155"/>
      <c r="K59" s="419"/>
      <c r="L59" s="418"/>
      <c r="M59" s="155"/>
      <c r="N59" s="155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</row>
    <row r="60" spans="1:28" ht="15.75" customHeight="1">
      <c r="A60" s="158"/>
      <c r="B60" s="155"/>
      <c r="C60" s="155"/>
      <c r="D60" s="155"/>
      <c r="E60" s="155"/>
      <c r="F60" s="418"/>
      <c r="G60" s="155"/>
      <c r="H60" s="155"/>
      <c r="I60" s="155"/>
      <c r="J60" s="155"/>
      <c r="K60" s="419"/>
      <c r="L60" s="418"/>
      <c r="M60" s="155"/>
      <c r="N60" s="155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</row>
    <row r="61" spans="1:28" ht="15.75" customHeight="1">
      <c r="A61" s="158"/>
      <c r="B61" s="158"/>
      <c r="C61" s="158"/>
      <c r="D61" s="158"/>
      <c r="E61" s="158"/>
      <c r="F61" s="483"/>
      <c r="G61" s="158"/>
      <c r="H61" s="158"/>
      <c r="I61" s="158"/>
      <c r="J61" s="158"/>
      <c r="K61" s="484"/>
      <c r="L61" s="483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</row>
    <row r="62" spans="1:28" ht="15.75" customHeight="1">
      <c r="A62" s="158"/>
      <c r="B62" s="158"/>
      <c r="C62" s="158"/>
      <c r="D62" s="158"/>
      <c r="E62" s="158"/>
      <c r="F62" s="483"/>
      <c r="G62" s="158"/>
      <c r="H62" s="158"/>
      <c r="I62" s="158"/>
      <c r="J62" s="158"/>
      <c r="K62" s="484"/>
      <c r="L62" s="483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</row>
    <row r="63" spans="1:28" ht="15.75" customHeight="1">
      <c r="A63" s="158"/>
      <c r="B63" s="158"/>
      <c r="C63" s="158"/>
      <c r="D63" s="158"/>
      <c r="E63" s="158"/>
      <c r="F63" s="483"/>
      <c r="G63" s="158"/>
      <c r="H63" s="158"/>
      <c r="I63" s="158"/>
      <c r="J63" s="158"/>
      <c r="K63" s="484"/>
      <c r="L63" s="483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</row>
    <row r="64" spans="1:28" ht="15.75" customHeight="1">
      <c r="A64" s="158"/>
      <c r="B64" s="158"/>
      <c r="C64" s="158"/>
      <c r="D64" s="158"/>
      <c r="E64" s="158"/>
      <c r="F64" s="483"/>
      <c r="G64" s="158"/>
      <c r="H64" s="158"/>
      <c r="I64" s="158"/>
      <c r="J64" s="158"/>
      <c r="K64" s="484"/>
      <c r="L64" s="483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</row>
    <row r="65" spans="1:28" ht="15.75" customHeight="1">
      <c r="A65" s="158"/>
      <c r="B65" s="158"/>
      <c r="C65" s="158"/>
      <c r="D65" s="158"/>
      <c r="E65" s="158"/>
      <c r="F65" s="483"/>
      <c r="G65" s="158"/>
      <c r="H65" s="158"/>
      <c r="I65" s="158"/>
      <c r="J65" s="158"/>
      <c r="K65" s="484"/>
      <c r="L65" s="483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</row>
    <row r="66" spans="1:28" ht="15.75" customHeight="1">
      <c r="A66" s="158"/>
      <c r="B66" s="158"/>
      <c r="C66" s="158"/>
      <c r="D66" s="158"/>
      <c r="E66" s="158"/>
      <c r="F66" s="483"/>
      <c r="G66" s="158"/>
      <c r="H66" s="158"/>
      <c r="I66" s="158"/>
      <c r="J66" s="158"/>
      <c r="K66" s="484"/>
      <c r="L66" s="483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</row>
    <row r="67" spans="1:28" ht="15.75" customHeight="1">
      <c r="A67" s="158"/>
      <c r="B67" s="158"/>
      <c r="C67" s="158"/>
      <c r="D67" s="158"/>
      <c r="E67" s="158"/>
      <c r="F67" s="483"/>
      <c r="G67" s="158"/>
      <c r="H67" s="158"/>
      <c r="I67" s="158"/>
      <c r="J67" s="158"/>
      <c r="K67" s="484"/>
      <c r="L67" s="483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</row>
    <row r="68" spans="1:28" ht="15.75" customHeight="1">
      <c r="A68" s="158"/>
      <c r="B68" s="158"/>
      <c r="C68" s="158"/>
      <c r="D68" s="158"/>
      <c r="E68" s="158"/>
      <c r="F68" s="483"/>
      <c r="G68" s="158"/>
      <c r="H68" s="158"/>
      <c r="I68" s="158"/>
      <c r="J68" s="158"/>
      <c r="K68" s="484"/>
      <c r="L68" s="483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</row>
    <row r="69" spans="1:28" ht="15.75" customHeight="1">
      <c r="A69" s="158"/>
      <c r="B69" s="158"/>
      <c r="C69" s="158"/>
      <c r="D69" s="158"/>
      <c r="E69" s="158"/>
      <c r="F69" s="483"/>
      <c r="G69" s="158"/>
      <c r="H69" s="158"/>
      <c r="I69" s="158"/>
      <c r="J69" s="158"/>
      <c r="K69" s="484"/>
      <c r="L69" s="483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</row>
    <row r="70" spans="1:28" ht="15.75" customHeight="1">
      <c r="A70" s="158"/>
      <c r="B70" s="158"/>
      <c r="C70" s="158"/>
      <c r="D70" s="158"/>
      <c r="E70" s="158"/>
      <c r="F70" s="483"/>
      <c r="G70" s="158"/>
      <c r="H70" s="158"/>
      <c r="I70" s="158"/>
      <c r="J70" s="158"/>
      <c r="K70" s="484"/>
      <c r="L70" s="483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</row>
    <row r="71" spans="1:28" ht="15.75" customHeight="1">
      <c r="A71" s="158"/>
      <c r="B71" s="158"/>
      <c r="C71" s="158"/>
      <c r="D71" s="158"/>
      <c r="E71" s="158"/>
      <c r="F71" s="483"/>
      <c r="G71" s="158"/>
      <c r="H71" s="158"/>
      <c r="I71" s="158"/>
      <c r="J71" s="158"/>
      <c r="K71" s="484"/>
      <c r="L71" s="483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</row>
    <row r="72" spans="1:28" ht="15.75" customHeight="1">
      <c r="A72" s="158"/>
      <c r="B72" s="158"/>
      <c r="C72" s="158"/>
      <c r="D72" s="158"/>
      <c r="E72" s="158"/>
      <c r="F72" s="483"/>
      <c r="G72" s="158"/>
      <c r="H72" s="158"/>
      <c r="I72" s="158"/>
      <c r="J72" s="158"/>
      <c r="K72" s="484"/>
      <c r="L72" s="483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</row>
    <row r="73" spans="1:28" ht="15.75" customHeight="1">
      <c r="A73" s="158"/>
      <c r="B73" s="158"/>
      <c r="C73" s="158"/>
      <c r="D73" s="158"/>
      <c r="E73" s="158"/>
      <c r="F73" s="483"/>
      <c r="G73" s="158"/>
      <c r="H73" s="158"/>
      <c r="I73" s="158"/>
      <c r="J73" s="158"/>
      <c r="K73" s="484"/>
      <c r="L73" s="483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</row>
    <row r="74" spans="1:28" ht="15.75" customHeight="1">
      <c r="A74" s="158"/>
      <c r="B74" s="158"/>
      <c r="C74" s="158"/>
      <c r="D74" s="158"/>
      <c r="E74" s="158"/>
      <c r="F74" s="483"/>
      <c r="G74" s="158"/>
      <c r="H74" s="158"/>
      <c r="I74" s="158"/>
      <c r="J74" s="158"/>
      <c r="K74" s="484"/>
      <c r="L74" s="483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</row>
    <row r="75" spans="1:28" ht="15.75" customHeight="1">
      <c r="A75" s="158"/>
      <c r="B75" s="158"/>
      <c r="C75" s="158"/>
      <c r="D75" s="158"/>
      <c r="E75" s="158"/>
      <c r="F75" s="483"/>
      <c r="G75" s="158"/>
      <c r="H75" s="158"/>
      <c r="I75" s="158"/>
      <c r="J75" s="158"/>
      <c r="K75" s="484"/>
      <c r="L75" s="483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</row>
    <row r="76" spans="1:28" ht="15.75" customHeight="1">
      <c r="A76" s="158"/>
      <c r="B76" s="158"/>
      <c r="C76" s="158"/>
      <c r="D76" s="158"/>
      <c r="E76" s="158"/>
      <c r="F76" s="483"/>
      <c r="G76" s="158"/>
      <c r="H76" s="158"/>
      <c r="I76" s="158"/>
      <c r="J76" s="158"/>
      <c r="K76" s="484"/>
      <c r="L76" s="483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</row>
    <row r="77" spans="1:28" ht="15.75" customHeight="1">
      <c r="A77" s="158"/>
      <c r="B77" s="158"/>
      <c r="C77" s="158"/>
      <c r="D77" s="158"/>
      <c r="E77" s="158"/>
      <c r="F77" s="483"/>
      <c r="G77" s="158"/>
      <c r="H77" s="158"/>
      <c r="I77" s="158"/>
      <c r="J77" s="158"/>
      <c r="K77" s="484"/>
      <c r="L77" s="483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</row>
    <row r="78" spans="1:28" ht="15.75" customHeight="1">
      <c r="A78" s="158"/>
      <c r="B78" s="158"/>
      <c r="C78" s="158"/>
      <c r="D78" s="158"/>
      <c r="E78" s="158"/>
      <c r="F78" s="483"/>
      <c r="G78" s="158"/>
      <c r="H78" s="158"/>
      <c r="I78" s="158"/>
      <c r="J78" s="158"/>
      <c r="K78" s="484"/>
      <c r="L78" s="483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</row>
    <row r="79" spans="1:28" ht="15.75" customHeight="1">
      <c r="A79" s="158"/>
      <c r="B79" s="158"/>
      <c r="C79" s="158"/>
      <c r="D79" s="158"/>
      <c r="E79" s="158"/>
      <c r="F79" s="483"/>
      <c r="G79" s="158"/>
      <c r="H79" s="158"/>
      <c r="I79" s="158"/>
      <c r="J79" s="158"/>
      <c r="K79" s="484"/>
      <c r="L79" s="483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</row>
    <row r="80" spans="1:28" ht="15.75" customHeight="1">
      <c r="A80" s="158"/>
      <c r="B80" s="158"/>
      <c r="C80" s="158"/>
      <c r="D80" s="158"/>
      <c r="E80" s="158"/>
      <c r="F80" s="483"/>
      <c r="G80" s="158"/>
      <c r="H80" s="158"/>
      <c r="I80" s="158"/>
      <c r="J80" s="158"/>
      <c r="K80" s="484"/>
      <c r="L80" s="483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</row>
    <row r="81" spans="1:28" ht="15.75" customHeight="1">
      <c r="A81" s="158"/>
      <c r="B81" s="158"/>
      <c r="C81" s="158"/>
      <c r="D81" s="158"/>
      <c r="E81" s="158"/>
      <c r="F81" s="483"/>
      <c r="G81" s="158"/>
      <c r="H81" s="158"/>
      <c r="I81" s="158"/>
      <c r="J81" s="158"/>
      <c r="K81" s="484"/>
      <c r="L81" s="483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</row>
    <row r="82" spans="1:28" ht="15.75" customHeight="1">
      <c r="A82" s="158"/>
      <c r="B82" s="158"/>
      <c r="C82" s="158"/>
      <c r="D82" s="158"/>
      <c r="E82" s="158"/>
      <c r="F82" s="483"/>
      <c r="G82" s="158"/>
      <c r="H82" s="158"/>
      <c r="I82" s="158"/>
      <c r="J82" s="158"/>
      <c r="K82" s="484"/>
      <c r="L82" s="483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</row>
    <row r="83" spans="1:28" ht="15.75" customHeight="1">
      <c r="A83" s="158"/>
      <c r="B83" s="158"/>
      <c r="C83" s="158"/>
      <c r="D83" s="158"/>
      <c r="E83" s="158"/>
      <c r="F83" s="483"/>
      <c r="G83" s="158"/>
      <c r="H83" s="158"/>
      <c r="I83" s="158"/>
      <c r="J83" s="158"/>
      <c r="K83" s="484"/>
      <c r="L83" s="483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</row>
    <row r="84" spans="1:28" ht="15.75" customHeight="1">
      <c r="A84" s="158"/>
      <c r="B84" s="158"/>
      <c r="C84" s="158"/>
      <c r="D84" s="158"/>
      <c r="E84" s="158"/>
      <c r="F84" s="483"/>
      <c r="G84" s="158"/>
      <c r="H84" s="158"/>
      <c r="I84" s="158"/>
      <c r="J84" s="158"/>
      <c r="K84" s="484"/>
      <c r="L84" s="483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</row>
    <row r="85" spans="1:28" ht="15.75" customHeight="1">
      <c r="A85" s="158"/>
      <c r="B85" s="158"/>
      <c r="C85" s="158"/>
      <c r="D85" s="158"/>
      <c r="E85" s="158"/>
      <c r="F85" s="483"/>
      <c r="G85" s="158"/>
      <c r="H85" s="158"/>
      <c r="I85" s="158"/>
      <c r="J85" s="158"/>
      <c r="K85" s="484"/>
      <c r="L85" s="483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</row>
    <row r="86" spans="1:28" ht="15.75" customHeight="1">
      <c r="A86" s="158"/>
      <c r="B86" s="158"/>
      <c r="C86" s="158"/>
      <c r="D86" s="158"/>
      <c r="E86" s="158"/>
      <c r="F86" s="483"/>
      <c r="G86" s="158"/>
      <c r="H86" s="158"/>
      <c r="I86" s="158"/>
      <c r="J86" s="158"/>
      <c r="K86" s="484"/>
      <c r="L86" s="483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</row>
    <row r="87" spans="1:28" ht="15.75" customHeight="1">
      <c r="A87" s="158"/>
      <c r="B87" s="158"/>
      <c r="C87" s="158"/>
      <c r="D87" s="158"/>
      <c r="E87" s="158"/>
      <c r="F87" s="483"/>
      <c r="G87" s="158"/>
      <c r="H87" s="158"/>
      <c r="I87" s="158"/>
      <c r="J87" s="158"/>
      <c r="K87" s="484"/>
      <c r="L87" s="483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</row>
    <row r="88" spans="1:28" ht="15.75" customHeight="1">
      <c r="A88" s="158"/>
      <c r="B88" s="158"/>
      <c r="C88" s="158"/>
      <c r="D88" s="158"/>
      <c r="E88" s="158"/>
      <c r="F88" s="483"/>
      <c r="G88" s="158"/>
      <c r="H88" s="158"/>
      <c r="I88" s="158"/>
      <c r="J88" s="158"/>
      <c r="K88" s="484"/>
      <c r="L88" s="483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</row>
    <row r="89" spans="1:28" ht="15.75" customHeight="1">
      <c r="A89" s="158"/>
      <c r="B89" s="158"/>
      <c r="C89" s="158"/>
      <c r="D89" s="158"/>
      <c r="E89" s="158"/>
      <c r="F89" s="483"/>
      <c r="G89" s="158"/>
      <c r="H89" s="158"/>
      <c r="I89" s="158"/>
      <c r="J89" s="158"/>
      <c r="K89" s="484"/>
      <c r="L89" s="483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</row>
    <row r="90" spans="1:28" ht="15.75" customHeight="1">
      <c r="A90" s="158"/>
      <c r="B90" s="158"/>
      <c r="C90" s="158"/>
      <c r="D90" s="158"/>
      <c r="E90" s="158"/>
      <c r="F90" s="483"/>
      <c r="G90" s="158"/>
      <c r="H90" s="158"/>
      <c r="I90" s="158"/>
      <c r="J90" s="158"/>
      <c r="K90" s="484"/>
      <c r="L90" s="483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</row>
    <row r="91" spans="1:28" ht="15.75" customHeight="1">
      <c r="A91" s="158"/>
      <c r="B91" s="158"/>
      <c r="C91" s="158"/>
      <c r="D91" s="158"/>
      <c r="E91" s="158"/>
      <c r="F91" s="483"/>
      <c r="G91" s="158"/>
      <c r="H91" s="158"/>
      <c r="I91" s="158"/>
      <c r="J91" s="158"/>
      <c r="K91" s="484"/>
      <c r="L91" s="483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</row>
    <row r="92" spans="1:28" ht="15.75" customHeight="1">
      <c r="A92" s="158"/>
      <c r="B92" s="158"/>
      <c r="C92" s="158"/>
      <c r="D92" s="158"/>
      <c r="E92" s="158"/>
      <c r="F92" s="483"/>
      <c r="G92" s="158"/>
      <c r="H92" s="158"/>
      <c r="I92" s="158"/>
      <c r="J92" s="158"/>
      <c r="K92" s="484"/>
      <c r="L92" s="483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</row>
    <row r="93" spans="1:28" ht="15.75" customHeight="1">
      <c r="A93" s="158"/>
      <c r="B93" s="158"/>
      <c r="C93" s="158"/>
      <c r="D93" s="158"/>
      <c r="E93" s="158"/>
      <c r="F93" s="483"/>
      <c r="G93" s="158"/>
      <c r="H93" s="158"/>
      <c r="I93" s="158"/>
      <c r="J93" s="158"/>
      <c r="K93" s="484"/>
      <c r="L93" s="483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</row>
    <row r="94" spans="1:28" ht="15.75" customHeight="1">
      <c r="A94" s="158"/>
      <c r="B94" s="158"/>
      <c r="C94" s="158"/>
      <c r="D94" s="158"/>
      <c r="E94" s="158"/>
      <c r="F94" s="483"/>
      <c r="G94" s="158"/>
      <c r="H94" s="158"/>
      <c r="I94" s="158"/>
      <c r="J94" s="158"/>
      <c r="K94" s="484"/>
      <c r="L94" s="483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</row>
    <row r="95" spans="1:28" ht="15.75" customHeight="1">
      <c r="A95" s="158"/>
      <c r="B95" s="158"/>
      <c r="C95" s="158"/>
      <c r="D95" s="158"/>
      <c r="E95" s="158"/>
      <c r="F95" s="483"/>
      <c r="G95" s="158"/>
      <c r="H95" s="158"/>
      <c r="I95" s="158"/>
      <c r="J95" s="158"/>
      <c r="K95" s="484"/>
      <c r="L95" s="483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</row>
    <row r="96" spans="1:28" ht="15.75" customHeight="1">
      <c r="A96" s="158"/>
      <c r="B96" s="158"/>
      <c r="C96" s="158"/>
      <c r="D96" s="158"/>
      <c r="E96" s="158"/>
      <c r="F96" s="483"/>
      <c r="G96" s="158"/>
      <c r="H96" s="158"/>
      <c r="I96" s="158"/>
      <c r="J96" s="158"/>
      <c r="K96" s="484"/>
      <c r="L96" s="483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</row>
    <row r="97" spans="1:28" ht="15.75" customHeight="1">
      <c r="A97" s="158"/>
      <c r="B97" s="158"/>
      <c r="C97" s="158"/>
      <c r="D97" s="158"/>
      <c r="E97" s="158"/>
      <c r="F97" s="483"/>
      <c r="G97" s="158"/>
      <c r="H97" s="158"/>
      <c r="I97" s="158"/>
      <c r="J97" s="158"/>
      <c r="K97" s="484"/>
      <c r="L97" s="483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</row>
    <row r="98" spans="1:28" ht="15.75" customHeight="1">
      <c r="A98" s="158"/>
      <c r="B98" s="158"/>
      <c r="C98" s="158"/>
      <c r="D98" s="158"/>
      <c r="E98" s="158"/>
      <c r="F98" s="483"/>
      <c r="G98" s="158"/>
      <c r="H98" s="158"/>
      <c r="I98" s="158"/>
      <c r="J98" s="158"/>
      <c r="K98" s="484"/>
      <c r="L98" s="483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</row>
    <row r="99" spans="1:28" ht="15.75" customHeight="1">
      <c r="A99" s="158"/>
      <c r="B99" s="158"/>
      <c r="C99" s="158"/>
      <c r="D99" s="158"/>
      <c r="E99" s="158"/>
      <c r="F99" s="483"/>
      <c r="G99" s="158"/>
      <c r="H99" s="158"/>
      <c r="I99" s="158"/>
      <c r="J99" s="158"/>
      <c r="K99" s="484"/>
      <c r="L99" s="483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</row>
    <row r="100" spans="1:28" ht="15.75" customHeight="1">
      <c r="A100" s="158"/>
      <c r="B100" s="158"/>
      <c r="C100" s="158"/>
      <c r="D100" s="158"/>
      <c r="E100" s="158"/>
      <c r="F100" s="483"/>
      <c r="G100" s="158"/>
      <c r="H100" s="158"/>
      <c r="I100" s="158"/>
      <c r="J100" s="158"/>
      <c r="K100" s="484"/>
      <c r="L100" s="483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</row>
    <row r="101" spans="1:28" ht="15.75" customHeight="1">
      <c r="A101" s="158"/>
      <c r="B101" s="158"/>
      <c r="C101" s="158"/>
      <c r="D101" s="158"/>
      <c r="E101" s="158"/>
      <c r="F101" s="483"/>
      <c r="G101" s="158"/>
      <c r="H101" s="158"/>
      <c r="I101" s="158"/>
      <c r="J101" s="158"/>
      <c r="K101" s="484"/>
      <c r="L101" s="483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</row>
    <row r="102" spans="1:28" ht="15.75" customHeight="1">
      <c r="A102" s="158"/>
      <c r="B102" s="158"/>
      <c r="C102" s="158"/>
      <c r="D102" s="158"/>
      <c r="E102" s="158"/>
      <c r="F102" s="483"/>
      <c r="G102" s="158"/>
      <c r="H102" s="158"/>
      <c r="I102" s="158"/>
      <c r="J102" s="158"/>
      <c r="K102" s="484"/>
      <c r="L102" s="483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</row>
    <row r="103" spans="1:28" ht="15.75" customHeight="1">
      <c r="A103" s="158"/>
      <c r="B103" s="158"/>
      <c r="C103" s="158"/>
      <c r="D103" s="158"/>
      <c r="E103" s="158"/>
      <c r="F103" s="483"/>
      <c r="G103" s="158"/>
      <c r="H103" s="158"/>
      <c r="I103" s="158"/>
      <c r="J103" s="158"/>
      <c r="K103" s="484"/>
      <c r="L103" s="483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</row>
    <row r="104" spans="1:28" ht="15.75" customHeight="1">
      <c r="A104" s="158"/>
      <c r="B104" s="158"/>
      <c r="C104" s="158"/>
      <c r="D104" s="158"/>
      <c r="E104" s="158"/>
      <c r="F104" s="483"/>
      <c r="G104" s="158"/>
      <c r="H104" s="158"/>
      <c r="I104" s="158"/>
      <c r="J104" s="158"/>
      <c r="K104" s="484"/>
      <c r="L104" s="483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</row>
    <row r="105" spans="1:28" ht="15.75" customHeight="1">
      <c r="A105" s="158"/>
      <c r="B105" s="158"/>
      <c r="C105" s="158"/>
      <c r="D105" s="158"/>
      <c r="E105" s="158"/>
      <c r="F105" s="483"/>
      <c r="G105" s="158"/>
      <c r="H105" s="158"/>
      <c r="I105" s="158"/>
      <c r="J105" s="158"/>
      <c r="K105" s="484"/>
      <c r="L105" s="483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</row>
    <row r="106" spans="1:28" ht="15.75" customHeight="1">
      <c r="A106" s="158"/>
      <c r="B106" s="158"/>
      <c r="C106" s="158"/>
      <c r="D106" s="158"/>
      <c r="E106" s="158"/>
      <c r="F106" s="483"/>
      <c r="G106" s="158"/>
      <c r="H106" s="158"/>
      <c r="I106" s="158"/>
      <c r="J106" s="158"/>
      <c r="K106" s="484"/>
      <c r="L106" s="483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</row>
    <row r="107" spans="1:28" ht="15.75" customHeight="1">
      <c r="A107" s="158"/>
      <c r="B107" s="158"/>
      <c r="C107" s="158"/>
      <c r="D107" s="158"/>
      <c r="E107" s="158"/>
      <c r="F107" s="483"/>
      <c r="G107" s="158"/>
      <c r="H107" s="158"/>
      <c r="I107" s="158"/>
      <c r="J107" s="158"/>
      <c r="K107" s="484"/>
      <c r="L107" s="483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</row>
    <row r="108" spans="1:28" ht="15.75" customHeight="1">
      <c r="A108" s="158"/>
      <c r="B108" s="158"/>
      <c r="C108" s="158"/>
      <c r="D108" s="158"/>
      <c r="E108" s="158"/>
      <c r="F108" s="483"/>
      <c r="G108" s="158"/>
      <c r="H108" s="158"/>
      <c r="I108" s="158"/>
      <c r="J108" s="158"/>
      <c r="K108" s="484"/>
      <c r="L108" s="483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</row>
    <row r="109" spans="1:28" ht="15.75" customHeight="1">
      <c r="A109" s="158"/>
      <c r="B109" s="158"/>
      <c r="C109" s="158"/>
      <c r="D109" s="158"/>
      <c r="E109" s="158"/>
      <c r="F109" s="483"/>
      <c r="G109" s="158"/>
      <c r="H109" s="158"/>
      <c r="I109" s="158"/>
      <c r="J109" s="158"/>
      <c r="K109" s="484"/>
      <c r="L109" s="483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</row>
    <row r="110" spans="1:28" ht="15.75" customHeight="1">
      <c r="A110" s="158"/>
      <c r="B110" s="158"/>
      <c r="C110" s="158"/>
      <c r="D110" s="158"/>
      <c r="E110" s="158"/>
      <c r="F110" s="483"/>
      <c r="G110" s="158"/>
      <c r="H110" s="158"/>
      <c r="I110" s="158"/>
      <c r="J110" s="158"/>
      <c r="K110" s="484"/>
      <c r="L110" s="483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</row>
    <row r="111" spans="1:28" ht="15.75" customHeight="1">
      <c r="A111" s="158"/>
      <c r="B111" s="158"/>
      <c r="C111" s="158"/>
      <c r="D111" s="158"/>
      <c r="E111" s="158"/>
      <c r="F111" s="483"/>
      <c r="G111" s="158"/>
      <c r="H111" s="158"/>
      <c r="I111" s="158"/>
      <c r="J111" s="158"/>
      <c r="K111" s="484"/>
      <c r="L111" s="483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</row>
    <row r="112" spans="1:28" ht="15.75" customHeight="1">
      <c r="A112" s="158"/>
      <c r="B112" s="158"/>
      <c r="C112" s="158"/>
      <c r="D112" s="158"/>
      <c r="E112" s="158"/>
      <c r="F112" s="483"/>
      <c r="G112" s="158"/>
      <c r="H112" s="158"/>
      <c r="I112" s="158"/>
      <c r="J112" s="158"/>
      <c r="K112" s="484"/>
      <c r="L112" s="483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</row>
    <row r="113" spans="1:28" ht="15.75" customHeight="1">
      <c r="A113" s="158"/>
      <c r="B113" s="158"/>
      <c r="C113" s="158"/>
      <c r="D113" s="158"/>
      <c r="E113" s="158"/>
      <c r="F113" s="483"/>
      <c r="G113" s="158"/>
      <c r="H113" s="158"/>
      <c r="I113" s="158"/>
      <c r="J113" s="158"/>
      <c r="K113" s="484"/>
      <c r="L113" s="483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</row>
    <row r="114" spans="1:28" ht="15.75" customHeight="1">
      <c r="A114" s="158"/>
      <c r="B114" s="158"/>
      <c r="C114" s="158"/>
      <c r="D114" s="158"/>
      <c r="E114" s="158"/>
      <c r="F114" s="483"/>
      <c r="G114" s="158"/>
      <c r="H114" s="158"/>
      <c r="I114" s="158"/>
      <c r="J114" s="158"/>
      <c r="K114" s="484"/>
      <c r="L114" s="483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</row>
    <row r="115" spans="1:28" ht="15.75" customHeight="1">
      <c r="A115" s="158"/>
      <c r="B115" s="158"/>
      <c r="C115" s="158"/>
      <c r="D115" s="158"/>
      <c r="E115" s="158"/>
      <c r="F115" s="483"/>
      <c r="G115" s="158"/>
      <c r="H115" s="158"/>
      <c r="I115" s="158"/>
      <c r="J115" s="158"/>
      <c r="K115" s="484"/>
      <c r="L115" s="483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</row>
    <row r="116" spans="1:28" ht="15.75" customHeight="1">
      <c r="A116" s="158"/>
      <c r="B116" s="158"/>
      <c r="C116" s="158"/>
      <c r="D116" s="158"/>
      <c r="E116" s="158"/>
      <c r="F116" s="483"/>
      <c r="G116" s="158"/>
      <c r="H116" s="158"/>
      <c r="I116" s="158"/>
      <c r="J116" s="158"/>
      <c r="K116" s="484"/>
      <c r="L116" s="483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</row>
    <row r="117" spans="1:28" ht="15.75" customHeight="1">
      <c r="A117" s="158"/>
      <c r="B117" s="158"/>
      <c r="C117" s="158"/>
      <c r="D117" s="158"/>
      <c r="E117" s="158"/>
      <c r="F117" s="483"/>
      <c r="G117" s="158"/>
      <c r="H117" s="158"/>
      <c r="I117" s="158"/>
      <c r="J117" s="158"/>
      <c r="K117" s="484"/>
      <c r="L117" s="483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</row>
    <row r="118" spans="1:28" ht="15.75" customHeight="1">
      <c r="A118" s="158"/>
      <c r="B118" s="158"/>
      <c r="C118" s="158"/>
      <c r="D118" s="158"/>
      <c r="E118" s="158"/>
      <c r="F118" s="483"/>
      <c r="G118" s="158"/>
      <c r="H118" s="158"/>
      <c r="I118" s="158"/>
      <c r="J118" s="158"/>
      <c r="K118" s="484"/>
      <c r="L118" s="483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</row>
    <row r="119" spans="1:28" ht="15.75" customHeight="1">
      <c r="A119" s="158"/>
      <c r="B119" s="158"/>
      <c r="C119" s="158"/>
      <c r="D119" s="158"/>
      <c r="E119" s="158"/>
      <c r="F119" s="483"/>
      <c r="G119" s="158"/>
      <c r="H119" s="158"/>
      <c r="I119" s="158"/>
      <c r="J119" s="158"/>
      <c r="K119" s="484"/>
      <c r="L119" s="483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</row>
    <row r="120" spans="1:28" ht="15.75" customHeight="1">
      <c r="A120" s="158"/>
      <c r="B120" s="158"/>
      <c r="C120" s="158"/>
      <c r="D120" s="158"/>
      <c r="E120" s="158"/>
      <c r="F120" s="483"/>
      <c r="G120" s="158"/>
      <c r="H120" s="158"/>
      <c r="I120" s="158"/>
      <c r="J120" s="158"/>
      <c r="K120" s="484"/>
      <c r="L120" s="483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</row>
    <row r="121" spans="1:28" ht="15.75" customHeight="1">
      <c r="A121" s="158"/>
      <c r="B121" s="158"/>
      <c r="C121" s="158"/>
      <c r="D121" s="158"/>
      <c r="E121" s="158"/>
      <c r="F121" s="483"/>
      <c r="G121" s="158"/>
      <c r="H121" s="158"/>
      <c r="I121" s="158"/>
      <c r="J121" s="158"/>
      <c r="K121" s="484"/>
      <c r="L121" s="483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</row>
    <row r="122" spans="1:28" ht="15.75" customHeight="1">
      <c r="A122" s="158"/>
      <c r="B122" s="158"/>
      <c r="C122" s="158"/>
      <c r="D122" s="158"/>
      <c r="E122" s="158"/>
      <c r="F122" s="483"/>
      <c r="G122" s="158"/>
      <c r="H122" s="158"/>
      <c r="I122" s="158"/>
      <c r="J122" s="158"/>
      <c r="K122" s="484"/>
      <c r="L122" s="483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</row>
    <row r="123" spans="1:28" ht="15.75" customHeight="1">
      <c r="A123" s="158"/>
      <c r="B123" s="158"/>
      <c r="C123" s="158"/>
      <c r="D123" s="158"/>
      <c r="E123" s="158"/>
      <c r="F123" s="483"/>
      <c r="G123" s="158"/>
      <c r="H123" s="158"/>
      <c r="I123" s="158"/>
      <c r="J123" s="158"/>
      <c r="K123" s="484"/>
      <c r="L123" s="483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</row>
    <row r="124" spans="1:28" ht="15.75" customHeight="1">
      <c r="A124" s="158"/>
      <c r="B124" s="158"/>
      <c r="C124" s="158"/>
      <c r="D124" s="158"/>
      <c r="E124" s="158"/>
      <c r="F124" s="483"/>
      <c r="G124" s="158"/>
      <c r="H124" s="158"/>
      <c r="I124" s="158"/>
      <c r="J124" s="158"/>
      <c r="K124" s="484"/>
      <c r="L124" s="483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</row>
    <row r="125" spans="1:28" ht="15.75" customHeight="1">
      <c r="A125" s="158"/>
      <c r="B125" s="158"/>
      <c r="C125" s="158"/>
      <c r="D125" s="158"/>
      <c r="E125" s="158"/>
      <c r="F125" s="483"/>
      <c r="G125" s="158"/>
      <c r="H125" s="158"/>
      <c r="I125" s="158"/>
      <c r="J125" s="158"/>
      <c r="K125" s="484"/>
      <c r="L125" s="483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</row>
    <row r="126" spans="1:28" ht="15.75" customHeight="1">
      <c r="A126" s="158"/>
      <c r="B126" s="158"/>
      <c r="C126" s="158"/>
      <c r="D126" s="158"/>
      <c r="E126" s="158"/>
      <c r="F126" s="483"/>
      <c r="G126" s="158"/>
      <c r="H126" s="158"/>
      <c r="I126" s="158"/>
      <c r="J126" s="158"/>
      <c r="K126" s="484"/>
      <c r="L126" s="483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</row>
    <row r="127" spans="1:28" ht="15.75" customHeight="1">
      <c r="A127" s="158"/>
      <c r="B127" s="158"/>
      <c r="C127" s="158"/>
      <c r="D127" s="158"/>
      <c r="E127" s="158"/>
      <c r="F127" s="483"/>
      <c r="G127" s="158"/>
      <c r="H127" s="158"/>
      <c r="I127" s="158"/>
      <c r="J127" s="158"/>
      <c r="K127" s="484"/>
      <c r="L127" s="483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</row>
    <row r="128" spans="1:28" ht="15.75" customHeight="1">
      <c r="A128" s="158"/>
      <c r="B128" s="158"/>
      <c r="C128" s="158"/>
      <c r="D128" s="158"/>
      <c r="E128" s="158"/>
      <c r="F128" s="483"/>
      <c r="G128" s="158"/>
      <c r="H128" s="158"/>
      <c r="I128" s="158"/>
      <c r="J128" s="158"/>
      <c r="K128" s="484"/>
      <c r="L128" s="483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</row>
    <row r="129" spans="1:28" ht="15.75" customHeight="1">
      <c r="A129" s="158"/>
      <c r="B129" s="158"/>
      <c r="C129" s="158"/>
      <c r="D129" s="158"/>
      <c r="E129" s="158"/>
      <c r="F129" s="483"/>
      <c r="G129" s="158"/>
      <c r="H129" s="158"/>
      <c r="I129" s="158"/>
      <c r="J129" s="158"/>
      <c r="K129" s="484"/>
      <c r="L129" s="483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</row>
    <row r="130" spans="1:28" ht="15.75" customHeight="1">
      <c r="A130" s="158"/>
      <c r="B130" s="158"/>
      <c r="C130" s="158"/>
      <c r="D130" s="158"/>
      <c r="E130" s="158"/>
      <c r="F130" s="483"/>
      <c r="G130" s="158"/>
      <c r="H130" s="158"/>
      <c r="I130" s="158"/>
      <c r="J130" s="158"/>
      <c r="K130" s="484"/>
      <c r="L130" s="483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</row>
    <row r="131" spans="1:28" ht="15.75" customHeight="1">
      <c r="A131" s="158"/>
      <c r="B131" s="158"/>
      <c r="C131" s="158"/>
      <c r="D131" s="158"/>
      <c r="E131" s="158"/>
      <c r="F131" s="483"/>
      <c r="G131" s="158"/>
      <c r="H131" s="158"/>
      <c r="I131" s="158"/>
      <c r="J131" s="158"/>
      <c r="K131" s="484"/>
      <c r="L131" s="483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</row>
    <row r="132" spans="1:28" ht="15.75" customHeight="1">
      <c r="A132" s="158"/>
      <c r="B132" s="158"/>
      <c r="C132" s="158"/>
      <c r="D132" s="158"/>
      <c r="E132" s="158"/>
      <c r="F132" s="483"/>
      <c r="G132" s="158"/>
      <c r="H132" s="158"/>
      <c r="I132" s="158"/>
      <c r="J132" s="158"/>
      <c r="K132" s="484"/>
      <c r="L132" s="483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</row>
    <row r="133" spans="1:28" ht="15.75" customHeight="1">
      <c r="A133" s="158"/>
      <c r="B133" s="158"/>
      <c r="C133" s="158"/>
      <c r="D133" s="158"/>
      <c r="E133" s="158"/>
      <c r="F133" s="483"/>
      <c r="G133" s="158"/>
      <c r="H133" s="158"/>
      <c r="I133" s="158"/>
      <c r="J133" s="158"/>
      <c r="K133" s="484"/>
      <c r="L133" s="483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</row>
    <row r="134" spans="1:28" ht="15.75" customHeight="1">
      <c r="A134" s="158"/>
      <c r="B134" s="158"/>
      <c r="C134" s="158"/>
      <c r="D134" s="158"/>
      <c r="E134" s="158"/>
      <c r="F134" s="483"/>
      <c r="G134" s="158"/>
      <c r="H134" s="158"/>
      <c r="I134" s="158"/>
      <c r="J134" s="158"/>
      <c r="K134" s="484"/>
      <c r="L134" s="483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</row>
    <row r="135" spans="1:28" ht="15.75" customHeight="1">
      <c r="A135" s="158"/>
      <c r="B135" s="158"/>
      <c r="C135" s="158"/>
      <c r="D135" s="158"/>
      <c r="E135" s="158"/>
      <c r="F135" s="483"/>
      <c r="G135" s="158"/>
      <c r="H135" s="158"/>
      <c r="I135" s="158"/>
      <c r="J135" s="158"/>
      <c r="K135" s="484"/>
      <c r="L135" s="483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</row>
    <row r="136" spans="1:28" ht="15.75" customHeight="1">
      <c r="A136" s="158"/>
      <c r="B136" s="158"/>
      <c r="C136" s="158"/>
      <c r="D136" s="158"/>
      <c r="E136" s="158"/>
      <c r="F136" s="483"/>
      <c r="G136" s="158"/>
      <c r="H136" s="158"/>
      <c r="I136" s="158"/>
      <c r="J136" s="158"/>
      <c r="K136" s="484"/>
      <c r="L136" s="483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</row>
    <row r="137" spans="1:28" ht="15.75" customHeight="1">
      <c r="A137" s="158"/>
      <c r="B137" s="158"/>
      <c r="C137" s="158"/>
      <c r="D137" s="158"/>
      <c r="E137" s="158"/>
      <c r="F137" s="483"/>
      <c r="G137" s="158"/>
      <c r="H137" s="158"/>
      <c r="I137" s="158"/>
      <c r="J137" s="158"/>
      <c r="K137" s="484"/>
      <c r="L137" s="483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</row>
    <row r="138" spans="1:28" ht="15.75" customHeight="1">
      <c r="A138" s="158"/>
      <c r="B138" s="158"/>
      <c r="C138" s="158"/>
      <c r="D138" s="158"/>
      <c r="E138" s="158"/>
      <c r="F138" s="483"/>
      <c r="G138" s="158"/>
      <c r="H138" s="158"/>
      <c r="I138" s="158"/>
      <c r="J138" s="158"/>
      <c r="K138" s="484"/>
      <c r="L138" s="483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</row>
    <row r="139" spans="1:28" ht="15.75" customHeight="1">
      <c r="A139" s="158"/>
      <c r="B139" s="158"/>
      <c r="C139" s="158"/>
      <c r="D139" s="158"/>
      <c r="E139" s="158"/>
      <c r="F139" s="483"/>
      <c r="G139" s="158"/>
      <c r="H139" s="158"/>
      <c r="I139" s="158"/>
      <c r="J139" s="158"/>
      <c r="K139" s="484"/>
      <c r="L139" s="483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</row>
    <row r="140" spans="1:28" ht="15.75" customHeight="1">
      <c r="A140" s="158"/>
      <c r="B140" s="158"/>
      <c r="C140" s="158"/>
      <c r="D140" s="158"/>
      <c r="E140" s="158"/>
      <c r="F140" s="483"/>
      <c r="G140" s="158"/>
      <c r="H140" s="158"/>
      <c r="I140" s="158"/>
      <c r="J140" s="158"/>
      <c r="K140" s="484"/>
      <c r="L140" s="483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</row>
    <row r="141" spans="1:28" ht="15.75" customHeight="1">
      <c r="A141" s="158"/>
      <c r="B141" s="158"/>
      <c r="C141" s="158"/>
      <c r="D141" s="158"/>
      <c r="E141" s="158"/>
      <c r="F141" s="483"/>
      <c r="G141" s="158"/>
      <c r="H141" s="158"/>
      <c r="I141" s="158"/>
      <c r="J141" s="158"/>
      <c r="K141" s="484"/>
      <c r="L141" s="483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</row>
    <row r="142" spans="1:28" ht="15.75" customHeight="1">
      <c r="A142" s="158"/>
      <c r="B142" s="158"/>
      <c r="C142" s="158"/>
      <c r="D142" s="158"/>
      <c r="E142" s="158"/>
      <c r="F142" s="483"/>
      <c r="G142" s="158"/>
      <c r="H142" s="158"/>
      <c r="I142" s="158"/>
      <c r="J142" s="158"/>
      <c r="K142" s="484"/>
      <c r="L142" s="483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</row>
    <row r="143" spans="1:28" ht="15.75" customHeight="1">
      <c r="A143" s="158"/>
      <c r="B143" s="158"/>
      <c r="C143" s="158"/>
      <c r="D143" s="158"/>
      <c r="E143" s="158"/>
      <c r="F143" s="483"/>
      <c r="G143" s="158"/>
      <c r="H143" s="158"/>
      <c r="I143" s="158"/>
      <c r="J143" s="158"/>
      <c r="K143" s="484"/>
      <c r="L143" s="483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</row>
    <row r="144" spans="1:28" ht="15.75" customHeight="1">
      <c r="A144" s="158"/>
      <c r="B144" s="158"/>
      <c r="C144" s="158"/>
      <c r="D144" s="158"/>
      <c r="E144" s="158"/>
      <c r="F144" s="483"/>
      <c r="G144" s="158"/>
      <c r="H144" s="158"/>
      <c r="I144" s="158"/>
      <c r="J144" s="158"/>
      <c r="K144" s="484"/>
      <c r="L144" s="483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</row>
    <row r="145" spans="1:28" ht="15.75" customHeight="1">
      <c r="A145" s="158"/>
      <c r="B145" s="158"/>
      <c r="C145" s="158"/>
      <c r="D145" s="158"/>
      <c r="E145" s="158"/>
      <c r="F145" s="483"/>
      <c r="G145" s="158"/>
      <c r="H145" s="158"/>
      <c r="I145" s="158"/>
      <c r="J145" s="158"/>
      <c r="K145" s="484"/>
      <c r="L145" s="483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</row>
    <row r="146" spans="1:28" ht="15.75" customHeight="1">
      <c r="A146" s="158"/>
      <c r="B146" s="158"/>
      <c r="C146" s="158"/>
      <c r="D146" s="158"/>
      <c r="E146" s="158"/>
      <c r="F146" s="483"/>
      <c r="G146" s="158"/>
      <c r="H146" s="158"/>
      <c r="I146" s="158"/>
      <c r="J146" s="158"/>
      <c r="K146" s="484"/>
      <c r="L146" s="483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</row>
    <row r="147" spans="1:28" ht="15.75" customHeight="1">
      <c r="A147" s="158"/>
      <c r="B147" s="158"/>
      <c r="C147" s="158"/>
      <c r="D147" s="158"/>
      <c r="E147" s="158"/>
      <c r="F147" s="483"/>
      <c r="G147" s="158"/>
      <c r="H147" s="158"/>
      <c r="I147" s="158"/>
      <c r="J147" s="158"/>
      <c r="K147" s="484"/>
      <c r="L147" s="483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</row>
    <row r="148" spans="1:28" ht="15.75" customHeight="1">
      <c r="A148" s="158"/>
      <c r="B148" s="158"/>
      <c r="C148" s="158"/>
      <c r="D148" s="158"/>
      <c r="E148" s="158"/>
      <c r="F148" s="483"/>
      <c r="G148" s="158"/>
      <c r="H148" s="158"/>
      <c r="I148" s="158"/>
      <c r="J148" s="158"/>
      <c r="K148" s="484"/>
      <c r="L148" s="483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</row>
    <row r="149" spans="1:28" ht="15.75" customHeight="1">
      <c r="A149" s="158"/>
      <c r="B149" s="158"/>
      <c r="C149" s="158"/>
      <c r="D149" s="158"/>
      <c r="E149" s="158"/>
      <c r="F149" s="483"/>
      <c r="G149" s="158"/>
      <c r="H149" s="158"/>
      <c r="I149" s="158"/>
      <c r="J149" s="158"/>
      <c r="K149" s="484"/>
      <c r="L149" s="483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</row>
    <row r="150" spans="1:28" ht="15.75" customHeight="1">
      <c r="A150" s="158"/>
      <c r="B150" s="158"/>
      <c r="C150" s="158"/>
      <c r="D150" s="158"/>
      <c r="E150" s="158"/>
      <c r="F150" s="483"/>
      <c r="G150" s="158"/>
      <c r="H150" s="158"/>
      <c r="I150" s="158"/>
      <c r="J150" s="158"/>
      <c r="K150" s="484"/>
      <c r="L150" s="483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</row>
    <row r="151" spans="1:28" ht="15.75" customHeight="1">
      <c r="A151" s="158"/>
      <c r="B151" s="158"/>
      <c r="C151" s="158"/>
      <c r="D151" s="158"/>
      <c r="E151" s="158"/>
      <c r="F151" s="483"/>
      <c r="G151" s="158"/>
      <c r="H151" s="158"/>
      <c r="I151" s="158"/>
      <c r="J151" s="158"/>
      <c r="K151" s="484"/>
      <c r="L151" s="483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</row>
    <row r="152" spans="1:28" ht="15.75" customHeight="1">
      <c r="A152" s="158"/>
      <c r="B152" s="158"/>
      <c r="C152" s="158"/>
      <c r="D152" s="158"/>
      <c r="E152" s="158"/>
      <c r="F152" s="483"/>
      <c r="G152" s="158"/>
      <c r="H152" s="158"/>
      <c r="I152" s="158"/>
      <c r="J152" s="158"/>
      <c r="K152" s="484"/>
      <c r="L152" s="483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</row>
    <row r="153" spans="1:28" ht="15.75" customHeight="1">
      <c r="A153" s="158"/>
      <c r="B153" s="158"/>
      <c r="C153" s="158"/>
      <c r="D153" s="158"/>
      <c r="E153" s="158"/>
      <c r="F153" s="483"/>
      <c r="G153" s="158"/>
      <c r="H153" s="158"/>
      <c r="I153" s="158"/>
      <c r="J153" s="158"/>
      <c r="K153" s="484"/>
      <c r="L153" s="483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</row>
    <row r="154" spans="1:28" ht="15.75" customHeight="1">
      <c r="A154" s="158"/>
      <c r="B154" s="158"/>
      <c r="C154" s="158"/>
      <c r="D154" s="158"/>
      <c r="E154" s="158"/>
      <c r="F154" s="483"/>
      <c r="G154" s="158"/>
      <c r="H154" s="158"/>
      <c r="I154" s="158"/>
      <c r="J154" s="158"/>
      <c r="K154" s="484"/>
      <c r="L154" s="483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</row>
    <row r="155" spans="1:28" ht="15.75" customHeight="1">
      <c r="A155" s="158"/>
      <c r="B155" s="158"/>
      <c r="C155" s="158"/>
      <c r="D155" s="158"/>
      <c r="E155" s="158"/>
      <c r="F155" s="483"/>
      <c r="G155" s="158"/>
      <c r="H155" s="158"/>
      <c r="I155" s="158"/>
      <c r="J155" s="158"/>
      <c r="K155" s="484"/>
      <c r="L155" s="483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</row>
    <row r="156" spans="1:28" ht="15.75" customHeight="1">
      <c r="A156" s="158"/>
      <c r="B156" s="158"/>
      <c r="C156" s="158"/>
      <c r="D156" s="158"/>
      <c r="E156" s="158"/>
      <c r="F156" s="483"/>
      <c r="G156" s="158"/>
      <c r="H156" s="158"/>
      <c r="I156" s="158"/>
      <c r="J156" s="158"/>
      <c r="K156" s="484"/>
      <c r="L156" s="483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</row>
    <row r="157" spans="1:28" ht="15.75" customHeight="1">
      <c r="A157" s="158"/>
      <c r="B157" s="158"/>
      <c r="C157" s="158"/>
      <c r="D157" s="158"/>
      <c r="E157" s="158"/>
      <c r="F157" s="483"/>
      <c r="G157" s="158"/>
      <c r="H157" s="158"/>
      <c r="I157" s="158"/>
      <c r="J157" s="158"/>
      <c r="K157" s="484"/>
      <c r="L157" s="483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</row>
    <row r="158" spans="1:28" ht="15.75" customHeight="1">
      <c r="A158" s="158"/>
      <c r="B158" s="158"/>
      <c r="C158" s="158"/>
      <c r="D158" s="158"/>
      <c r="E158" s="158"/>
      <c r="F158" s="483"/>
      <c r="G158" s="158"/>
      <c r="H158" s="158"/>
      <c r="I158" s="158"/>
      <c r="J158" s="158"/>
      <c r="K158" s="484"/>
      <c r="L158" s="483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</row>
    <row r="159" spans="1:28" ht="15.75" customHeight="1">
      <c r="A159" s="158"/>
      <c r="B159" s="158"/>
      <c r="C159" s="158"/>
      <c r="D159" s="158"/>
      <c r="E159" s="158"/>
      <c r="F159" s="483"/>
      <c r="G159" s="158"/>
      <c r="H159" s="158"/>
      <c r="I159" s="158"/>
      <c r="J159" s="158"/>
      <c r="K159" s="484"/>
      <c r="L159" s="483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</row>
    <row r="160" spans="1:28" ht="15.75" customHeight="1">
      <c r="A160" s="158"/>
      <c r="B160" s="158"/>
      <c r="C160" s="158"/>
      <c r="D160" s="158"/>
      <c r="E160" s="158"/>
      <c r="F160" s="483"/>
      <c r="G160" s="158"/>
      <c r="H160" s="158"/>
      <c r="I160" s="158"/>
      <c r="J160" s="158"/>
      <c r="K160" s="484"/>
      <c r="L160" s="483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</row>
    <row r="161" spans="1:28" ht="15.75" customHeight="1">
      <c r="A161" s="158"/>
      <c r="B161" s="158"/>
      <c r="C161" s="158"/>
      <c r="D161" s="158"/>
      <c r="E161" s="158"/>
      <c r="F161" s="483"/>
      <c r="G161" s="158"/>
      <c r="H161" s="158"/>
      <c r="I161" s="158"/>
      <c r="J161" s="158"/>
      <c r="K161" s="484"/>
      <c r="L161" s="483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</row>
    <row r="162" spans="1:28" ht="15.75" customHeight="1">
      <c r="A162" s="158"/>
      <c r="B162" s="158"/>
      <c r="C162" s="158"/>
      <c r="D162" s="158"/>
      <c r="E162" s="158"/>
      <c r="F162" s="483"/>
      <c r="G162" s="158"/>
      <c r="H162" s="158"/>
      <c r="I162" s="158"/>
      <c r="J162" s="158"/>
      <c r="K162" s="484"/>
      <c r="L162" s="483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</row>
    <row r="163" spans="1:28" ht="15.75" customHeight="1">
      <c r="A163" s="158"/>
      <c r="B163" s="158"/>
      <c r="C163" s="158"/>
      <c r="D163" s="158"/>
      <c r="E163" s="158"/>
      <c r="F163" s="483"/>
      <c r="G163" s="158"/>
      <c r="H163" s="158"/>
      <c r="I163" s="158"/>
      <c r="J163" s="158"/>
      <c r="K163" s="484"/>
      <c r="L163" s="483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</row>
    <row r="164" spans="1:28" ht="15.75" customHeight="1">
      <c r="A164" s="158"/>
      <c r="B164" s="158"/>
      <c r="C164" s="158"/>
      <c r="D164" s="158"/>
      <c r="E164" s="158"/>
      <c r="F164" s="483"/>
      <c r="G164" s="158"/>
      <c r="H164" s="158"/>
      <c r="I164" s="158"/>
      <c r="J164" s="158"/>
      <c r="K164" s="484"/>
      <c r="L164" s="483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</row>
    <row r="165" spans="1:28" ht="15.75" customHeight="1">
      <c r="A165" s="158"/>
      <c r="B165" s="158"/>
      <c r="C165" s="158"/>
      <c r="D165" s="158"/>
      <c r="E165" s="158"/>
      <c r="F165" s="483"/>
      <c r="G165" s="158"/>
      <c r="H165" s="158"/>
      <c r="I165" s="158"/>
      <c r="J165" s="158"/>
      <c r="K165" s="484"/>
      <c r="L165" s="483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</row>
    <row r="166" spans="1:28" ht="15.75" customHeight="1">
      <c r="A166" s="158"/>
      <c r="B166" s="158"/>
      <c r="C166" s="158"/>
      <c r="D166" s="158"/>
      <c r="E166" s="158"/>
      <c r="F166" s="483"/>
      <c r="G166" s="158"/>
      <c r="H166" s="158"/>
      <c r="I166" s="158"/>
      <c r="J166" s="158"/>
      <c r="K166" s="484"/>
      <c r="L166" s="483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</row>
    <row r="167" spans="1:28" ht="15.75" customHeight="1">
      <c r="A167" s="158"/>
      <c r="B167" s="158"/>
      <c r="C167" s="158"/>
      <c r="D167" s="158"/>
      <c r="E167" s="158"/>
      <c r="F167" s="483"/>
      <c r="G167" s="158"/>
      <c r="H167" s="158"/>
      <c r="I167" s="158"/>
      <c r="J167" s="158"/>
      <c r="K167" s="484"/>
      <c r="L167" s="483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</row>
    <row r="168" spans="1:28" ht="15.75" customHeight="1">
      <c r="A168" s="158"/>
      <c r="B168" s="158"/>
      <c r="C168" s="158"/>
      <c r="D168" s="158"/>
      <c r="E168" s="158"/>
      <c r="F168" s="483"/>
      <c r="G168" s="158"/>
      <c r="H168" s="158"/>
      <c r="I168" s="158"/>
      <c r="J168" s="158"/>
      <c r="K168" s="484"/>
      <c r="L168" s="483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</row>
    <row r="169" spans="1:28" ht="15.75" customHeight="1">
      <c r="A169" s="158"/>
      <c r="B169" s="158"/>
      <c r="C169" s="158"/>
      <c r="D169" s="158"/>
      <c r="E169" s="158"/>
      <c r="F169" s="483"/>
      <c r="G169" s="158"/>
      <c r="H169" s="158"/>
      <c r="I169" s="158"/>
      <c r="J169" s="158"/>
      <c r="K169" s="484"/>
      <c r="L169" s="483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</row>
    <row r="170" spans="1:28" ht="15.75" customHeight="1">
      <c r="A170" s="158"/>
      <c r="B170" s="158"/>
      <c r="C170" s="158"/>
      <c r="D170" s="158"/>
      <c r="E170" s="158"/>
      <c r="F170" s="483"/>
      <c r="G170" s="158"/>
      <c r="H170" s="158"/>
      <c r="I170" s="158"/>
      <c r="J170" s="158"/>
      <c r="K170" s="484"/>
      <c r="L170" s="483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</row>
    <row r="171" spans="1:28" ht="15.75" customHeight="1">
      <c r="A171" s="158"/>
      <c r="B171" s="158"/>
      <c r="C171" s="158"/>
      <c r="D171" s="158"/>
      <c r="E171" s="158"/>
      <c r="F171" s="483"/>
      <c r="G171" s="158"/>
      <c r="H171" s="158"/>
      <c r="I171" s="158"/>
      <c r="J171" s="158"/>
      <c r="K171" s="484"/>
      <c r="L171" s="483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</row>
    <row r="172" spans="1:28" ht="15.75" customHeight="1">
      <c r="A172" s="158"/>
      <c r="B172" s="158"/>
      <c r="C172" s="158"/>
      <c r="D172" s="158"/>
      <c r="E172" s="158"/>
      <c r="F172" s="483"/>
      <c r="G172" s="158"/>
      <c r="H172" s="158"/>
      <c r="I172" s="158"/>
      <c r="J172" s="158"/>
      <c r="K172" s="484"/>
      <c r="L172" s="483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</row>
    <row r="173" spans="1:28" ht="15.75" customHeight="1">
      <c r="A173" s="158"/>
      <c r="B173" s="158"/>
      <c r="C173" s="158"/>
      <c r="D173" s="158"/>
      <c r="E173" s="158"/>
      <c r="F173" s="483"/>
      <c r="G173" s="158"/>
      <c r="H173" s="158"/>
      <c r="I173" s="158"/>
      <c r="J173" s="158"/>
      <c r="K173" s="484"/>
      <c r="L173" s="483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</row>
    <row r="174" spans="1:28" ht="15.75" customHeight="1">
      <c r="A174" s="158"/>
      <c r="B174" s="158"/>
      <c r="C174" s="158"/>
      <c r="D174" s="158"/>
      <c r="E174" s="158"/>
      <c r="F174" s="483"/>
      <c r="G174" s="158"/>
      <c r="H174" s="158"/>
      <c r="I174" s="158"/>
      <c r="J174" s="158"/>
      <c r="K174" s="484"/>
      <c r="L174" s="483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</row>
    <row r="175" spans="1:28" ht="15.75" customHeight="1">
      <c r="A175" s="158"/>
      <c r="B175" s="158"/>
      <c r="C175" s="158"/>
      <c r="D175" s="158"/>
      <c r="E175" s="158"/>
      <c r="F175" s="483"/>
      <c r="G175" s="158"/>
      <c r="H175" s="158"/>
      <c r="I175" s="158"/>
      <c r="J175" s="158"/>
      <c r="K175" s="484"/>
      <c r="L175" s="483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</row>
    <row r="176" spans="1:28" ht="15.75" customHeight="1">
      <c r="A176" s="158"/>
      <c r="B176" s="158"/>
      <c r="C176" s="158"/>
      <c r="D176" s="158"/>
      <c r="E176" s="158"/>
      <c r="F176" s="483"/>
      <c r="G176" s="158"/>
      <c r="H176" s="158"/>
      <c r="I176" s="158"/>
      <c r="J176" s="158"/>
      <c r="K176" s="484"/>
      <c r="L176" s="483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</row>
    <row r="177" spans="1:28" ht="15.75" customHeight="1">
      <c r="A177" s="158"/>
      <c r="B177" s="158"/>
      <c r="C177" s="158"/>
      <c r="D177" s="158"/>
      <c r="E177" s="158"/>
      <c r="F177" s="483"/>
      <c r="G177" s="158"/>
      <c r="H177" s="158"/>
      <c r="I177" s="158"/>
      <c r="J177" s="158"/>
      <c r="K177" s="484"/>
      <c r="L177" s="483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</row>
    <row r="178" spans="1:28" ht="15.75" customHeight="1">
      <c r="A178" s="158"/>
      <c r="B178" s="158"/>
      <c r="C178" s="158"/>
      <c r="D178" s="158"/>
      <c r="E178" s="158"/>
      <c r="F178" s="483"/>
      <c r="G178" s="158"/>
      <c r="H178" s="158"/>
      <c r="I178" s="158"/>
      <c r="J178" s="158"/>
      <c r="K178" s="484"/>
      <c r="L178" s="483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</row>
    <row r="179" spans="1:28" ht="15.75" customHeight="1">
      <c r="A179" s="158"/>
      <c r="B179" s="158"/>
      <c r="C179" s="158"/>
      <c r="D179" s="158"/>
      <c r="E179" s="158"/>
      <c r="F179" s="483"/>
      <c r="G179" s="158"/>
      <c r="H179" s="158"/>
      <c r="I179" s="158"/>
      <c r="J179" s="158"/>
      <c r="K179" s="484"/>
      <c r="L179" s="483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</row>
    <row r="180" spans="1:28" ht="15.75" customHeight="1">
      <c r="A180" s="158"/>
      <c r="B180" s="158"/>
      <c r="C180" s="158"/>
      <c r="D180" s="158"/>
      <c r="E180" s="158"/>
      <c r="F180" s="483"/>
      <c r="G180" s="158"/>
      <c r="H180" s="158"/>
      <c r="I180" s="158"/>
      <c r="J180" s="158"/>
      <c r="K180" s="484"/>
      <c r="L180" s="483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</row>
    <row r="181" spans="1:28" ht="15.75" customHeight="1">
      <c r="A181" s="158"/>
      <c r="B181" s="158"/>
      <c r="C181" s="158"/>
      <c r="D181" s="158"/>
      <c r="E181" s="158"/>
      <c r="F181" s="483"/>
      <c r="G181" s="158"/>
      <c r="H181" s="158"/>
      <c r="I181" s="158"/>
      <c r="J181" s="158"/>
      <c r="K181" s="484"/>
      <c r="L181" s="483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</row>
    <row r="182" spans="1:28" ht="15.75" customHeight="1">
      <c r="A182" s="158"/>
      <c r="B182" s="158"/>
      <c r="C182" s="158"/>
      <c r="D182" s="158"/>
      <c r="E182" s="158"/>
      <c r="F182" s="483"/>
      <c r="G182" s="158"/>
      <c r="H182" s="158"/>
      <c r="I182" s="158"/>
      <c r="J182" s="158"/>
      <c r="K182" s="484"/>
      <c r="L182" s="483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</row>
    <row r="183" spans="1:28" ht="15.75" customHeight="1">
      <c r="A183" s="158"/>
      <c r="B183" s="158"/>
      <c r="C183" s="158"/>
      <c r="D183" s="158"/>
      <c r="E183" s="158"/>
      <c r="F183" s="483"/>
      <c r="G183" s="158"/>
      <c r="H183" s="158"/>
      <c r="I183" s="158"/>
      <c r="J183" s="158"/>
      <c r="K183" s="484"/>
      <c r="L183" s="483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</row>
    <row r="184" spans="1:28" ht="15.75" customHeight="1">
      <c r="A184" s="158"/>
      <c r="B184" s="158"/>
      <c r="C184" s="158"/>
      <c r="D184" s="158"/>
      <c r="E184" s="158"/>
      <c r="F184" s="483"/>
      <c r="G184" s="158"/>
      <c r="H184" s="158"/>
      <c r="I184" s="158"/>
      <c r="J184" s="158"/>
      <c r="K184" s="484"/>
      <c r="L184" s="483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</row>
    <row r="185" spans="1:28" ht="15.75" customHeight="1">
      <c r="A185" s="158"/>
      <c r="B185" s="158"/>
      <c r="C185" s="158"/>
      <c r="D185" s="158"/>
      <c r="E185" s="158"/>
      <c r="F185" s="483"/>
      <c r="G185" s="158"/>
      <c r="H185" s="158"/>
      <c r="I185" s="158"/>
      <c r="J185" s="158"/>
      <c r="K185" s="484"/>
      <c r="L185" s="483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</row>
    <row r="186" spans="1:28" ht="15.75" customHeight="1">
      <c r="A186" s="158"/>
      <c r="B186" s="158"/>
      <c r="C186" s="158"/>
      <c r="D186" s="158"/>
      <c r="E186" s="158"/>
      <c r="F186" s="483"/>
      <c r="G186" s="158"/>
      <c r="H186" s="158"/>
      <c r="I186" s="158"/>
      <c r="J186" s="158"/>
      <c r="K186" s="484"/>
      <c r="L186" s="483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</row>
    <row r="187" spans="1:28" ht="15.75" customHeight="1">
      <c r="A187" s="158"/>
      <c r="B187" s="158"/>
      <c r="C187" s="158"/>
      <c r="D187" s="158"/>
      <c r="E187" s="158"/>
      <c r="F187" s="483"/>
      <c r="G187" s="158"/>
      <c r="H187" s="158"/>
      <c r="I187" s="158"/>
      <c r="J187" s="158"/>
      <c r="K187" s="484"/>
      <c r="L187" s="483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</row>
    <row r="188" spans="1:28" ht="15.75" customHeight="1">
      <c r="A188" s="158"/>
      <c r="B188" s="158"/>
      <c r="C188" s="158"/>
      <c r="D188" s="158"/>
      <c r="E188" s="158"/>
      <c r="F188" s="483"/>
      <c r="G188" s="158"/>
      <c r="H188" s="158"/>
      <c r="I188" s="158"/>
      <c r="J188" s="158"/>
      <c r="K188" s="484"/>
      <c r="L188" s="483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</row>
    <row r="189" spans="1:28" ht="15.75" customHeight="1">
      <c r="A189" s="158"/>
      <c r="B189" s="158"/>
      <c r="C189" s="158"/>
      <c r="D189" s="158"/>
      <c r="E189" s="158"/>
      <c r="F189" s="483"/>
      <c r="G189" s="158"/>
      <c r="H189" s="158"/>
      <c r="I189" s="158"/>
      <c r="J189" s="158"/>
      <c r="K189" s="484"/>
      <c r="L189" s="483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</row>
    <row r="190" spans="1:28" ht="15.75" customHeight="1">
      <c r="A190" s="158"/>
      <c r="B190" s="158"/>
      <c r="C190" s="158"/>
      <c r="D190" s="158"/>
      <c r="E190" s="158"/>
      <c r="F190" s="483"/>
      <c r="G190" s="158"/>
      <c r="H190" s="158"/>
      <c r="I190" s="158"/>
      <c r="J190" s="158"/>
      <c r="K190" s="484"/>
      <c r="L190" s="483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</row>
    <row r="191" spans="1:28" ht="15.75" customHeight="1">
      <c r="A191" s="158"/>
      <c r="B191" s="158"/>
      <c r="C191" s="158"/>
      <c r="D191" s="158"/>
      <c r="E191" s="158"/>
      <c r="F191" s="483"/>
      <c r="G191" s="158"/>
      <c r="H191" s="158"/>
      <c r="I191" s="158"/>
      <c r="J191" s="158"/>
      <c r="K191" s="484"/>
      <c r="L191" s="483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</row>
    <row r="192" spans="1:28" ht="15.75" customHeight="1">
      <c r="A192" s="158"/>
      <c r="B192" s="158"/>
      <c r="C192" s="158"/>
      <c r="D192" s="158"/>
      <c r="E192" s="158"/>
      <c r="F192" s="483"/>
      <c r="G192" s="158"/>
      <c r="H192" s="158"/>
      <c r="I192" s="158"/>
      <c r="J192" s="158"/>
      <c r="K192" s="484"/>
      <c r="L192" s="483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</row>
    <row r="193" spans="1:28" ht="15.75" customHeight="1">
      <c r="A193" s="158"/>
      <c r="B193" s="158"/>
      <c r="C193" s="158"/>
      <c r="D193" s="158"/>
      <c r="E193" s="158"/>
      <c r="F193" s="483"/>
      <c r="G193" s="158"/>
      <c r="H193" s="158"/>
      <c r="I193" s="158"/>
      <c r="J193" s="158"/>
      <c r="K193" s="484"/>
      <c r="L193" s="483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</row>
    <row r="194" spans="1:28" ht="15.75" customHeight="1">
      <c r="A194" s="158"/>
      <c r="B194" s="158"/>
      <c r="C194" s="158"/>
      <c r="D194" s="158"/>
      <c r="E194" s="158"/>
      <c r="F194" s="483"/>
      <c r="G194" s="158"/>
      <c r="H194" s="158"/>
      <c r="I194" s="158"/>
      <c r="J194" s="158"/>
      <c r="K194" s="484"/>
      <c r="L194" s="483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</row>
    <row r="195" spans="1:28" ht="15.75" customHeight="1">
      <c r="A195" s="158"/>
      <c r="B195" s="158"/>
      <c r="C195" s="158"/>
      <c r="D195" s="158"/>
      <c r="E195" s="158"/>
      <c r="F195" s="483"/>
      <c r="G195" s="158"/>
      <c r="H195" s="158"/>
      <c r="I195" s="158"/>
      <c r="J195" s="158"/>
      <c r="K195" s="484"/>
      <c r="L195" s="483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</row>
    <row r="196" spans="1:28" ht="15.75" customHeight="1">
      <c r="A196" s="158"/>
      <c r="B196" s="158"/>
      <c r="C196" s="158"/>
      <c r="D196" s="158"/>
      <c r="E196" s="158"/>
      <c r="F196" s="483"/>
      <c r="G196" s="158"/>
      <c r="H196" s="158"/>
      <c r="I196" s="158"/>
      <c r="J196" s="158"/>
      <c r="K196" s="484"/>
      <c r="L196" s="483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</row>
    <row r="197" spans="1:28" ht="15.75" customHeight="1">
      <c r="A197" s="158"/>
      <c r="B197" s="158"/>
      <c r="C197" s="158"/>
      <c r="D197" s="158"/>
      <c r="E197" s="158"/>
      <c r="F197" s="483"/>
      <c r="G197" s="158"/>
      <c r="H197" s="158"/>
      <c r="I197" s="158"/>
      <c r="J197" s="158"/>
      <c r="K197" s="484"/>
      <c r="L197" s="483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</row>
    <row r="198" spans="1:28" ht="15.75" customHeight="1">
      <c r="A198" s="158"/>
      <c r="B198" s="158"/>
      <c r="C198" s="158"/>
      <c r="D198" s="158"/>
      <c r="E198" s="158"/>
      <c r="F198" s="483"/>
      <c r="G198" s="158"/>
      <c r="H198" s="158"/>
      <c r="I198" s="158"/>
      <c r="J198" s="158"/>
      <c r="K198" s="484"/>
      <c r="L198" s="483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</row>
    <row r="199" spans="1:28" ht="15.75" customHeight="1">
      <c r="A199" s="158"/>
      <c r="B199" s="158"/>
      <c r="C199" s="158"/>
      <c r="D199" s="158"/>
      <c r="E199" s="158"/>
      <c r="F199" s="483"/>
      <c r="G199" s="158"/>
      <c r="H199" s="158"/>
      <c r="I199" s="158"/>
      <c r="J199" s="158"/>
      <c r="K199" s="484"/>
      <c r="L199" s="483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</row>
    <row r="200" spans="1:28" ht="15.75" customHeight="1">
      <c r="A200" s="158"/>
      <c r="B200" s="158"/>
      <c r="C200" s="158"/>
      <c r="D200" s="158"/>
      <c r="E200" s="158"/>
      <c r="F200" s="483"/>
      <c r="G200" s="158"/>
      <c r="H200" s="158"/>
      <c r="I200" s="158"/>
      <c r="J200" s="158"/>
      <c r="K200" s="484"/>
      <c r="L200" s="483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</row>
    <row r="201" spans="1:28" ht="15.75" customHeight="1">
      <c r="A201" s="158"/>
      <c r="B201" s="158"/>
      <c r="C201" s="158"/>
      <c r="D201" s="158"/>
      <c r="E201" s="158"/>
      <c r="F201" s="483"/>
      <c r="G201" s="158"/>
      <c r="H201" s="158"/>
      <c r="I201" s="158"/>
      <c r="J201" s="158"/>
      <c r="K201" s="484"/>
      <c r="L201" s="483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</row>
    <row r="202" spans="1:28" ht="15.75" customHeight="1">
      <c r="A202" s="158"/>
      <c r="B202" s="158"/>
      <c r="C202" s="158"/>
      <c r="D202" s="158"/>
      <c r="E202" s="158"/>
      <c r="F202" s="483"/>
      <c r="G202" s="158"/>
      <c r="H202" s="158"/>
      <c r="I202" s="158"/>
      <c r="J202" s="158"/>
      <c r="K202" s="484"/>
      <c r="L202" s="483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</row>
    <row r="203" spans="1:28" ht="15.75" customHeight="1">
      <c r="A203" s="158"/>
      <c r="B203" s="158"/>
      <c r="C203" s="158"/>
      <c r="D203" s="158"/>
      <c r="E203" s="158"/>
      <c r="F203" s="483"/>
      <c r="G203" s="158"/>
      <c r="H203" s="158"/>
      <c r="I203" s="158"/>
      <c r="J203" s="158"/>
      <c r="K203" s="484"/>
      <c r="L203" s="483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</row>
    <row r="204" spans="1:28" ht="15.75" customHeight="1">
      <c r="A204" s="158"/>
      <c r="B204" s="158"/>
      <c r="C204" s="158"/>
      <c r="D204" s="158"/>
      <c r="E204" s="158"/>
      <c r="F204" s="483"/>
      <c r="G204" s="158"/>
      <c r="H204" s="158"/>
      <c r="I204" s="158"/>
      <c r="J204" s="158"/>
      <c r="K204" s="484"/>
      <c r="L204" s="483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</row>
    <row r="205" spans="1:28" ht="15.75" customHeight="1">
      <c r="A205" s="158"/>
      <c r="B205" s="158"/>
      <c r="C205" s="158"/>
      <c r="D205" s="158"/>
      <c r="E205" s="158"/>
      <c r="F205" s="483"/>
      <c r="G205" s="158"/>
      <c r="H205" s="158"/>
      <c r="I205" s="158"/>
      <c r="J205" s="158"/>
      <c r="K205" s="484"/>
      <c r="L205" s="483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</row>
    <row r="206" spans="1:28" ht="15.75" customHeight="1">
      <c r="A206" s="158"/>
      <c r="B206" s="158"/>
      <c r="C206" s="158"/>
      <c r="D206" s="158"/>
      <c r="E206" s="158"/>
      <c r="F206" s="483"/>
      <c r="G206" s="158"/>
      <c r="H206" s="158"/>
      <c r="I206" s="158"/>
      <c r="J206" s="158"/>
      <c r="K206" s="484"/>
      <c r="L206" s="483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</row>
    <row r="207" spans="1:28" ht="15.75" customHeight="1">
      <c r="A207" s="158"/>
      <c r="B207" s="158"/>
      <c r="C207" s="158"/>
      <c r="D207" s="158"/>
      <c r="E207" s="158"/>
      <c r="F207" s="483"/>
      <c r="G207" s="158"/>
      <c r="H207" s="158"/>
      <c r="I207" s="158"/>
      <c r="J207" s="158"/>
      <c r="K207" s="484"/>
      <c r="L207" s="483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</row>
    <row r="208" spans="1:28" ht="15.75" customHeight="1">
      <c r="A208" s="158"/>
      <c r="B208" s="158"/>
      <c r="C208" s="158"/>
      <c r="D208" s="158"/>
      <c r="E208" s="158"/>
      <c r="F208" s="483"/>
      <c r="G208" s="158"/>
      <c r="H208" s="158"/>
      <c r="I208" s="158"/>
      <c r="J208" s="158"/>
      <c r="K208" s="484"/>
      <c r="L208" s="483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</row>
    <row r="209" spans="1:28" ht="15.75" customHeight="1">
      <c r="A209" s="158"/>
      <c r="B209" s="158"/>
      <c r="C209" s="158"/>
      <c r="D209" s="158"/>
      <c r="E209" s="158"/>
      <c r="F209" s="483"/>
      <c r="G209" s="158"/>
      <c r="H209" s="158"/>
      <c r="I209" s="158"/>
      <c r="J209" s="158"/>
      <c r="K209" s="484"/>
      <c r="L209" s="483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</row>
    <row r="210" spans="1:28" ht="15.75" customHeight="1">
      <c r="A210" s="158"/>
      <c r="B210" s="158"/>
      <c r="C210" s="158"/>
      <c r="D210" s="158"/>
      <c r="E210" s="158"/>
      <c r="F210" s="483"/>
      <c r="G210" s="158"/>
      <c r="H210" s="158"/>
      <c r="I210" s="158"/>
      <c r="J210" s="158"/>
      <c r="K210" s="484"/>
      <c r="L210" s="483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</row>
    <row r="211" spans="1:28" ht="15.75" customHeight="1">
      <c r="A211" s="158"/>
      <c r="B211" s="158"/>
      <c r="C211" s="158"/>
      <c r="D211" s="158"/>
      <c r="E211" s="158"/>
      <c r="F211" s="483"/>
      <c r="G211" s="158"/>
      <c r="H211" s="158"/>
      <c r="I211" s="158"/>
      <c r="J211" s="158"/>
      <c r="K211" s="484"/>
      <c r="L211" s="483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</row>
    <row r="212" spans="1:28" ht="15.75" customHeight="1">
      <c r="A212" s="158"/>
      <c r="B212" s="158"/>
      <c r="C212" s="158"/>
      <c r="D212" s="158"/>
      <c r="E212" s="158"/>
      <c r="F212" s="483"/>
      <c r="G212" s="158"/>
      <c r="H212" s="158"/>
      <c r="I212" s="158"/>
      <c r="J212" s="158"/>
      <c r="K212" s="484"/>
      <c r="L212" s="483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</row>
    <row r="213" spans="1:28" ht="15.75" customHeight="1">
      <c r="A213" s="158"/>
      <c r="B213" s="158"/>
      <c r="C213" s="158"/>
      <c r="D213" s="158"/>
      <c r="E213" s="158"/>
      <c r="F213" s="483"/>
      <c r="G213" s="158"/>
      <c r="H213" s="158"/>
      <c r="I213" s="158"/>
      <c r="J213" s="158"/>
      <c r="K213" s="484"/>
      <c r="L213" s="483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</row>
    <row r="214" spans="1:28" ht="15.75" customHeight="1">
      <c r="A214" s="158"/>
      <c r="B214" s="158"/>
      <c r="C214" s="158"/>
      <c r="D214" s="158"/>
      <c r="E214" s="158"/>
      <c r="F214" s="483"/>
      <c r="G214" s="158"/>
      <c r="H214" s="158"/>
      <c r="I214" s="158"/>
      <c r="J214" s="158"/>
      <c r="K214" s="484"/>
      <c r="L214" s="483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</row>
    <row r="215" spans="1:28" ht="15.75" customHeight="1">
      <c r="A215" s="158"/>
      <c r="B215" s="158"/>
      <c r="C215" s="158"/>
      <c r="D215" s="158"/>
      <c r="E215" s="158"/>
      <c r="F215" s="483"/>
      <c r="G215" s="158"/>
      <c r="H215" s="158"/>
      <c r="I215" s="158"/>
      <c r="J215" s="158"/>
      <c r="K215" s="484"/>
      <c r="L215" s="483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</row>
    <row r="216" spans="1:28" ht="15.75" customHeight="1">
      <c r="A216" s="158"/>
      <c r="B216" s="158"/>
      <c r="C216" s="158"/>
      <c r="D216" s="158"/>
      <c r="E216" s="158"/>
      <c r="F216" s="483"/>
      <c r="G216" s="158"/>
      <c r="H216" s="158"/>
      <c r="I216" s="158"/>
      <c r="J216" s="158"/>
      <c r="K216" s="484"/>
      <c r="L216" s="483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</row>
    <row r="217" spans="1:28" ht="15.75" customHeight="1">
      <c r="A217" s="158"/>
      <c r="B217" s="158"/>
      <c r="C217" s="158"/>
      <c r="D217" s="158"/>
      <c r="E217" s="158"/>
      <c r="F217" s="483"/>
      <c r="G217" s="158"/>
      <c r="H217" s="158"/>
      <c r="I217" s="158"/>
      <c r="J217" s="158"/>
      <c r="K217" s="484"/>
      <c r="L217" s="483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</row>
    <row r="218" spans="1:28" ht="15.75" customHeight="1">
      <c r="A218" s="158"/>
      <c r="B218" s="158"/>
      <c r="C218" s="158"/>
      <c r="D218" s="158"/>
      <c r="E218" s="158"/>
      <c r="F218" s="483"/>
      <c r="G218" s="158"/>
      <c r="H218" s="158"/>
      <c r="I218" s="158"/>
      <c r="J218" s="158"/>
      <c r="K218" s="484"/>
      <c r="L218" s="483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</row>
    <row r="219" spans="1:28" ht="15.75" customHeight="1">
      <c r="A219" s="158"/>
      <c r="B219" s="158"/>
      <c r="C219" s="158"/>
      <c r="D219" s="158"/>
      <c r="E219" s="158"/>
      <c r="F219" s="483"/>
      <c r="G219" s="158"/>
      <c r="H219" s="158"/>
      <c r="I219" s="158"/>
      <c r="J219" s="158"/>
      <c r="K219" s="484"/>
      <c r="L219" s="483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</row>
    <row r="220" spans="1:28" ht="15.75" customHeight="1">
      <c r="A220" s="158"/>
      <c r="B220" s="158"/>
      <c r="C220" s="158"/>
      <c r="D220" s="158"/>
      <c r="E220" s="158"/>
      <c r="F220" s="483"/>
      <c r="G220" s="158"/>
      <c r="H220" s="158"/>
      <c r="I220" s="158"/>
      <c r="J220" s="158"/>
      <c r="K220" s="484"/>
      <c r="L220" s="483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</row>
    <row r="221" spans="1:28" ht="15.75" customHeight="1">
      <c r="A221" s="158"/>
      <c r="B221" s="158"/>
      <c r="C221" s="158"/>
      <c r="D221" s="158"/>
      <c r="E221" s="158"/>
      <c r="F221" s="483"/>
      <c r="G221" s="158"/>
      <c r="H221" s="158"/>
      <c r="I221" s="158"/>
      <c r="J221" s="158"/>
      <c r="K221" s="484"/>
      <c r="L221" s="483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</row>
    <row r="222" spans="1:28" ht="15.75" customHeight="1">
      <c r="A222" s="158"/>
      <c r="B222" s="158"/>
      <c r="C222" s="158"/>
      <c r="D222" s="158"/>
      <c r="E222" s="158"/>
      <c r="F222" s="483"/>
      <c r="G222" s="158"/>
      <c r="H222" s="158"/>
      <c r="I222" s="158"/>
      <c r="J222" s="158"/>
      <c r="K222" s="484"/>
      <c r="L222" s="483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</row>
    <row r="223" spans="1:28" ht="15.75" customHeight="1">
      <c r="A223" s="158"/>
      <c r="B223" s="158"/>
      <c r="C223" s="158"/>
      <c r="D223" s="158"/>
      <c r="E223" s="158"/>
      <c r="F223" s="483"/>
      <c r="G223" s="158"/>
      <c r="H223" s="158"/>
      <c r="I223" s="158"/>
      <c r="J223" s="158"/>
      <c r="K223" s="484"/>
      <c r="L223" s="483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</row>
    <row r="224" spans="1:28" ht="15.75" customHeight="1">
      <c r="A224" s="158"/>
      <c r="B224" s="158"/>
      <c r="C224" s="158"/>
      <c r="D224" s="158"/>
      <c r="E224" s="158"/>
      <c r="F224" s="483"/>
      <c r="G224" s="158"/>
      <c r="H224" s="158"/>
      <c r="I224" s="158"/>
      <c r="J224" s="158"/>
      <c r="K224" s="484"/>
      <c r="L224" s="483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</row>
    <row r="225" spans="1:28" ht="15.75" customHeight="1">
      <c r="A225" s="158"/>
      <c r="B225" s="158"/>
      <c r="C225" s="158"/>
      <c r="D225" s="158"/>
      <c r="E225" s="158"/>
      <c r="F225" s="483"/>
      <c r="G225" s="158"/>
      <c r="H225" s="158"/>
      <c r="I225" s="158"/>
      <c r="J225" s="158"/>
      <c r="K225" s="484"/>
      <c r="L225" s="483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</row>
    <row r="226" spans="1:28" ht="15.75" customHeight="1">
      <c r="A226" s="158"/>
      <c r="B226" s="158"/>
      <c r="C226" s="158"/>
      <c r="D226" s="158"/>
      <c r="E226" s="158"/>
      <c r="F226" s="483"/>
      <c r="G226" s="158"/>
      <c r="H226" s="158"/>
      <c r="I226" s="158"/>
      <c r="J226" s="158"/>
      <c r="K226" s="484"/>
      <c r="L226" s="483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</row>
    <row r="227" spans="1:28" ht="15.75" customHeight="1">
      <c r="A227" s="158"/>
      <c r="B227" s="158"/>
      <c r="C227" s="158"/>
      <c r="D227" s="158"/>
      <c r="E227" s="158"/>
      <c r="F227" s="483"/>
      <c r="G227" s="158"/>
      <c r="H227" s="158"/>
      <c r="I227" s="158"/>
      <c r="J227" s="158"/>
      <c r="K227" s="484"/>
      <c r="L227" s="483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</row>
    <row r="228" spans="1:28" ht="15.75" customHeight="1">
      <c r="A228" s="158"/>
      <c r="B228" s="158"/>
      <c r="C228" s="158"/>
      <c r="D228" s="158"/>
      <c r="E228" s="158"/>
      <c r="F228" s="483"/>
      <c r="G228" s="158"/>
      <c r="H228" s="158"/>
      <c r="I228" s="158"/>
      <c r="J228" s="158"/>
      <c r="K228" s="484"/>
      <c r="L228" s="483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</row>
    <row r="229" spans="1:28" ht="15.75" customHeight="1">
      <c r="A229" s="158"/>
      <c r="B229" s="158"/>
      <c r="C229" s="158"/>
      <c r="D229" s="158"/>
      <c r="E229" s="158"/>
      <c r="F229" s="483"/>
      <c r="G229" s="158"/>
      <c r="H229" s="158"/>
      <c r="I229" s="158"/>
      <c r="J229" s="158"/>
      <c r="K229" s="484"/>
      <c r="L229" s="483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</row>
    <row r="230" spans="1:28" ht="15.75" customHeight="1">
      <c r="A230" s="158"/>
      <c r="B230" s="158"/>
      <c r="C230" s="158"/>
      <c r="D230" s="158"/>
      <c r="E230" s="158"/>
      <c r="F230" s="483"/>
      <c r="G230" s="158"/>
      <c r="H230" s="158"/>
      <c r="I230" s="158"/>
      <c r="J230" s="158"/>
      <c r="K230" s="484"/>
      <c r="L230" s="483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</row>
    <row r="231" spans="1:28" ht="15.75" customHeight="1">
      <c r="A231" s="158"/>
      <c r="B231" s="158"/>
      <c r="C231" s="158"/>
      <c r="D231" s="158"/>
      <c r="E231" s="158"/>
      <c r="F231" s="483"/>
      <c r="G231" s="158"/>
      <c r="H231" s="158"/>
      <c r="I231" s="158"/>
      <c r="J231" s="158"/>
      <c r="K231" s="484"/>
      <c r="L231" s="483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</row>
    <row r="232" spans="1:28" ht="15.75" customHeight="1">
      <c r="A232" s="158"/>
      <c r="B232" s="158"/>
      <c r="C232" s="158"/>
      <c r="D232" s="158"/>
      <c r="E232" s="158"/>
      <c r="F232" s="483"/>
      <c r="G232" s="158"/>
      <c r="H232" s="158"/>
      <c r="I232" s="158"/>
      <c r="J232" s="158"/>
      <c r="K232" s="484"/>
      <c r="L232" s="483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</row>
    <row r="233" spans="1:28" ht="15.75" customHeight="1">
      <c r="A233" s="158"/>
      <c r="B233" s="158"/>
      <c r="C233" s="158"/>
      <c r="D233" s="158"/>
      <c r="E233" s="158"/>
      <c r="F233" s="483"/>
      <c r="G233" s="158"/>
      <c r="H233" s="158"/>
      <c r="I233" s="158"/>
      <c r="J233" s="158"/>
      <c r="K233" s="484"/>
      <c r="L233" s="483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</row>
    <row r="234" spans="1:28" ht="15.75" customHeight="1">
      <c r="A234" s="158"/>
      <c r="B234" s="158"/>
      <c r="C234" s="158"/>
      <c r="D234" s="158"/>
      <c r="E234" s="158"/>
      <c r="F234" s="483"/>
      <c r="G234" s="158"/>
      <c r="H234" s="158"/>
      <c r="I234" s="158"/>
      <c r="J234" s="158"/>
      <c r="K234" s="484"/>
      <c r="L234" s="483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</row>
    <row r="235" spans="1:28" ht="15.75" customHeight="1">
      <c r="A235" s="158"/>
      <c r="B235" s="158"/>
      <c r="C235" s="158"/>
      <c r="D235" s="158"/>
      <c r="E235" s="158"/>
      <c r="F235" s="483"/>
      <c r="G235" s="158"/>
      <c r="H235" s="158"/>
      <c r="I235" s="158"/>
      <c r="J235" s="158"/>
      <c r="K235" s="484"/>
      <c r="L235" s="483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</row>
    <row r="236" spans="1:28" ht="15.75" customHeight="1">
      <c r="A236" s="158"/>
      <c r="B236" s="158"/>
      <c r="C236" s="158"/>
      <c r="D236" s="158"/>
      <c r="E236" s="158"/>
      <c r="F236" s="483"/>
      <c r="G236" s="158"/>
      <c r="H236" s="158"/>
      <c r="I236" s="158"/>
      <c r="J236" s="158"/>
      <c r="K236" s="484"/>
      <c r="L236" s="483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</row>
    <row r="237" spans="1:28" ht="15.75" customHeight="1">
      <c r="A237" s="158"/>
      <c r="B237" s="158"/>
      <c r="C237" s="158"/>
      <c r="D237" s="158"/>
      <c r="E237" s="158"/>
      <c r="F237" s="483"/>
      <c r="G237" s="158"/>
      <c r="H237" s="158"/>
      <c r="I237" s="158"/>
      <c r="J237" s="158"/>
      <c r="K237" s="484"/>
      <c r="L237" s="483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</row>
    <row r="238" spans="1:28" ht="15.75" customHeight="1">
      <c r="A238" s="158"/>
      <c r="B238" s="158"/>
      <c r="C238" s="158"/>
      <c r="D238" s="158"/>
      <c r="E238" s="158"/>
      <c r="F238" s="483"/>
      <c r="G238" s="158"/>
      <c r="H238" s="158"/>
      <c r="I238" s="158"/>
      <c r="J238" s="158"/>
      <c r="K238" s="484"/>
      <c r="L238" s="483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</row>
    <row r="239" spans="1:28" ht="15.75" customHeight="1">
      <c r="A239" s="158"/>
      <c r="B239" s="158"/>
      <c r="C239" s="158"/>
      <c r="D239" s="158"/>
      <c r="E239" s="158"/>
      <c r="F239" s="483"/>
      <c r="G239" s="158"/>
      <c r="H239" s="158"/>
      <c r="I239" s="158"/>
      <c r="J239" s="158"/>
      <c r="K239" s="484"/>
      <c r="L239" s="483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</row>
    <row r="240" spans="1:28" ht="15.75" customHeight="1">
      <c r="A240" s="158"/>
      <c r="B240" s="158"/>
      <c r="C240" s="158"/>
      <c r="D240" s="158"/>
      <c r="E240" s="158"/>
      <c r="F240" s="483"/>
      <c r="G240" s="158"/>
      <c r="H240" s="158"/>
      <c r="I240" s="158"/>
      <c r="J240" s="158"/>
      <c r="K240" s="484"/>
      <c r="L240" s="483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</row>
    <row r="241" spans="1:28" ht="15.75" customHeight="1">
      <c r="A241" s="158"/>
      <c r="B241" s="158"/>
      <c r="C241" s="158"/>
      <c r="D241" s="158"/>
      <c r="E241" s="158"/>
      <c r="F241" s="483"/>
      <c r="G241" s="158"/>
      <c r="H241" s="158"/>
      <c r="I241" s="158"/>
      <c r="J241" s="158"/>
      <c r="K241" s="484"/>
      <c r="L241" s="483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</row>
    <row r="242" spans="1:28" ht="15.75" customHeight="1">
      <c r="A242" s="158"/>
      <c r="B242" s="158"/>
      <c r="C242" s="158"/>
      <c r="D242" s="158"/>
      <c r="E242" s="158"/>
      <c r="F242" s="483"/>
      <c r="G242" s="158"/>
      <c r="H242" s="158"/>
      <c r="I242" s="158"/>
      <c r="J242" s="158"/>
      <c r="K242" s="484"/>
      <c r="L242" s="483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</row>
    <row r="243" spans="1:28" ht="15.75" customHeight="1">
      <c r="A243" s="158"/>
      <c r="B243" s="158"/>
      <c r="C243" s="158"/>
      <c r="D243" s="158"/>
      <c r="E243" s="158"/>
      <c r="F243" s="483"/>
      <c r="G243" s="158"/>
      <c r="H243" s="158"/>
      <c r="I243" s="158"/>
      <c r="J243" s="158"/>
      <c r="K243" s="484"/>
      <c r="L243" s="483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</row>
    <row r="244" spans="1:28" ht="15.75" customHeight="1">
      <c r="A244" s="158"/>
      <c r="B244" s="158"/>
      <c r="C244" s="158"/>
      <c r="D244" s="158"/>
      <c r="E244" s="158"/>
      <c r="F244" s="483"/>
      <c r="G244" s="158"/>
      <c r="H244" s="158"/>
      <c r="I244" s="158"/>
      <c r="J244" s="158"/>
      <c r="K244" s="484"/>
      <c r="L244" s="483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</row>
    <row r="245" spans="1:28" ht="15.75" customHeight="1">
      <c r="A245" s="158"/>
      <c r="B245" s="158"/>
      <c r="C245" s="158"/>
      <c r="D245" s="158"/>
      <c r="E245" s="158"/>
      <c r="F245" s="483"/>
      <c r="G245" s="158"/>
      <c r="H245" s="158"/>
      <c r="I245" s="158"/>
      <c r="J245" s="158"/>
      <c r="K245" s="484"/>
      <c r="L245" s="483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</row>
    <row r="246" spans="1:28" ht="15.75" customHeight="1">
      <c r="A246" s="158"/>
      <c r="B246" s="158"/>
      <c r="C246" s="158"/>
      <c r="D246" s="158"/>
      <c r="E246" s="158"/>
      <c r="F246" s="483"/>
      <c r="G246" s="158"/>
      <c r="H246" s="158"/>
      <c r="I246" s="158"/>
      <c r="J246" s="158"/>
      <c r="K246" s="484"/>
      <c r="L246" s="483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</row>
    <row r="247" spans="1:28" ht="15.75" customHeight="1">
      <c r="A247" s="158"/>
      <c r="B247" s="158"/>
      <c r="C247" s="158"/>
      <c r="D247" s="158"/>
      <c r="E247" s="158"/>
      <c r="F247" s="483"/>
      <c r="G247" s="158"/>
      <c r="H247" s="158"/>
      <c r="I247" s="158"/>
      <c r="J247" s="158"/>
      <c r="K247" s="484"/>
      <c r="L247" s="483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</row>
    <row r="248" spans="1:28" ht="15.75" customHeight="1">
      <c r="A248" s="158"/>
      <c r="B248" s="158"/>
      <c r="C248" s="158"/>
      <c r="D248" s="158"/>
      <c r="E248" s="158"/>
      <c r="F248" s="483"/>
      <c r="G248" s="158"/>
      <c r="H248" s="158"/>
      <c r="I248" s="158"/>
      <c r="J248" s="158"/>
      <c r="K248" s="484"/>
      <c r="L248" s="483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</row>
    <row r="249" spans="1:28" ht="15.75" customHeight="1">
      <c r="A249" s="158"/>
      <c r="B249" s="158"/>
      <c r="C249" s="158"/>
      <c r="D249" s="158"/>
      <c r="E249" s="158"/>
      <c r="F249" s="483"/>
      <c r="G249" s="158"/>
      <c r="H249" s="158"/>
      <c r="I249" s="158"/>
      <c r="J249" s="158"/>
      <c r="K249" s="484"/>
      <c r="L249" s="483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</row>
    <row r="250" spans="1:28" ht="15.75" customHeight="1">
      <c r="A250" s="158"/>
      <c r="B250" s="158"/>
      <c r="C250" s="158"/>
      <c r="D250" s="158"/>
      <c r="E250" s="158"/>
      <c r="F250" s="483"/>
      <c r="G250" s="158"/>
      <c r="H250" s="158"/>
      <c r="I250" s="158"/>
      <c r="J250" s="158"/>
      <c r="K250" s="484"/>
      <c r="L250" s="483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</row>
    <row r="251" spans="1:28" ht="15.75" customHeight="1">
      <c r="A251" s="158"/>
      <c r="B251" s="158"/>
      <c r="C251" s="158"/>
      <c r="D251" s="158"/>
      <c r="E251" s="158"/>
      <c r="F251" s="483"/>
      <c r="G251" s="158"/>
      <c r="H251" s="158"/>
      <c r="I251" s="158"/>
      <c r="J251" s="158"/>
      <c r="K251" s="484"/>
      <c r="L251" s="483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</row>
    <row r="252" spans="1:28" ht="15.75" customHeight="1">
      <c r="A252" s="158"/>
      <c r="B252" s="158"/>
      <c r="C252" s="158"/>
      <c r="D252" s="158"/>
      <c r="E252" s="158"/>
      <c r="F252" s="483"/>
      <c r="G252" s="158"/>
      <c r="H252" s="158"/>
      <c r="I252" s="158"/>
      <c r="J252" s="158"/>
      <c r="K252" s="484"/>
      <c r="L252" s="483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</row>
    <row r="253" spans="1:28" ht="15.75" customHeight="1">
      <c r="A253" s="158"/>
      <c r="B253" s="158"/>
      <c r="C253" s="158"/>
      <c r="D253" s="158"/>
      <c r="E253" s="158"/>
      <c r="F253" s="483"/>
      <c r="G253" s="158"/>
      <c r="H253" s="158"/>
      <c r="I253" s="158"/>
      <c r="J253" s="158"/>
      <c r="K253" s="484"/>
      <c r="L253" s="483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</row>
    <row r="254" spans="1:28" ht="15.75" customHeight="1">
      <c r="A254" s="158"/>
      <c r="B254" s="158"/>
      <c r="C254" s="158"/>
      <c r="D254" s="158"/>
      <c r="E254" s="158"/>
      <c r="F254" s="483"/>
      <c r="G254" s="158"/>
      <c r="H254" s="158"/>
      <c r="I254" s="158"/>
      <c r="J254" s="158"/>
      <c r="K254" s="484"/>
      <c r="L254" s="483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</row>
    <row r="255" spans="1:28" ht="15.75" customHeight="1">
      <c r="A255" s="158"/>
      <c r="B255" s="158"/>
      <c r="C255" s="158"/>
      <c r="D255" s="158"/>
      <c r="E255" s="158"/>
      <c r="F255" s="483"/>
      <c r="G255" s="158"/>
      <c r="H255" s="158"/>
      <c r="I255" s="158"/>
      <c r="J255" s="158"/>
      <c r="K255" s="484"/>
      <c r="L255" s="483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</row>
    <row r="256" spans="1:28" ht="15.75" customHeight="1">
      <c r="A256" s="158"/>
      <c r="B256" s="158"/>
      <c r="C256" s="158"/>
      <c r="D256" s="158"/>
      <c r="E256" s="158"/>
      <c r="F256" s="483"/>
      <c r="G256" s="158"/>
      <c r="H256" s="158"/>
      <c r="I256" s="158"/>
      <c r="J256" s="158"/>
      <c r="K256" s="484"/>
      <c r="L256" s="483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</row>
    <row r="257" spans="1:28" ht="15.75" customHeight="1">
      <c r="A257" s="158"/>
      <c r="B257" s="158"/>
      <c r="C257" s="158"/>
      <c r="D257" s="158"/>
      <c r="E257" s="158"/>
      <c r="F257" s="483"/>
      <c r="G257" s="158"/>
      <c r="H257" s="158"/>
      <c r="I257" s="158"/>
      <c r="J257" s="158"/>
      <c r="K257" s="484"/>
      <c r="L257" s="483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</row>
    <row r="258" spans="1:28" ht="15.75" customHeight="1">
      <c r="A258" s="158"/>
      <c r="B258" s="158"/>
      <c r="C258" s="158"/>
      <c r="D258" s="158"/>
      <c r="E258" s="158"/>
      <c r="F258" s="483"/>
      <c r="G258" s="158"/>
      <c r="H258" s="158"/>
      <c r="I258" s="158"/>
      <c r="J258" s="158"/>
      <c r="K258" s="484"/>
      <c r="L258" s="483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</row>
    <row r="259" spans="1:28" ht="15.75" customHeight="1">
      <c r="A259" s="158"/>
      <c r="B259" s="158"/>
      <c r="C259" s="158"/>
      <c r="D259" s="158"/>
      <c r="E259" s="158"/>
      <c r="F259" s="483"/>
      <c r="G259" s="158"/>
      <c r="H259" s="158"/>
      <c r="I259" s="158"/>
      <c r="J259" s="158"/>
      <c r="K259" s="484"/>
      <c r="L259" s="483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</row>
    <row r="260" spans="1:28" ht="15.75" customHeight="1">
      <c r="A260" s="158"/>
      <c r="B260" s="158"/>
      <c r="C260" s="158"/>
      <c r="D260" s="158"/>
      <c r="E260" s="158"/>
      <c r="F260" s="483"/>
      <c r="G260" s="158"/>
      <c r="H260" s="158"/>
      <c r="I260" s="158"/>
      <c r="J260" s="158"/>
      <c r="K260" s="484"/>
      <c r="L260" s="483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</row>
    <row r="261" spans="1:28" ht="15.75" customHeight="1">
      <c r="A261" s="158"/>
      <c r="B261" s="158"/>
      <c r="C261" s="158"/>
      <c r="D261" s="158"/>
      <c r="E261" s="158"/>
      <c r="F261" s="483"/>
      <c r="G261" s="158"/>
      <c r="H261" s="158"/>
      <c r="I261" s="158"/>
      <c r="J261" s="158"/>
      <c r="K261" s="484"/>
      <c r="L261" s="483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</row>
    <row r="262" spans="1:28" ht="15.75" customHeight="1">
      <c r="A262" s="158"/>
      <c r="B262" s="158"/>
      <c r="C262" s="158"/>
      <c r="D262" s="158"/>
      <c r="E262" s="158"/>
      <c r="F262" s="483"/>
      <c r="G262" s="158"/>
      <c r="H262" s="158"/>
      <c r="I262" s="158"/>
      <c r="J262" s="158"/>
      <c r="K262" s="484"/>
      <c r="L262" s="483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</row>
    <row r="263" spans="1:28" ht="15.75" customHeight="1">
      <c r="A263" s="158"/>
      <c r="B263" s="158"/>
      <c r="C263" s="158"/>
      <c r="D263" s="158"/>
      <c r="E263" s="158"/>
      <c r="F263" s="483"/>
      <c r="G263" s="158"/>
      <c r="H263" s="158"/>
      <c r="I263" s="158"/>
      <c r="J263" s="158"/>
      <c r="K263" s="484"/>
      <c r="L263" s="483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</row>
    <row r="264" spans="1:28" ht="15.75" customHeight="1">
      <c r="A264" s="158"/>
      <c r="B264" s="158"/>
      <c r="C264" s="158"/>
      <c r="D264" s="158"/>
      <c r="E264" s="158"/>
      <c r="F264" s="483"/>
      <c r="G264" s="158"/>
      <c r="H264" s="158"/>
      <c r="I264" s="158"/>
      <c r="J264" s="158"/>
      <c r="K264" s="484"/>
      <c r="L264" s="483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</row>
    <row r="265" spans="1:28" ht="15.75" customHeight="1">
      <c r="A265" s="158"/>
      <c r="B265" s="158"/>
      <c r="C265" s="158"/>
      <c r="D265" s="158"/>
      <c r="E265" s="158"/>
      <c r="F265" s="483"/>
      <c r="G265" s="158"/>
      <c r="H265" s="158"/>
      <c r="I265" s="158"/>
      <c r="J265" s="158"/>
      <c r="K265" s="484"/>
      <c r="L265" s="483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</row>
    <row r="266" spans="1:28" ht="15.75" customHeight="1">
      <c r="A266" s="158"/>
      <c r="B266" s="158"/>
      <c r="C266" s="158"/>
      <c r="D266" s="158"/>
      <c r="E266" s="158"/>
      <c r="F266" s="483"/>
      <c r="G266" s="158"/>
      <c r="H266" s="158"/>
      <c r="I266" s="158"/>
      <c r="J266" s="158"/>
      <c r="K266" s="484"/>
      <c r="L266" s="483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</row>
    <row r="267" spans="1:28" ht="15.75" customHeight="1">
      <c r="A267" s="158"/>
      <c r="B267" s="158"/>
      <c r="C267" s="158"/>
      <c r="D267" s="158"/>
      <c r="E267" s="158"/>
      <c r="F267" s="483"/>
      <c r="G267" s="158"/>
      <c r="H267" s="158"/>
      <c r="I267" s="158"/>
      <c r="J267" s="158"/>
      <c r="K267" s="484"/>
      <c r="L267" s="483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</row>
    <row r="268" spans="1:28" ht="15.75" customHeight="1">
      <c r="A268" s="158"/>
      <c r="B268" s="158"/>
      <c r="C268" s="158"/>
      <c r="D268" s="158"/>
      <c r="E268" s="158"/>
      <c r="F268" s="483"/>
      <c r="G268" s="158"/>
      <c r="H268" s="158"/>
      <c r="I268" s="158"/>
      <c r="J268" s="158"/>
      <c r="K268" s="484"/>
      <c r="L268" s="483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</row>
    <row r="269" spans="1:28" ht="15.75" customHeight="1">
      <c r="A269" s="158"/>
      <c r="B269" s="158"/>
      <c r="C269" s="158"/>
      <c r="D269" s="158"/>
      <c r="E269" s="158"/>
      <c r="F269" s="483"/>
      <c r="G269" s="158"/>
      <c r="H269" s="158"/>
      <c r="I269" s="158"/>
      <c r="J269" s="158"/>
      <c r="K269" s="484"/>
      <c r="L269" s="483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</row>
    <row r="270" spans="1:28" ht="15.75" customHeight="1">
      <c r="A270" s="158"/>
      <c r="B270" s="158"/>
      <c r="C270" s="158"/>
      <c r="D270" s="158"/>
      <c r="E270" s="158"/>
      <c r="F270" s="483"/>
      <c r="G270" s="158"/>
      <c r="H270" s="158"/>
      <c r="I270" s="158"/>
      <c r="J270" s="158"/>
      <c r="K270" s="484"/>
      <c r="L270" s="483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</row>
    <row r="271" spans="1:28" ht="15.75" customHeight="1">
      <c r="A271" s="158"/>
      <c r="B271" s="158"/>
      <c r="C271" s="158"/>
      <c r="D271" s="158"/>
      <c r="E271" s="158"/>
      <c r="F271" s="483"/>
      <c r="G271" s="158"/>
      <c r="H271" s="158"/>
      <c r="I271" s="158"/>
      <c r="J271" s="158"/>
      <c r="K271" s="484"/>
      <c r="L271" s="483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</row>
    <row r="272" spans="1:28" ht="15.75" customHeight="1">
      <c r="A272" s="158"/>
      <c r="B272" s="158"/>
      <c r="C272" s="158"/>
      <c r="D272" s="158"/>
      <c r="E272" s="158"/>
      <c r="F272" s="483"/>
      <c r="G272" s="158"/>
      <c r="H272" s="158"/>
      <c r="I272" s="158"/>
      <c r="J272" s="158"/>
      <c r="K272" s="484"/>
      <c r="L272" s="483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</row>
    <row r="273" spans="1:28" ht="15.75" customHeight="1">
      <c r="A273" s="158"/>
      <c r="B273" s="158"/>
      <c r="C273" s="158"/>
      <c r="D273" s="158"/>
      <c r="E273" s="158"/>
      <c r="F273" s="483"/>
      <c r="G273" s="158"/>
      <c r="H273" s="158"/>
      <c r="I273" s="158"/>
      <c r="J273" s="158"/>
      <c r="K273" s="484"/>
      <c r="L273" s="483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</row>
    <row r="274" spans="1:28" ht="15.75" customHeight="1">
      <c r="A274" s="158"/>
      <c r="B274" s="158"/>
      <c r="C274" s="158"/>
      <c r="D274" s="158"/>
      <c r="E274" s="158"/>
      <c r="F274" s="483"/>
      <c r="G274" s="158"/>
      <c r="H274" s="158"/>
      <c r="I274" s="158"/>
      <c r="J274" s="158"/>
      <c r="K274" s="484"/>
      <c r="L274" s="483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</row>
    <row r="275" spans="1:28" ht="15.75" customHeight="1">
      <c r="A275" s="158"/>
      <c r="B275" s="158"/>
      <c r="C275" s="158"/>
      <c r="D275" s="158"/>
      <c r="E275" s="158"/>
      <c r="F275" s="483"/>
      <c r="G275" s="158"/>
      <c r="H275" s="158"/>
      <c r="I275" s="158"/>
      <c r="J275" s="158"/>
      <c r="K275" s="484"/>
      <c r="L275" s="483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</row>
    <row r="276" spans="1:28" ht="15.75" customHeight="1">
      <c r="A276" s="158"/>
      <c r="B276" s="158"/>
      <c r="C276" s="158"/>
      <c r="D276" s="158"/>
      <c r="E276" s="158"/>
      <c r="F276" s="483"/>
      <c r="G276" s="158"/>
      <c r="H276" s="158"/>
      <c r="I276" s="158"/>
      <c r="J276" s="158"/>
      <c r="K276" s="484"/>
      <c r="L276" s="483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</row>
    <row r="277" spans="1:28" ht="15.75" customHeight="1">
      <c r="A277" s="158"/>
      <c r="B277" s="158"/>
      <c r="C277" s="158"/>
      <c r="D277" s="158"/>
      <c r="E277" s="158"/>
      <c r="F277" s="483"/>
      <c r="G277" s="158"/>
      <c r="H277" s="158"/>
      <c r="I277" s="158"/>
      <c r="J277" s="158"/>
      <c r="K277" s="484"/>
      <c r="L277" s="483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</row>
    <row r="278" spans="1:28" ht="15.75" customHeight="1">
      <c r="A278" s="158"/>
      <c r="B278" s="158"/>
      <c r="C278" s="158"/>
      <c r="D278" s="158"/>
      <c r="E278" s="158"/>
      <c r="F278" s="483"/>
      <c r="G278" s="158"/>
      <c r="H278" s="158"/>
      <c r="I278" s="158"/>
      <c r="J278" s="158"/>
      <c r="K278" s="484"/>
      <c r="L278" s="483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</row>
    <row r="279" spans="1:28" ht="15.75" customHeight="1">
      <c r="A279" s="158"/>
      <c r="B279" s="158"/>
      <c r="C279" s="158"/>
      <c r="D279" s="158"/>
      <c r="E279" s="158"/>
      <c r="F279" s="483"/>
      <c r="G279" s="158"/>
      <c r="H279" s="158"/>
      <c r="I279" s="158"/>
      <c r="J279" s="158"/>
      <c r="K279" s="484"/>
      <c r="L279" s="483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</row>
    <row r="280" spans="1:28" ht="15.75" customHeight="1">
      <c r="A280" s="158"/>
      <c r="B280" s="158"/>
      <c r="C280" s="158"/>
      <c r="D280" s="158"/>
      <c r="E280" s="158"/>
      <c r="F280" s="483"/>
      <c r="G280" s="158"/>
      <c r="H280" s="158"/>
      <c r="I280" s="158"/>
      <c r="J280" s="158"/>
      <c r="K280" s="484"/>
      <c r="L280" s="483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</row>
    <row r="281" spans="1:28" ht="15.75" customHeight="1">
      <c r="A281" s="158"/>
      <c r="B281" s="158"/>
      <c r="C281" s="158"/>
      <c r="D281" s="158"/>
      <c r="E281" s="158"/>
      <c r="F281" s="483"/>
      <c r="G281" s="158"/>
      <c r="H281" s="158"/>
      <c r="I281" s="158"/>
      <c r="J281" s="158"/>
      <c r="K281" s="484"/>
      <c r="L281" s="483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</row>
    <row r="282" spans="1:28" ht="15.75" customHeight="1">
      <c r="A282" s="158"/>
      <c r="B282" s="158"/>
      <c r="C282" s="158"/>
      <c r="D282" s="158"/>
      <c r="E282" s="158"/>
      <c r="F282" s="483"/>
      <c r="G282" s="158"/>
      <c r="H282" s="158"/>
      <c r="I282" s="158"/>
      <c r="J282" s="158"/>
      <c r="K282" s="484"/>
      <c r="L282" s="483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</row>
    <row r="283" spans="1:28" ht="15.75" customHeight="1">
      <c r="A283" s="158"/>
      <c r="B283" s="158"/>
      <c r="C283" s="158"/>
      <c r="D283" s="158"/>
      <c r="E283" s="158"/>
      <c r="F283" s="483"/>
      <c r="G283" s="158"/>
      <c r="H283" s="158"/>
      <c r="I283" s="158"/>
      <c r="J283" s="158"/>
      <c r="K283" s="484"/>
      <c r="L283" s="483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</row>
    <row r="284" spans="1:28" ht="15.75" customHeight="1">
      <c r="A284" s="158"/>
      <c r="B284" s="158"/>
      <c r="C284" s="158"/>
      <c r="D284" s="158"/>
      <c r="E284" s="158"/>
      <c r="F284" s="483"/>
      <c r="G284" s="158"/>
      <c r="H284" s="158"/>
      <c r="I284" s="158"/>
      <c r="J284" s="158"/>
      <c r="K284" s="484"/>
      <c r="L284" s="483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</row>
    <row r="285" spans="1:28" ht="15.75" customHeight="1">
      <c r="A285" s="158"/>
      <c r="B285" s="158"/>
      <c r="C285" s="158"/>
      <c r="D285" s="158"/>
      <c r="E285" s="158"/>
      <c r="F285" s="483"/>
      <c r="G285" s="158"/>
      <c r="H285" s="158"/>
      <c r="I285" s="158"/>
      <c r="J285" s="158"/>
      <c r="K285" s="484"/>
      <c r="L285" s="483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</row>
    <row r="286" spans="1:28" ht="15.75" customHeight="1">
      <c r="A286" s="158"/>
      <c r="B286" s="158"/>
      <c r="C286" s="158"/>
      <c r="D286" s="158"/>
      <c r="E286" s="158"/>
      <c r="F286" s="483"/>
      <c r="G286" s="158"/>
      <c r="H286" s="158"/>
      <c r="I286" s="158"/>
      <c r="J286" s="158"/>
      <c r="K286" s="484"/>
      <c r="L286" s="483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</row>
    <row r="287" spans="1:28" ht="15.75" customHeight="1">
      <c r="A287" s="158"/>
      <c r="B287" s="158"/>
      <c r="C287" s="158"/>
      <c r="D287" s="158"/>
      <c r="E287" s="158"/>
      <c r="F287" s="483"/>
      <c r="G287" s="158"/>
      <c r="H287" s="158"/>
      <c r="I287" s="158"/>
      <c r="J287" s="158"/>
      <c r="K287" s="484"/>
      <c r="L287" s="483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</row>
    <row r="288" spans="1:28" ht="15.75" customHeight="1">
      <c r="A288" s="158"/>
      <c r="B288" s="158"/>
      <c r="C288" s="158"/>
      <c r="D288" s="158"/>
      <c r="E288" s="158"/>
      <c r="F288" s="483"/>
      <c r="G288" s="158"/>
      <c r="H288" s="158"/>
      <c r="I288" s="158"/>
      <c r="J288" s="158"/>
      <c r="K288" s="484"/>
      <c r="L288" s="483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</row>
    <row r="289" spans="1:28" ht="15.75" customHeight="1">
      <c r="A289" s="158"/>
      <c r="B289" s="158"/>
      <c r="C289" s="158"/>
      <c r="D289" s="158"/>
      <c r="E289" s="158"/>
      <c r="F289" s="483"/>
      <c r="G289" s="158"/>
      <c r="H289" s="158"/>
      <c r="I289" s="158"/>
      <c r="J289" s="158"/>
      <c r="K289" s="484"/>
      <c r="L289" s="483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</row>
    <row r="290" spans="1:28" ht="15.75" customHeight="1">
      <c r="A290" s="158"/>
      <c r="B290" s="158"/>
      <c r="C290" s="158"/>
      <c r="D290" s="158"/>
      <c r="E290" s="158"/>
      <c r="F290" s="483"/>
      <c r="G290" s="158"/>
      <c r="H290" s="158"/>
      <c r="I290" s="158"/>
      <c r="J290" s="158"/>
      <c r="K290" s="484"/>
      <c r="L290" s="483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</row>
    <row r="291" spans="1:28" ht="15.75" customHeight="1">
      <c r="A291" s="158"/>
      <c r="B291" s="158"/>
      <c r="C291" s="158"/>
      <c r="D291" s="158"/>
      <c r="E291" s="158"/>
      <c r="F291" s="483"/>
      <c r="G291" s="158"/>
      <c r="H291" s="158"/>
      <c r="I291" s="158"/>
      <c r="J291" s="158"/>
      <c r="K291" s="484"/>
      <c r="L291" s="483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</row>
    <row r="292" spans="1:28" ht="15.75" customHeight="1">
      <c r="A292" s="158"/>
      <c r="B292" s="158"/>
      <c r="C292" s="158"/>
      <c r="D292" s="158"/>
      <c r="E292" s="158"/>
      <c r="F292" s="483"/>
      <c r="G292" s="158"/>
      <c r="H292" s="158"/>
      <c r="I292" s="158"/>
      <c r="J292" s="158"/>
      <c r="K292" s="484"/>
      <c r="L292" s="483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</row>
    <row r="293" spans="1:28" ht="15.75" customHeight="1">
      <c r="A293" s="158"/>
      <c r="B293" s="158"/>
      <c r="C293" s="158"/>
      <c r="D293" s="158"/>
      <c r="E293" s="158"/>
      <c r="F293" s="483"/>
      <c r="G293" s="158"/>
      <c r="H293" s="158"/>
      <c r="I293" s="158"/>
      <c r="J293" s="158"/>
      <c r="K293" s="484"/>
      <c r="L293" s="483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</row>
    <row r="294" spans="1:28" ht="15.75" customHeight="1">
      <c r="A294" s="158"/>
      <c r="B294" s="158"/>
      <c r="C294" s="158"/>
      <c r="D294" s="158"/>
      <c r="E294" s="158"/>
      <c r="F294" s="483"/>
      <c r="G294" s="158"/>
      <c r="H294" s="158"/>
      <c r="I294" s="158"/>
      <c r="J294" s="158"/>
      <c r="K294" s="484"/>
      <c r="L294" s="483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</row>
    <row r="295" spans="1:28" ht="15.75" customHeight="1">
      <c r="A295" s="158"/>
      <c r="B295" s="158"/>
      <c r="C295" s="158"/>
      <c r="D295" s="158"/>
      <c r="E295" s="158"/>
      <c r="F295" s="483"/>
      <c r="G295" s="158"/>
      <c r="H295" s="158"/>
      <c r="I295" s="158"/>
      <c r="J295" s="158"/>
      <c r="K295" s="484"/>
      <c r="L295" s="483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</row>
    <row r="296" spans="1:28" ht="15.75" customHeight="1">
      <c r="A296" s="158"/>
      <c r="B296" s="158"/>
      <c r="C296" s="158"/>
      <c r="D296" s="158"/>
      <c r="E296" s="158"/>
      <c r="F296" s="483"/>
      <c r="G296" s="158"/>
      <c r="H296" s="158"/>
      <c r="I296" s="158"/>
      <c r="J296" s="158"/>
      <c r="K296" s="484"/>
      <c r="L296" s="483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</row>
    <row r="297" spans="1:28" ht="15.75" customHeight="1">
      <c r="A297" s="158"/>
      <c r="B297" s="158"/>
      <c r="C297" s="158"/>
      <c r="D297" s="158"/>
      <c r="E297" s="158"/>
      <c r="F297" s="483"/>
      <c r="G297" s="158"/>
      <c r="H297" s="158"/>
      <c r="I297" s="158"/>
      <c r="J297" s="158"/>
      <c r="K297" s="484"/>
      <c r="L297" s="483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</row>
    <row r="298" spans="1:28" ht="15.75" customHeight="1">
      <c r="A298" s="158"/>
      <c r="B298" s="158"/>
      <c r="C298" s="158"/>
      <c r="D298" s="158"/>
      <c r="E298" s="158"/>
      <c r="F298" s="483"/>
      <c r="G298" s="158"/>
      <c r="H298" s="158"/>
      <c r="I298" s="158"/>
      <c r="J298" s="158"/>
      <c r="K298" s="484"/>
      <c r="L298" s="483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</row>
    <row r="299" spans="1:28" ht="15.75" customHeight="1">
      <c r="A299" s="158"/>
      <c r="B299" s="158"/>
      <c r="C299" s="158"/>
      <c r="D299" s="158"/>
      <c r="E299" s="158"/>
      <c r="F299" s="483"/>
      <c r="G299" s="158"/>
      <c r="H299" s="158"/>
      <c r="I299" s="158"/>
      <c r="J299" s="158"/>
      <c r="K299" s="484"/>
      <c r="L299" s="483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</row>
    <row r="300" spans="1:28" ht="15.75" customHeight="1">
      <c r="A300" s="158"/>
      <c r="B300" s="158"/>
      <c r="C300" s="158"/>
      <c r="D300" s="158"/>
      <c r="E300" s="158"/>
      <c r="F300" s="483"/>
      <c r="G300" s="158"/>
      <c r="H300" s="158"/>
      <c r="I300" s="158"/>
      <c r="J300" s="158"/>
      <c r="K300" s="484"/>
      <c r="L300" s="483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</row>
    <row r="301" spans="1:28" ht="15.75" customHeight="1">
      <c r="A301" s="158"/>
      <c r="B301" s="158"/>
      <c r="C301" s="158"/>
      <c r="D301" s="158"/>
      <c r="E301" s="158"/>
      <c r="F301" s="483"/>
      <c r="G301" s="158"/>
      <c r="H301" s="158"/>
      <c r="I301" s="158"/>
      <c r="J301" s="158"/>
      <c r="K301" s="484"/>
      <c r="L301" s="483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</row>
    <row r="302" spans="1:28" ht="15.75" customHeight="1">
      <c r="A302" s="158"/>
      <c r="B302" s="158"/>
      <c r="C302" s="158"/>
      <c r="D302" s="158"/>
      <c r="E302" s="158"/>
      <c r="F302" s="483"/>
      <c r="G302" s="158"/>
      <c r="H302" s="158"/>
      <c r="I302" s="158"/>
      <c r="J302" s="158"/>
      <c r="K302" s="484"/>
      <c r="L302" s="483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</row>
    <row r="303" spans="1:28" ht="15.75" customHeight="1">
      <c r="A303" s="158"/>
      <c r="B303" s="158"/>
      <c r="C303" s="158"/>
      <c r="D303" s="158"/>
      <c r="E303" s="158"/>
      <c r="F303" s="483"/>
      <c r="G303" s="158"/>
      <c r="H303" s="158"/>
      <c r="I303" s="158"/>
      <c r="J303" s="158"/>
      <c r="K303" s="484"/>
      <c r="L303" s="483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</row>
    <row r="304" spans="1:28" ht="15.75" customHeight="1">
      <c r="A304" s="158"/>
      <c r="B304" s="158"/>
      <c r="C304" s="158"/>
      <c r="D304" s="158"/>
      <c r="E304" s="158"/>
      <c r="F304" s="483"/>
      <c r="G304" s="158"/>
      <c r="H304" s="158"/>
      <c r="I304" s="158"/>
      <c r="J304" s="158"/>
      <c r="K304" s="484"/>
      <c r="L304" s="483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</row>
    <row r="305" spans="1:28" ht="15.75" customHeight="1">
      <c r="A305" s="158"/>
      <c r="B305" s="158"/>
      <c r="C305" s="158"/>
      <c r="D305" s="158"/>
      <c r="E305" s="158"/>
      <c r="F305" s="483"/>
      <c r="G305" s="158"/>
      <c r="H305" s="158"/>
      <c r="I305" s="158"/>
      <c r="J305" s="158"/>
      <c r="K305" s="484"/>
      <c r="L305" s="483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</row>
    <row r="306" spans="1:28" ht="15.75" customHeight="1">
      <c r="A306" s="158"/>
      <c r="B306" s="158"/>
      <c r="C306" s="158"/>
      <c r="D306" s="158"/>
      <c r="E306" s="158"/>
      <c r="F306" s="483"/>
      <c r="G306" s="158"/>
      <c r="H306" s="158"/>
      <c r="I306" s="158"/>
      <c r="J306" s="158"/>
      <c r="K306" s="484"/>
      <c r="L306" s="483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</row>
    <row r="307" spans="1:28" ht="15.75" customHeight="1">
      <c r="A307" s="158"/>
      <c r="B307" s="158"/>
      <c r="C307" s="158"/>
      <c r="D307" s="158"/>
      <c r="E307" s="158"/>
      <c r="F307" s="483"/>
      <c r="G307" s="158"/>
      <c r="H307" s="158"/>
      <c r="I307" s="158"/>
      <c r="J307" s="158"/>
      <c r="K307" s="484"/>
      <c r="L307" s="483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</row>
    <row r="308" spans="1:28" ht="15.75" customHeight="1">
      <c r="A308" s="158"/>
      <c r="B308" s="158"/>
      <c r="C308" s="158"/>
      <c r="D308" s="158"/>
      <c r="E308" s="158"/>
      <c r="F308" s="483"/>
      <c r="G308" s="158"/>
      <c r="H308" s="158"/>
      <c r="I308" s="158"/>
      <c r="J308" s="158"/>
      <c r="K308" s="484"/>
      <c r="L308" s="483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</row>
    <row r="309" spans="1:28" ht="15.75" customHeight="1">
      <c r="A309" s="158"/>
      <c r="B309" s="158"/>
      <c r="C309" s="158"/>
      <c r="D309" s="158"/>
      <c r="E309" s="158"/>
      <c r="F309" s="483"/>
      <c r="G309" s="158"/>
      <c r="H309" s="158"/>
      <c r="I309" s="158"/>
      <c r="J309" s="158"/>
      <c r="K309" s="484"/>
      <c r="L309" s="483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</row>
    <row r="310" spans="1:28" ht="15.75" customHeight="1">
      <c r="A310" s="158"/>
      <c r="B310" s="158"/>
      <c r="C310" s="158"/>
      <c r="D310" s="158"/>
      <c r="E310" s="158"/>
      <c r="F310" s="483"/>
      <c r="G310" s="158"/>
      <c r="H310" s="158"/>
      <c r="I310" s="158"/>
      <c r="J310" s="158"/>
      <c r="K310" s="484"/>
      <c r="L310" s="483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</row>
    <row r="311" spans="1:28" ht="15.75" customHeight="1">
      <c r="A311" s="158"/>
      <c r="B311" s="158"/>
      <c r="C311" s="158"/>
      <c r="D311" s="158"/>
      <c r="E311" s="158"/>
      <c r="F311" s="483"/>
      <c r="G311" s="158"/>
      <c r="H311" s="158"/>
      <c r="I311" s="158"/>
      <c r="J311" s="158"/>
      <c r="K311" s="484"/>
      <c r="L311" s="483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</row>
    <row r="312" spans="1:28" ht="15.75" customHeight="1">
      <c r="A312" s="158"/>
      <c r="B312" s="158"/>
      <c r="C312" s="158"/>
      <c r="D312" s="158"/>
      <c r="E312" s="158"/>
      <c r="F312" s="483"/>
      <c r="G312" s="158"/>
      <c r="H312" s="158"/>
      <c r="I312" s="158"/>
      <c r="J312" s="158"/>
      <c r="K312" s="484"/>
      <c r="L312" s="483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</row>
    <row r="313" spans="1:28" ht="15.75" customHeight="1">
      <c r="A313" s="158"/>
      <c r="B313" s="158"/>
      <c r="C313" s="158"/>
      <c r="D313" s="158"/>
      <c r="E313" s="158"/>
      <c r="F313" s="483"/>
      <c r="G313" s="158"/>
      <c r="H313" s="158"/>
      <c r="I313" s="158"/>
      <c r="J313" s="158"/>
      <c r="K313" s="484"/>
      <c r="L313" s="483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</row>
    <row r="314" spans="1:28" ht="15.75" customHeight="1">
      <c r="A314" s="158"/>
      <c r="B314" s="158"/>
      <c r="C314" s="158"/>
      <c r="D314" s="158"/>
      <c r="E314" s="158"/>
      <c r="F314" s="483"/>
      <c r="G314" s="158"/>
      <c r="H314" s="158"/>
      <c r="I314" s="158"/>
      <c r="J314" s="158"/>
      <c r="K314" s="484"/>
      <c r="L314" s="483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</row>
    <row r="315" spans="1:28" ht="15.75" customHeight="1">
      <c r="A315" s="158"/>
      <c r="B315" s="158"/>
      <c r="C315" s="158"/>
      <c r="D315" s="158"/>
      <c r="E315" s="158"/>
      <c r="F315" s="483"/>
      <c r="G315" s="158"/>
      <c r="H315" s="158"/>
      <c r="I315" s="158"/>
      <c r="J315" s="158"/>
      <c r="K315" s="484"/>
      <c r="L315" s="483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</row>
    <row r="316" spans="1:28" ht="15.75" customHeight="1">
      <c r="A316" s="158"/>
      <c r="B316" s="158"/>
      <c r="C316" s="158"/>
      <c r="D316" s="158"/>
      <c r="E316" s="158"/>
      <c r="F316" s="483"/>
      <c r="G316" s="158"/>
      <c r="H316" s="158"/>
      <c r="I316" s="158"/>
      <c r="J316" s="158"/>
      <c r="K316" s="484"/>
      <c r="L316" s="483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</row>
    <row r="317" spans="1:28" ht="15.75" customHeight="1">
      <c r="A317" s="158"/>
      <c r="B317" s="158"/>
      <c r="C317" s="158"/>
      <c r="D317" s="158"/>
      <c r="E317" s="158"/>
      <c r="F317" s="483"/>
      <c r="G317" s="158"/>
      <c r="H317" s="158"/>
      <c r="I317" s="158"/>
      <c r="J317" s="158"/>
      <c r="K317" s="484"/>
      <c r="L317" s="483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</row>
    <row r="318" spans="1:28" ht="15.75" customHeight="1">
      <c r="A318" s="158"/>
      <c r="B318" s="158"/>
      <c r="C318" s="158"/>
      <c r="D318" s="158"/>
      <c r="E318" s="158"/>
      <c r="F318" s="483"/>
      <c r="G318" s="158"/>
      <c r="H318" s="158"/>
      <c r="I318" s="158"/>
      <c r="J318" s="158"/>
      <c r="K318" s="484"/>
      <c r="L318" s="483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</row>
    <row r="319" spans="1:28" ht="15.75" customHeight="1">
      <c r="A319" s="158"/>
      <c r="B319" s="158"/>
      <c r="C319" s="158"/>
      <c r="D319" s="158"/>
      <c r="E319" s="158"/>
      <c r="F319" s="483"/>
      <c r="G319" s="158"/>
      <c r="H319" s="158"/>
      <c r="I319" s="158"/>
      <c r="J319" s="158"/>
      <c r="K319" s="484"/>
      <c r="L319" s="483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</row>
    <row r="320" spans="1:28" ht="15.75" customHeight="1">
      <c r="A320" s="158"/>
      <c r="B320" s="158"/>
      <c r="C320" s="158"/>
      <c r="D320" s="158"/>
      <c r="E320" s="158"/>
      <c r="F320" s="483"/>
      <c r="G320" s="158"/>
      <c r="H320" s="158"/>
      <c r="I320" s="158"/>
      <c r="J320" s="158"/>
      <c r="K320" s="484"/>
      <c r="L320" s="483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</row>
    <row r="321" spans="1:28" ht="15.75" customHeight="1">
      <c r="A321" s="158"/>
      <c r="B321" s="158"/>
      <c r="C321" s="158"/>
      <c r="D321" s="158"/>
      <c r="E321" s="158"/>
      <c r="F321" s="483"/>
      <c r="G321" s="158"/>
      <c r="H321" s="158"/>
      <c r="I321" s="158"/>
      <c r="J321" s="158"/>
      <c r="K321" s="484"/>
      <c r="L321" s="483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</row>
    <row r="322" spans="1:28" ht="15.75" customHeight="1">
      <c r="A322" s="158"/>
      <c r="B322" s="158"/>
      <c r="C322" s="158"/>
      <c r="D322" s="158"/>
      <c r="E322" s="158"/>
      <c r="F322" s="483"/>
      <c r="G322" s="158"/>
      <c r="H322" s="158"/>
      <c r="I322" s="158"/>
      <c r="J322" s="158"/>
      <c r="K322" s="484"/>
      <c r="L322" s="483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</row>
    <row r="323" spans="1:28" ht="15.75" customHeight="1">
      <c r="A323" s="158"/>
      <c r="B323" s="158"/>
      <c r="C323" s="158"/>
      <c r="D323" s="158"/>
      <c r="E323" s="158"/>
      <c r="F323" s="483"/>
      <c r="G323" s="158"/>
      <c r="H323" s="158"/>
      <c r="I323" s="158"/>
      <c r="J323" s="158"/>
      <c r="K323" s="484"/>
      <c r="L323" s="483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</row>
    <row r="324" spans="1:28" ht="15.75" customHeight="1">
      <c r="A324" s="158"/>
      <c r="B324" s="158"/>
      <c r="C324" s="158"/>
      <c r="D324" s="158"/>
      <c r="E324" s="158"/>
      <c r="F324" s="483"/>
      <c r="G324" s="158"/>
      <c r="H324" s="158"/>
      <c r="I324" s="158"/>
      <c r="J324" s="158"/>
      <c r="K324" s="484"/>
      <c r="L324" s="483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</row>
    <row r="325" spans="1:28" ht="15.75" customHeight="1">
      <c r="A325" s="158"/>
      <c r="B325" s="158"/>
      <c r="C325" s="158"/>
      <c r="D325" s="158"/>
      <c r="E325" s="158"/>
      <c r="F325" s="483"/>
      <c r="G325" s="158"/>
      <c r="H325" s="158"/>
      <c r="I325" s="158"/>
      <c r="J325" s="158"/>
      <c r="K325" s="484"/>
      <c r="L325" s="483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</row>
    <row r="326" spans="1:28" ht="15.75" customHeight="1">
      <c r="A326" s="158"/>
      <c r="B326" s="158"/>
      <c r="C326" s="158"/>
      <c r="D326" s="158"/>
      <c r="E326" s="158"/>
      <c r="F326" s="483"/>
      <c r="G326" s="158"/>
      <c r="H326" s="158"/>
      <c r="I326" s="158"/>
      <c r="J326" s="158"/>
      <c r="K326" s="484"/>
      <c r="L326" s="483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</row>
    <row r="327" spans="1:28" ht="15.75" customHeight="1">
      <c r="A327" s="158"/>
      <c r="B327" s="158"/>
      <c r="C327" s="158"/>
      <c r="D327" s="158"/>
      <c r="E327" s="158"/>
      <c r="F327" s="483"/>
      <c r="G327" s="158"/>
      <c r="H327" s="158"/>
      <c r="I327" s="158"/>
      <c r="J327" s="158"/>
      <c r="K327" s="484"/>
      <c r="L327" s="483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</row>
    <row r="328" spans="1:28" ht="15.75" customHeight="1">
      <c r="A328" s="158"/>
      <c r="B328" s="158"/>
      <c r="C328" s="158"/>
      <c r="D328" s="158"/>
      <c r="E328" s="158"/>
      <c r="F328" s="483"/>
      <c r="G328" s="158"/>
      <c r="H328" s="158"/>
      <c r="I328" s="158"/>
      <c r="J328" s="158"/>
      <c r="K328" s="484"/>
      <c r="L328" s="483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</row>
    <row r="329" spans="1:28" ht="15.75" customHeight="1">
      <c r="A329" s="158"/>
      <c r="B329" s="158"/>
      <c r="C329" s="158"/>
      <c r="D329" s="158"/>
      <c r="E329" s="158"/>
      <c r="F329" s="483"/>
      <c r="G329" s="158"/>
      <c r="H329" s="158"/>
      <c r="I329" s="158"/>
      <c r="J329" s="158"/>
      <c r="K329" s="484"/>
      <c r="L329" s="483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</row>
    <row r="330" spans="1:28" ht="15.75" customHeight="1">
      <c r="A330" s="158"/>
      <c r="B330" s="158"/>
      <c r="C330" s="158"/>
      <c r="D330" s="158"/>
      <c r="E330" s="158"/>
      <c r="F330" s="483"/>
      <c r="G330" s="158"/>
      <c r="H330" s="158"/>
      <c r="I330" s="158"/>
      <c r="J330" s="158"/>
      <c r="K330" s="484"/>
      <c r="L330" s="483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</row>
    <row r="331" spans="1:28" ht="15.75" customHeight="1">
      <c r="A331" s="158"/>
      <c r="B331" s="158"/>
      <c r="C331" s="158"/>
      <c r="D331" s="158"/>
      <c r="E331" s="158"/>
      <c r="F331" s="483"/>
      <c r="G331" s="158"/>
      <c r="H331" s="158"/>
      <c r="I331" s="158"/>
      <c r="J331" s="158"/>
      <c r="K331" s="484"/>
      <c r="L331" s="483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</row>
    <row r="332" spans="1:28" ht="15.75" customHeight="1">
      <c r="A332" s="158"/>
      <c r="B332" s="158"/>
      <c r="C332" s="158"/>
      <c r="D332" s="158"/>
      <c r="E332" s="158"/>
      <c r="F332" s="483"/>
      <c r="G332" s="158"/>
      <c r="H332" s="158"/>
      <c r="I332" s="158"/>
      <c r="J332" s="158"/>
      <c r="K332" s="484"/>
      <c r="L332" s="483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</row>
    <row r="333" spans="1:28" ht="15.75" customHeight="1">
      <c r="A333" s="158"/>
      <c r="B333" s="158"/>
      <c r="C333" s="158"/>
      <c r="D333" s="158"/>
      <c r="E333" s="158"/>
      <c r="F333" s="483"/>
      <c r="G333" s="158"/>
      <c r="H333" s="158"/>
      <c r="I333" s="158"/>
      <c r="J333" s="158"/>
      <c r="K333" s="484"/>
      <c r="L333" s="483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</row>
    <row r="334" spans="1:28" ht="15.75" customHeight="1">
      <c r="A334" s="158"/>
      <c r="B334" s="158"/>
      <c r="C334" s="158"/>
      <c r="D334" s="158"/>
      <c r="E334" s="158"/>
      <c r="F334" s="483"/>
      <c r="G334" s="158"/>
      <c r="H334" s="158"/>
      <c r="I334" s="158"/>
      <c r="J334" s="158"/>
      <c r="K334" s="484"/>
      <c r="L334" s="483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</row>
    <row r="335" spans="1:28" ht="15.75" customHeight="1">
      <c r="A335" s="158"/>
      <c r="B335" s="158"/>
      <c r="C335" s="158"/>
      <c r="D335" s="158"/>
      <c r="E335" s="158"/>
      <c r="F335" s="483"/>
      <c r="G335" s="158"/>
      <c r="H335" s="158"/>
      <c r="I335" s="158"/>
      <c r="J335" s="158"/>
      <c r="K335" s="484"/>
      <c r="L335" s="483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</row>
    <row r="336" spans="1:28" ht="15.75" customHeight="1">
      <c r="A336" s="158"/>
      <c r="B336" s="158"/>
      <c r="C336" s="158"/>
      <c r="D336" s="158"/>
      <c r="E336" s="158"/>
      <c r="F336" s="483"/>
      <c r="G336" s="158"/>
      <c r="H336" s="158"/>
      <c r="I336" s="158"/>
      <c r="J336" s="158"/>
      <c r="K336" s="484"/>
      <c r="L336" s="483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</row>
    <row r="337" spans="1:28" ht="15.75" customHeight="1">
      <c r="A337" s="158"/>
      <c r="B337" s="158"/>
      <c r="C337" s="158"/>
      <c r="D337" s="158"/>
      <c r="E337" s="158"/>
      <c r="F337" s="483"/>
      <c r="G337" s="158"/>
      <c r="H337" s="158"/>
      <c r="I337" s="158"/>
      <c r="J337" s="158"/>
      <c r="K337" s="484"/>
      <c r="L337" s="483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</row>
    <row r="338" spans="1:28" ht="15.75" customHeight="1">
      <c r="A338" s="158"/>
      <c r="B338" s="158"/>
      <c r="C338" s="158"/>
      <c r="D338" s="158"/>
      <c r="E338" s="158"/>
      <c r="F338" s="483"/>
      <c r="G338" s="158"/>
      <c r="H338" s="158"/>
      <c r="I338" s="158"/>
      <c r="J338" s="158"/>
      <c r="K338" s="484"/>
      <c r="L338" s="483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</row>
    <row r="339" spans="1:28" ht="15.75" customHeight="1">
      <c r="A339" s="158"/>
      <c r="B339" s="158"/>
      <c r="C339" s="158"/>
      <c r="D339" s="158"/>
      <c r="E339" s="158"/>
      <c r="F339" s="483"/>
      <c r="G339" s="158"/>
      <c r="H339" s="158"/>
      <c r="I339" s="158"/>
      <c r="J339" s="158"/>
      <c r="K339" s="484"/>
      <c r="L339" s="483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</row>
    <row r="340" spans="1:28" ht="15.75" customHeight="1">
      <c r="A340" s="158"/>
      <c r="B340" s="158"/>
      <c r="C340" s="158"/>
      <c r="D340" s="158"/>
      <c r="E340" s="158"/>
      <c r="F340" s="483"/>
      <c r="G340" s="158"/>
      <c r="H340" s="158"/>
      <c r="I340" s="158"/>
      <c r="J340" s="158"/>
      <c r="K340" s="484"/>
      <c r="L340" s="483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</row>
    <row r="341" spans="1:28" ht="15.75" customHeight="1">
      <c r="A341" s="158"/>
      <c r="B341" s="158"/>
      <c r="C341" s="158"/>
      <c r="D341" s="158"/>
      <c r="E341" s="158"/>
      <c r="F341" s="483"/>
      <c r="G341" s="158"/>
      <c r="H341" s="158"/>
      <c r="I341" s="158"/>
      <c r="J341" s="158"/>
      <c r="K341" s="484"/>
      <c r="L341" s="483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</row>
    <row r="342" spans="1:28" ht="15.75" customHeight="1">
      <c r="A342" s="158"/>
      <c r="B342" s="158"/>
      <c r="C342" s="158"/>
      <c r="D342" s="158"/>
      <c r="E342" s="158"/>
      <c r="F342" s="483"/>
      <c r="G342" s="158"/>
      <c r="H342" s="158"/>
      <c r="I342" s="158"/>
      <c r="J342" s="158"/>
      <c r="K342" s="484"/>
      <c r="L342" s="483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</row>
    <row r="343" spans="1:28" ht="15.75" customHeight="1">
      <c r="A343" s="158"/>
      <c r="B343" s="158"/>
      <c r="C343" s="158"/>
      <c r="D343" s="158"/>
      <c r="E343" s="158"/>
      <c r="F343" s="483"/>
      <c r="G343" s="158"/>
      <c r="H343" s="158"/>
      <c r="I343" s="158"/>
      <c r="J343" s="158"/>
      <c r="K343" s="484"/>
      <c r="L343" s="483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</row>
    <row r="344" spans="1:28" ht="15.75" customHeight="1">
      <c r="A344" s="158"/>
      <c r="B344" s="158"/>
      <c r="C344" s="158"/>
      <c r="D344" s="158"/>
      <c r="E344" s="158"/>
      <c r="F344" s="483"/>
      <c r="G344" s="158"/>
      <c r="H344" s="158"/>
      <c r="I344" s="158"/>
      <c r="J344" s="158"/>
      <c r="K344" s="484"/>
      <c r="L344" s="483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</row>
    <row r="345" spans="1:28" ht="15.75" customHeight="1">
      <c r="A345" s="158"/>
      <c r="B345" s="158"/>
      <c r="C345" s="158"/>
      <c r="D345" s="158"/>
      <c r="E345" s="158"/>
      <c r="F345" s="483"/>
      <c r="G345" s="158"/>
      <c r="H345" s="158"/>
      <c r="I345" s="158"/>
      <c r="J345" s="158"/>
      <c r="K345" s="484"/>
      <c r="L345" s="483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</row>
    <row r="346" spans="1:28" ht="15.75" customHeight="1">
      <c r="A346" s="158"/>
      <c r="B346" s="158"/>
      <c r="C346" s="158"/>
      <c r="D346" s="158"/>
      <c r="E346" s="158"/>
      <c r="F346" s="483"/>
      <c r="G346" s="158"/>
      <c r="H346" s="158"/>
      <c r="I346" s="158"/>
      <c r="J346" s="158"/>
      <c r="K346" s="484"/>
      <c r="L346" s="483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</row>
    <row r="347" spans="1:28" ht="15.75" customHeight="1">
      <c r="A347" s="158"/>
      <c r="B347" s="158"/>
      <c r="C347" s="158"/>
      <c r="D347" s="158"/>
      <c r="E347" s="158"/>
      <c r="F347" s="483"/>
      <c r="G347" s="158"/>
      <c r="H347" s="158"/>
      <c r="I347" s="158"/>
      <c r="J347" s="158"/>
      <c r="K347" s="484"/>
      <c r="L347" s="483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</row>
    <row r="348" spans="1:28" ht="15.75" customHeight="1">
      <c r="A348" s="158"/>
      <c r="B348" s="158"/>
      <c r="C348" s="158"/>
      <c r="D348" s="158"/>
      <c r="E348" s="158"/>
      <c r="F348" s="483"/>
      <c r="G348" s="158"/>
      <c r="H348" s="158"/>
      <c r="I348" s="158"/>
      <c r="J348" s="158"/>
      <c r="K348" s="484"/>
      <c r="L348" s="483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</row>
    <row r="349" spans="1:28" ht="15.75" customHeight="1">
      <c r="A349" s="158"/>
      <c r="B349" s="158"/>
      <c r="C349" s="158"/>
      <c r="D349" s="158"/>
      <c r="E349" s="158"/>
      <c r="F349" s="483"/>
      <c r="G349" s="158"/>
      <c r="H349" s="158"/>
      <c r="I349" s="158"/>
      <c r="J349" s="158"/>
      <c r="K349" s="484"/>
      <c r="L349" s="483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</row>
    <row r="350" spans="1:28" ht="15.75" customHeight="1">
      <c r="A350" s="158"/>
      <c r="B350" s="158"/>
      <c r="C350" s="158"/>
      <c r="D350" s="158"/>
      <c r="E350" s="158"/>
      <c r="F350" s="483"/>
      <c r="G350" s="158"/>
      <c r="H350" s="158"/>
      <c r="I350" s="158"/>
      <c r="J350" s="158"/>
      <c r="K350" s="484"/>
      <c r="L350" s="483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</row>
    <row r="351" spans="1:28" ht="15.75" customHeight="1">
      <c r="A351" s="158"/>
      <c r="B351" s="158"/>
      <c r="C351" s="158"/>
      <c r="D351" s="158"/>
      <c r="E351" s="158"/>
      <c r="F351" s="483"/>
      <c r="G351" s="158"/>
      <c r="H351" s="158"/>
      <c r="I351" s="158"/>
      <c r="J351" s="158"/>
      <c r="K351" s="484"/>
      <c r="L351" s="483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</row>
    <row r="352" spans="1:28" ht="15.75" customHeight="1">
      <c r="A352" s="158"/>
      <c r="B352" s="158"/>
      <c r="C352" s="158"/>
      <c r="D352" s="158"/>
      <c r="E352" s="158"/>
      <c r="F352" s="483"/>
      <c r="G352" s="158"/>
      <c r="H352" s="158"/>
      <c r="I352" s="158"/>
      <c r="J352" s="158"/>
      <c r="K352" s="484"/>
      <c r="L352" s="483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</row>
    <row r="353" spans="1:28" ht="15.75" customHeight="1">
      <c r="A353" s="158"/>
      <c r="B353" s="158"/>
      <c r="C353" s="158"/>
      <c r="D353" s="158"/>
      <c r="E353" s="158"/>
      <c r="F353" s="483"/>
      <c r="G353" s="158"/>
      <c r="H353" s="158"/>
      <c r="I353" s="158"/>
      <c r="J353" s="158"/>
      <c r="K353" s="484"/>
      <c r="L353" s="483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</row>
    <row r="354" spans="1:28" ht="15.75" customHeight="1">
      <c r="A354" s="158"/>
      <c r="B354" s="158"/>
      <c r="C354" s="158"/>
      <c r="D354" s="158"/>
      <c r="E354" s="158"/>
      <c r="F354" s="483"/>
      <c r="G354" s="158"/>
      <c r="H354" s="158"/>
      <c r="I354" s="158"/>
      <c r="J354" s="158"/>
      <c r="K354" s="484"/>
      <c r="L354" s="483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</row>
    <row r="355" spans="1:28" ht="15.75" customHeight="1">
      <c r="A355" s="158"/>
      <c r="B355" s="158"/>
      <c r="C355" s="158"/>
      <c r="D355" s="158"/>
      <c r="E355" s="158"/>
      <c r="F355" s="483"/>
      <c r="G355" s="158"/>
      <c r="H355" s="158"/>
      <c r="I355" s="158"/>
      <c r="J355" s="158"/>
      <c r="K355" s="484"/>
      <c r="L355" s="483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</row>
    <row r="356" spans="1:28" ht="15.75" customHeight="1">
      <c r="A356" s="158"/>
      <c r="B356" s="158"/>
      <c r="C356" s="158"/>
      <c r="D356" s="158"/>
      <c r="E356" s="158"/>
      <c r="F356" s="483"/>
      <c r="G356" s="158"/>
      <c r="H356" s="158"/>
      <c r="I356" s="158"/>
      <c r="J356" s="158"/>
      <c r="K356" s="484"/>
      <c r="L356" s="483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</row>
    <row r="357" spans="1:28" ht="15.75" customHeight="1">
      <c r="A357" s="158"/>
      <c r="B357" s="158"/>
      <c r="C357" s="158"/>
      <c r="D357" s="158"/>
      <c r="E357" s="158"/>
      <c r="F357" s="483"/>
      <c r="G357" s="158"/>
      <c r="H357" s="158"/>
      <c r="I357" s="158"/>
      <c r="J357" s="158"/>
      <c r="K357" s="484"/>
      <c r="L357" s="483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</row>
    <row r="358" spans="1:28" ht="15.75" customHeight="1">
      <c r="A358" s="158"/>
      <c r="B358" s="158"/>
      <c r="C358" s="158"/>
      <c r="D358" s="158"/>
      <c r="E358" s="158"/>
      <c r="F358" s="483"/>
      <c r="G358" s="158"/>
      <c r="H358" s="158"/>
      <c r="I358" s="158"/>
      <c r="J358" s="158"/>
      <c r="K358" s="484"/>
      <c r="L358" s="483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</row>
    <row r="359" spans="1:28" ht="15.75" customHeight="1">
      <c r="A359" s="158"/>
      <c r="B359" s="158"/>
      <c r="C359" s="158"/>
      <c r="D359" s="158"/>
      <c r="E359" s="158"/>
      <c r="F359" s="483"/>
      <c r="G359" s="158"/>
      <c r="H359" s="158"/>
      <c r="I359" s="158"/>
      <c r="J359" s="158"/>
      <c r="K359" s="484"/>
      <c r="L359" s="483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</row>
    <row r="360" spans="1:28" ht="15.75" customHeight="1">
      <c r="A360" s="158"/>
      <c r="B360" s="158"/>
      <c r="C360" s="158"/>
      <c r="D360" s="158"/>
      <c r="E360" s="158"/>
      <c r="F360" s="483"/>
      <c r="G360" s="158"/>
      <c r="H360" s="158"/>
      <c r="I360" s="158"/>
      <c r="J360" s="158"/>
      <c r="K360" s="484"/>
      <c r="L360" s="483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</row>
    <row r="361" spans="1:28" ht="15.75" customHeight="1">
      <c r="A361" s="158"/>
      <c r="B361" s="158"/>
      <c r="C361" s="158"/>
      <c r="D361" s="158"/>
      <c r="E361" s="158"/>
      <c r="F361" s="483"/>
      <c r="G361" s="158"/>
      <c r="H361" s="158"/>
      <c r="I361" s="158"/>
      <c r="J361" s="158"/>
      <c r="K361" s="484"/>
      <c r="L361" s="483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</row>
    <row r="362" spans="1:28" ht="15.75" customHeight="1">
      <c r="A362" s="158"/>
      <c r="B362" s="158"/>
      <c r="C362" s="158"/>
      <c r="D362" s="158"/>
      <c r="E362" s="158"/>
      <c r="F362" s="483"/>
      <c r="G362" s="158"/>
      <c r="H362" s="158"/>
      <c r="I362" s="158"/>
      <c r="J362" s="158"/>
      <c r="K362" s="484"/>
      <c r="L362" s="483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</row>
    <row r="363" spans="1:28" ht="15.75" customHeight="1">
      <c r="A363" s="158"/>
      <c r="B363" s="158"/>
      <c r="C363" s="158"/>
      <c r="D363" s="158"/>
      <c r="E363" s="158"/>
      <c r="F363" s="483"/>
      <c r="G363" s="158"/>
      <c r="H363" s="158"/>
      <c r="I363" s="158"/>
      <c r="J363" s="158"/>
      <c r="K363" s="484"/>
      <c r="L363" s="483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</row>
    <row r="364" spans="1:28" ht="15.75" customHeight="1">
      <c r="A364" s="158"/>
      <c r="B364" s="158"/>
      <c r="C364" s="158"/>
      <c r="D364" s="158"/>
      <c r="E364" s="158"/>
      <c r="F364" s="483"/>
      <c r="G364" s="158"/>
      <c r="H364" s="158"/>
      <c r="I364" s="158"/>
      <c r="J364" s="158"/>
      <c r="K364" s="484"/>
      <c r="L364" s="483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</row>
    <row r="365" spans="1:28" ht="15.75" customHeight="1">
      <c r="A365" s="158"/>
      <c r="B365" s="158"/>
      <c r="C365" s="158"/>
      <c r="D365" s="158"/>
      <c r="E365" s="158"/>
      <c r="F365" s="483"/>
      <c r="G365" s="158"/>
      <c r="H365" s="158"/>
      <c r="I365" s="158"/>
      <c r="J365" s="158"/>
      <c r="K365" s="484"/>
      <c r="L365" s="483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</row>
    <row r="366" spans="1:28" ht="15.75" customHeight="1">
      <c r="A366" s="158"/>
      <c r="B366" s="158"/>
      <c r="C366" s="158"/>
      <c r="D366" s="158"/>
      <c r="E366" s="158"/>
      <c r="F366" s="483"/>
      <c r="G366" s="158"/>
      <c r="H366" s="158"/>
      <c r="I366" s="158"/>
      <c r="J366" s="158"/>
      <c r="K366" s="484"/>
      <c r="L366" s="483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</row>
    <row r="367" spans="1:28" ht="15.75" customHeight="1">
      <c r="A367" s="158"/>
      <c r="B367" s="158"/>
      <c r="C367" s="158"/>
      <c r="D367" s="158"/>
      <c r="E367" s="158"/>
      <c r="F367" s="483"/>
      <c r="G367" s="158"/>
      <c r="H367" s="158"/>
      <c r="I367" s="158"/>
      <c r="J367" s="158"/>
      <c r="K367" s="484"/>
      <c r="L367" s="483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</row>
    <row r="368" spans="1:28" ht="15.75" customHeight="1">
      <c r="A368" s="158"/>
      <c r="B368" s="158"/>
      <c r="C368" s="158"/>
      <c r="D368" s="158"/>
      <c r="E368" s="158"/>
      <c r="F368" s="483"/>
      <c r="G368" s="158"/>
      <c r="H368" s="158"/>
      <c r="I368" s="158"/>
      <c r="J368" s="158"/>
      <c r="K368" s="484"/>
      <c r="L368" s="483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</row>
    <row r="369" spans="1:28" ht="15.75" customHeight="1">
      <c r="A369" s="158"/>
      <c r="B369" s="158"/>
      <c r="C369" s="158"/>
      <c r="D369" s="158"/>
      <c r="E369" s="158"/>
      <c r="F369" s="483"/>
      <c r="G369" s="158"/>
      <c r="H369" s="158"/>
      <c r="I369" s="158"/>
      <c r="J369" s="158"/>
      <c r="K369" s="484"/>
      <c r="L369" s="483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</row>
    <row r="370" spans="1:28" ht="15.75" customHeight="1">
      <c r="A370" s="158"/>
      <c r="B370" s="158"/>
      <c r="C370" s="158"/>
      <c r="D370" s="158"/>
      <c r="E370" s="158"/>
      <c r="F370" s="483"/>
      <c r="G370" s="158"/>
      <c r="H370" s="158"/>
      <c r="I370" s="158"/>
      <c r="J370" s="158"/>
      <c r="K370" s="484"/>
      <c r="L370" s="483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</row>
    <row r="371" spans="1:28" ht="15.75" customHeight="1">
      <c r="A371" s="158"/>
      <c r="B371" s="158"/>
      <c r="C371" s="158"/>
      <c r="D371" s="158"/>
      <c r="E371" s="158"/>
      <c r="F371" s="483"/>
      <c r="G371" s="158"/>
      <c r="H371" s="158"/>
      <c r="I371" s="158"/>
      <c r="J371" s="158"/>
      <c r="K371" s="484"/>
      <c r="L371" s="483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</row>
    <row r="372" spans="1:28" ht="15.75" customHeight="1">
      <c r="A372" s="158"/>
      <c r="B372" s="158"/>
      <c r="C372" s="158"/>
      <c r="D372" s="158"/>
      <c r="E372" s="158"/>
      <c r="F372" s="483"/>
      <c r="G372" s="158"/>
      <c r="H372" s="158"/>
      <c r="I372" s="158"/>
      <c r="J372" s="158"/>
      <c r="K372" s="484"/>
      <c r="L372" s="483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</row>
    <row r="373" spans="1:28" ht="15.75" customHeight="1">
      <c r="A373" s="158"/>
      <c r="B373" s="158"/>
      <c r="C373" s="158"/>
      <c r="D373" s="158"/>
      <c r="E373" s="158"/>
      <c r="F373" s="483"/>
      <c r="G373" s="158"/>
      <c r="H373" s="158"/>
      <c r="I373" s="158"/>
      <c r="J373" s="158"/>
      <c r="K373" s="484"/>
      <c r="L373" s="483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</row>
    <row r="374" spans="1:28" ht="15.75" customHeight="1">
      <c r="A374" s="158"/>
      <c r="B374" s="158"/>
      <c r="C374" s="158"/>
      <c r="D374" s="158"/>
      <c r="E374" s="158"/>
      <c r="F374" s="483"/>
      <c r="G374" s="158"/>
      <c r="H374" s="158"/>
      <c r="I374" s="158"/>
      <c r="J374" s="158"/>
      <c r="K374" s="484"/>
      <c r="L374" s="483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</row>
    <row r="375" spans="1:28" ht="15.75" customHeight="1">
      <c r="A375" s="158"/>
      <c r="B375" s="158"/>
      <c r="C375" s="158"/>
      <c r="D375" s="158"/>
      <c r="E375" s="158"/>
      <c r="F375" s="483"/>
      <c r="G375" s="158"/>
      <c r="H375" s="158"/>
      <c r="I375" s="158"/>
      <c r="J375" s="158"/>
      <c r="K375" s="484"/>
      <c r="L375" s="483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</row>
    <row r="376" spans="1:28" ht="15.75" customHeight="1">
      <c r="A376" s="158"/>
      <c r="B376" s="158"/>
      <c r="C376" s="158"/>
      <c r="D376" s="158"/>
      <c r="E376" s="158"/>
      <c r="F376" s="483"/>
      <c r="G376" s="158"/>
      <c r="H376" s="158"/>
      <c r="I376" s="158"/>
      <c r="J376" s="158"/>
      <c r="K376" s="484"/>
      <c r="L376" s="483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</row>
    <row r="377" spans="1:28" ht="15.75" customHeight="1">
      <c r="A377" s="158"/>
      <c r="B377" s="158"/>
      <c r="C377" s="158"/>
      <c r="D377" s="158"/>
      <c r="E377" s="158"/>
      <c r="F377" s="483"/>
      <c r="G377" s="158"/>
      <c r="H377" s="158"/>
      <c r="I377" s="158"/>
      <c r="J377" s="158"/>
      <c r="K377" s="484"/>
      <c r="L377" s="483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</row>
    <row r="378" spans="1:28" ht="15.75" customHeight="1">
      <c r="A378" s="158"/>
      <c r="B378" s="158"/>
      <c r="C378" s="158"/>
      <c r="D378" s="158"/>
      <c r="E378" s="158"/>
      <c r="F378" s="483"/>
      <c r="G378" s="158"/>
      <c r="H378" s="158"/>
      <c r="I378" s="158"/>
      <c r="J378" s="158"/>
      <c r="K378" s="484"/>
      <c r="L378" s="483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</row>
    <row r="379" spans="1:28" ht="15.75" customHeight="1">
      <c r="A379" s="158"/>
      <c r="B379" s="158"/>
      <c r="C379" s="158"/>
      <c r="D379" s="158"/>
      <c r="E379" s="158"/>
      <c r="F379" s="483"/>
      <c r="G379" s="158"/>
      <c r="H379" s="158"/>
      <c r="I379" s="158"/>
      <c r="J379" s="158"/>
      <c r="K379" s="484"/>
      <c r="L379" s="483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</row>
    <row r="380" spans="1:28" ht="15.75" customHeight="1">
      <c r="A380" s="158"/>
      <c r="B380" s="158"/>
      <c r="C380" s="158"/>
      <c r="D380" s="158"/>
      <c r="E380" s="158"/>
      <c r="F380" s="483"/>
      <c r="G380" s="158"/>
      <c r="H380" s="158"/>
      <c r="I380" s="158"/>
      <c r="J380" s="158"/>
      <c r="K380" s="484"/>
      <c r="L380" s="483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</row>
    <row r="381" spans="1:28" ht="15.75" customHeight="1">
      <c r="A381" s="158"/>
      <c r="B381" s="158"/>
      <c r="C381" s="158"/>
      <c r="D381" s="158"/>
      <c r="E381" s="158"/>
      <c r="F381" s="483"/>
      <c r="G381" s="158"/>
      <c r="H381" s="158"/>
      <c r="I381" s="158"/>
      <c r="J381" s="158"/>
      <c r="K381" s="484"/>
      <c r="L381" s="483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</row>
    <row r="382" spans="1:28" ht="15.75" customHeight="1">
      <c r="A382" s="158"/>
      <c r="B382" s="158"/>
      <c r="C382" s="158"/>
      <c r="D382" s="158"/>
      <c r="E382" s="158"/>
      <c r="F382" s="483"/>
      <c r="G382" s="158"/>
      <c r="H382" s="158"/>
      <c r="I382" s="158"/>
      <c r="J382" s="158"/>
      <c r="K382" s="484"/>
      <c r="L382" s="483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</row>
    <row r="383" spans="1:28" ht="15.75" customHeight="1">
      <c r="A383" s="158"/>
      <c r="B383" s="158"/>
      <c r="C383" s="158"/>
      <c r="D383" s="158"/>
      <c r="E383" s="158"/>
      <c r="F383" s="483"/>
      <c r="G383" s="158"/>
      <c r="H383" s="158"/>
      <c r="I383" s="158"/>
      <c r="J383" s="158"/>
      <c r="K383" s="484"/>
      <c r="L383" s="483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</row>
    <row r="384" spans="1:28" ht="15.75" customHeight="1">
      <c r="A384" s="158"/>
      <c r="B384" s="158"/>
      <c r="C384" s="158"/>
      <c r="D384" s="158"/>
      <c r="E384" s="158"/>
      <c r="F384" s="483"/>
      <c r="G384" s="158"/>
      <c r="H384" s="158"/>
      <c r="I384" s="158"/>
      <c r="J384" s="158"/>
      <c r="K384" s="484"/>
      <c r="L384" s="483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</row>
    <row r="385" spans="1:28" ht="15.75" customHeight="1">
      <c r="A385" s="158"/>
      <c r="B385" s="158"/>
      <c r="C385" s="158"/>
      <c r="D385" s="158"/>
      <c r="E385" s="158"/>
      <c r="F385" s="483"/>
      <c r="G385" s="158"/>
      <c r="H385" s="158"/>
      <c r="I385" s="158"/>
      <c r="J385" s="158"/>
      <c r="K385" s="484"/>
      <c r="L385" s="483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</row>
    <row r="386" spans="1:28" ht="15.75" customHeight="1">
      <c r="A386" s="158"/>
      <c r="B386" s="158"/>
      <c r="C386" s="158"/>
      <c r="D386" s="158"/>
      <c r="E386" s="158"/>
      <c r="F386" s="483"/>
      <c r="G386" s="158"/>
      <c r="H386" s="158"/>
      <c r="I386" s="158"/>
      <c r="J386" s="158"/>
      <c r="K386" s="484"/>
      <c r="L386" s="483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</row>
    <row r="387" spans="1:28" ht="15.75" customHeight="1">
      <c r="A387" s="158"/>
      <c r="B387" s="158"/>
      <c r="C387" s="158"/>
      <c r="D387" s="158"/>
      <c r="E387" s="158"/>
      <c r="F387" s="483"/>
      <c r="G387" s="158"/>
      <c r="H387" s="158"/>
      <c r="I387" s="158"/>
      <c r="J387" s="158"/>
      <c r="K387" s="484"/>
      <c r="L387" s="483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</row>
    <row r="388" spans="1:28" ht="15.75" customHeight="1">
      <c r="A388" s="158"/>
      <c r="B388" s="158"/>
      <c r="C388" s="158"/>
      <c r="D388" s="158"/>
      <c r="E388" s="158"/>
      <c r="F388" s="483"/>
      <c r="G388" s="158"/>
      <c r="H388" s="158"/>
      <c r="I388" s="158"/>
      <c r="J388" s="158"/>
      <c r="K388" s="484"/>
      <c r="L388" s="483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</row>
    <row r="389" spans="1:28" ht="15.75" customHeight="1">
      <c r="A389" s="158"/>
      <c r="B389" s="158"/>
      <c r="C389" s="158"/>
      <c r="D389" s="158"/>
      <c r="E389" s="158"/>
      <c r="F389" s="483"/>
      <c r="G389" s="158"/>
      <c r="H389" s="158"/>
      <c r="I389" s="158"/>
      <c r="J389" s="158"/>
      <c r="K389" s="484"/>
      <c r="L389" s="483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</row>
    <row r="390" spans="1:28" ht="15.75" customHeight="1">
      <c r="A390" s="158"/>
      <c r="B390" s="158"/>
      <c r="C390" s="158"/>
      <c r="D390" s="158"/>
      <c r="E390" s="158"/>
      <c r="F390" s="483"/>
      <c r="G390" s="158"/>
      <c r="H390" s="158"/>
      <c r="I390" s="158"/>
      <c r="J390" s="158"/>
      <c r="K390" s="484"/>
      <c r="L390" s="483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</row>
    <row r="391" spans="1:28" ht="15.75" customHeight="1">
      <c r="A391" s="158"/>
      <c r="B391" s="158"/>
      <c r="C391" s="158"/>
      <c r="D391" s="158"/>
      <c r="E391" s="158"/>
      <c r="F391" s="483"/>
      <c r="G391" s="158"/>
      <c r="H391" s="158"/>
      <c r="I391" s="158"/>
      <c r="J391" s="158"/>
      <c r="K391" s="484"/>
      <c r="L391" s="483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</row>
    <row r="392" spans="1:28" ht="15.75" customHeight="1">
      <c r="A392" s="158"/>
      <c r="B392" s="158"/>
      <c r="C392" s="158"/>
      <c r="D392" s="158"/>
      <c r="E392" s="158"/>
      <c r="F392" s="483"/>
      <c r="G392" s="158"/>
      <c r="H392" s="158"/>
      <c r="I392" s="158"/>
      <c r="J392" s="158"/>
      <c r="K392" s="484"/>
      <c r="L392" s="483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</row>
    <row r="393" spans="1:28" ht="15.75" customHeight="1">
      <c r="A393" s="158"/>
      <c r="B393" s="158"/>
      <c r="C393" s="158"/>
      <c r="D393" s="158"/>
      <c r="E393" s="158"/>
      <c r="F393" s="483"/>
      <c r="G393" s="158"/>
      <c r="H393" s="158"/>
      <c r="I393" s="158"/>
      <c r="J393" s="158"/>
      <c r="K393" s="484"/>
      <c r="L393" s="483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</row>
    <row r="394" spans="1:28" ht="15.75" customHeight="1">
      <c r="A394" s="158"/>
      <c r="B394" s="158"/>
      <c r="C394" s="158"/>
      <c r="D394" s="158"/>
      <c r="E394" s="158"/>
      <c r="F394" s="483"/>
      <c r="G394" s="158"/>
      <c r="H394" s="158"/>
      <c r="I394" s="158"/>
      <c r="J394" s="158"/>
      <c r="K394" s="484"/>
      <c r="L394" s="483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</row>
    <row r="395" spans="1:28" ht="15.75" customHeight="1">
      <c r="A395" s="158"/>
      <c r="B395" s="158"/>
      <c r="C395" s="158"/>
      <c r="D395" s="158"/>
      <c r="E395" s="158"/>
      <c r="F395" s="483"/>
      <c r="G395" s="158"/>
      <c r="H395" s="158"/>
      <c r="I395" s="158"/>
      <c r="J395" s="158"/>
      <c r="K395" s="484"/>
      <c r="L395" s="483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</row>
    <row r="396" spans="1:28" ht="15.75" customHeight="1">
      <c r="A396" s="158"/>
      <c r="B396" s="158"/>
      <c r="C396" s="158"/>
      <c r="D396" s="158"/>
      <c r="E396" s="158"/>
      <c r="F396" s="483"/>
      <c r="G396" s="158"/>
      <c r="H396" s="158"/>
      <c r="I396" s="158"/>
      <c r="J396" s="158"/>
      <c r="K396" s="484"/>
      <c r="L396" s="483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</row>
    <row r="397" spans="1:28" ht="15.75" customHeight="1">
      <c r="A397" s="158"/>
      <c r="B397" s="158"/>
      <c r="C397" s="158"/>
      <c r="D397" s="158"/>
      <c r="E397" s="158"/>
      <c r="F397" s="483"/>
      <c r="G397" s="158"/>
      <c r="H397" s="158"/>
      <c r="I397" s="158"/>
      <c r="J397" s="158"/>
      <c r="K397" s="484"/>
      <c r="L397" s="483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</row>
    <row r="398" spans="1:28" ht="15.75" customHeight="1">
      <c r="A398" s="158"/>
      <c r="B398" s="158"/>
      <c r="C398" s="158"/>
      <c r="D398" s="158"/>
      <c r="E398" s="158"/>
      <c r="F398" s="483"/>
      <c r="G398" s="158"/>
      <c r="H398" s="158"/>
      <c r="I398" s="158"/>
      <c r="J398" s="158"/>
      <c r="K398" s="484"/>
      <c r="L398" s="483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</row>
    <row r="399" spans="1:28" ht="15.75" customHeight="1">
      <c r="A399" s="158"/>
      <c r="B399" s="158"/>
      <c r="C399" s="158"/>
      <c r="D399" s="158"/>
      <c r="E399" s="158"/>
      <c r="F399" s="483"/>
      <c r="G399" s="158"/>
      <c r="H399" s="158"/>
      <c r="I399" s="158"/>
      <c r="J399" s="158"/>
      <c r="K399" s="484"/>
      <c r="L399" s="483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</row>
    <row r="400" spans="1:28" ht="15.75" customHeight="1">
      <c r="A400" s="158"/>
      <c r="B400" s="158"/>
      <c r="C400" s="158"/>
      <c r="D400" s="158"/>
      <c r="E400" s="158"/>
      <c r="F400" s="483"/>
      <c r="G400" s="158"/>
      <c r="H400" s="158"/>
      <c r="I400" s="158"/>
      <c r="J400" s="158"/>
      <c r="K400" s="484"/>
      <c r="L400" s="483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</row>
    <row r="401" spans="1:28" ht="15.75" customHeight="1">
      <c r="A401" s="158"/>
      <c r="B401" s="158"/>
      <c r="C401" s="158"/>
      <c r="D401" s="158"/>
      <c r="E401" s="158"/>
      <c r="F401" s="483"/>
      <c r="G401" s="158"/>
      <c r="H401" s="158"/>
      <c r="I401" s="158"/>
      <c r="J401" s="158"/>
      <c r="K401" s="484"/>
      <c r="L401" s="483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</row>
    <row r="402" spans="1:28" ht="15.75" customHeight="1">
      <c r="A402" s="158"/>
      <c r="B402" s="158"/>
      <c r="C402" s="158"/>
      <c r="D402" s="158"/>
      <c r="E402" s="158"/>
      <c r="F402" s="483"/>
      <c r="G402" s="158"/>
      <c r="H402" s="158"/>
      <c r="I402" s="158"/>
      <c r="J402" s="158"/>
      <c r="K402" s="484"/>
      <c r="L402" s="483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</row>
    <row r="403" spans="1:28" ht="15.75" customHeight="1">
      <c r="A403" s="158"/>
      <c r="B403" s="158"/>
      <c r="C403" s="158"/>
      <c r="D403" s="158"/>
      <c r="E403" s="158"/>
      <c r="F403" s="483"/>
      <c r="G403" s="158"/>
      <c r="H403" s="158"/>
      <c r="I403" s="158"/>
      <c r="J403" s="158"/>
      <c r="K403" s="484"/>
      <c r="L403" s="483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</row>
    <row r="404" spans="1:28" ht="15.75" customHeight="1">
      <c r="A404" s="158"/>
      <c r="B404" s="158"/>
      <c r="C404" s="158"/>
      <c r="D404" s="158"/>
      <c r="E404" s="158"/>
      <c r="F404" s="483"/>
      <c r="G404" s="158"/>
      <c r="H404" s="158"/>
      <c r="I404" s="158"/>
      <c r="J404" s="158"/>
      <c r="K404" s="484"/>
      <c r="L404" s="483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</row>
    <row r="405" spans="1:28" ht="15.75" customHeight="1">
      <c r="A405" s="158"/>
      <c r="B405" s="158"/>
      <c r="C405" s="158"/>
      <c r="D405" s="158"/>
      <c r="E405" s="158"/>
      <c r="F405" s="483"/>
      <c r="G405" s="158"/>
      <c r="H405" s="158"/>
      <c r="I405" s="158"/>
      <c r="J405" s="158"/>
      <c r="K405" s="484"/>
      <c r="L405" s="483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</row>
    <row r="406" spans="1:28" ht="15.75" customHeight="1">
      <c r="A406" s="158"/>
      <c r="B406" s="158"/>
      <c r="C406" s="158"/>
      <c r="D406" s="158"/>
      <c r="E406" s="158"/>
      <c r="F406" s="483"/>
      <c r="G406" s="158"/>
      <c r="H406" s="158"/>
      <c r="I406" s="158"/>
      <c r="J406" s="158"/>
      <c r="K406" s="484"/>
      <c r="L406" s="483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</row>
    <row r="407" spans="1:28" ht="15.75" customHeight="1">
      <c r="A407" s="158"/>
      <c r="B407" s="158"/>
      <c r="C407" s="158"/>
      <c r="D407" s="158"/>
      <c r="E407" s="158"/>
      <c r="F407" s="483"/>
      <c r="G407" s="158"/>
      <c r="H407" s="158"/>
      <c r="I407" s="158"/>
      <c r="J407" s="158"/>
      <c r="K407" s="484"/>
      <c r="L407" s="483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</row>
    <row r="408" spans="1:28" ht="15.75" customHeight="1">
      <c r="A408" s="158"/>
      <c r="B408" s="158"/>
      <c r="C408" s="158"/>
      <c r="D408" s="158"/>
      <c r="E408" s="158"/>
      <c r="F408" s="483"/>
      <c r="G408" s="158"/>
      <c r="H408" s="158"/>
      <c r="I408" s="158"/>
      <c r="J408" s="158"/>
      <c r="K408" s="484"/>
      <c r="L408" s="483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</row>
    <row r="409" spans="1:28" ht="15.75" customHeight="1">
      <c r="A409" s="158"/>
      <c r="B409" s="158"/>
      <c r="C409" s="158"/>
      <c r="D409" s="158"/>
      <c r="E409" s="158"/>
      <c r="F409" s="483"/>
      <c r="G409" s="158"/>
      <c r="H409" s="158"/>
      <c r="I409" s="158"/>
      <c r="J409" s="158"/>
      <c r="K409" s="484"/>
      <c r="L409" s="483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</row>
    <row r="410" spans="1:28" ht="15.75" customHeight="1">
      <c r="A410" s="158"/>
      <c r="B410" s="158"/>
      <c r="C410" s="158"/>
      <c r="D410" s="158"/>
      <c r="E410" s="158"/>
      <c r="F410" s="483"/>
      <c r="G410" s="158"/>
      <c r="H410" s="158"/>
      <c r="I410" s="158"/>
      <c r="J410" s="158"/>
      <c r="K410" s="484"/>
      <c r="L410" s="483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</row>
    <row r="411" spans="1:28" ht="15.75" customHeight="1">
      <c r="A411" s="158"/>
      <c r="B411" s="158"/>
      <c r="C411" s="158"/>
      <c r="D411" s="158"/>
      <c r="E411" s="158"/>
      <c r="F411" s="483"/>
      <c r="G411" s="158"/>
      <c r="H411" s="158"/>
      <c r="I411" s="158"/>
      <c r="J411" s="158"/>
      <c r="K411" s="484"/>
      <c r="L411" s="483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</row>
    <row r="412" spans="1:28" ht="15.75" customHeight="1">
      <c r="A412" s="158"/>
      <c r="B412" s="158"/>
      <c r="C412" s="158"/>
      <c r="D412" s="158"/>
      <c r="E412" s="158"/>
      <c r="F412" s="483"/>
      <c r="G412" s="158"/>
      <c r="H412" s="158"/>
      <c r="I412" s="158"/>
      <c r="J412" s="158"/>
      <c r="K412" s="484"/>
      <c r="L412" s="483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</row>
    <row r="413" spans="1:28" ht="15.75" customHeight="1">
      <c r="A413" s="158"/>
      <c r="B413" s="158"/>
      <c r="C413" s="158"/>
      <c r="D413" s="158"/>
      <c r="E413" s="158"/>
      <c r="F413" s="483"/>
      <c r="G413" s="158"/>
      <c r="H413" s="158"/>
      <c r="I413" s="158"/>
      <c r="J413" s="158"/>
      <c r="K413" s="484"/>
      <c r="L413" s="483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</row>
    <row r="414" spans="1:28" ht="15.75" customHeight="1">
      <c r="A414" s="158"/>
      <c r="B414" s="158"/>
      <c r="C414" s="158"/>
      <c r="D414" s="158"/>
      <c r="E414" s="158"/>
      <c r="F414" s="483"/>
      <c r="G414" s="158"/>
      <c r="H414" s="158"/>
      <c r="I414" s="158"/>
      <c r="J414" s="158"/>
      <c r="K414" s="484"/>
      <c r="L414" s="483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</row>
    <row r="415" spans="1:28" ht="15.75" customHeight="1">
      <c r="A415" s="158"/>
      <c r="B415" s="158"/>
      <c r="C415" s="158"/>
      <c r="D415" s="158"/>
      <c r="E415" s="158"/>
      <c r="F415" s="483"/>
      <c r="G415" s="158"/>
      <c r="H415" s="158"/>
      <c r="I415" s="158"/>
      <c r="J415" s="158"/>
      <c r="K415" s="484"/>
      <c r="L415" s="483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</row>
    <row r="416" spans="1:28" ht="15.75" customHeight="1">
      <c r="A416" s="158"/>
      <c r="B416" s="158"/>
      <c r="C416" s="158"/>
      <c r="D416" s="158"/>
      <c r="E416" s="158"/>
      <c r="F416" s="483"/>
      <c r="G416" s="158"/>
      <c r="H416" s="158"/>
      <c r="I416" s="158"/>
      <c r="J416" s="158"/>
      <c r="K416" s="484"/>
      <c r="L416" s="483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</row>
    <row r="417" spans="1:28" ht="15.75" customHeight="1">
      <c r="A417" s="158"/>
      <c r="B417" s="158"/>
      <c r="C417" s="158"/>
      <c r="D417" s="158"/>
      <c r="E417" s="158"/>
      <c r="F417" s="483"/>
      <c r="G417" s="158"/>
      <c r="H417" s="158"/>
      <c r="I417" s="158"/>
      <c r="J417" s="158"/>
      <c r="K417" s="484"/>
      <c r="L417" s="483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</row>
    <row r="418" spans="1:28" ht="15.75" customHeight="1">
      <c r="A418" s="158"/>
      <c r="B418" s="158"/>
      <c r="C418" s="158"/>
      <c r="D418" s="158"/>
      <c r="E418" s="158"/>
      <c r="F418" s="483"/>
      <c r="G418" s="158"/>
      <c r="H418" s="158"/>
      <c r="I418" s="158"/>
      <c r="J418" s="158"/>
      <c r="K418" s="484"/>
      <c r="L418" s="483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</row>
    <row r="419" spans="1:28" ht="15.75" customHeight="1">
      <c r="A419" s="158"/>
      <c r="B419" s="158"/>
      <c r="C419" s="158"/>
      <c r="D419" s="158"/>
      <c r="E419" s="158"/>
      <c r="F419" s="483"/>
      <c r="G419" s="158"/>
      <c r="H419" s="158"/>
      <c r="I419" s="158"/>
      <c r="J419" s="158"/>
      <c r="K419" s="484"/>
      <c r="L419" s="483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</row>
    <row r="420" spans="1:28" ht="15.75" customHeight="1">
      <c r="A420" s="158"/>
      <c r="B420" s="158"/>
      <c r="C420" s="158"/>
      <c r="D420" s="158"/>
      <c r="E420" s="158"/>
      <c r="F420" s="483"/>
      <c r="G420" s="158"/>
      <c r="H420" s="158"/>
      <c r="I420" s="158"/>
      <c r="J420" s="158"/>
      <c r="K420" s="484"/>
      <c r="L420" s="483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</row>
    <row r="421" spans="1:28" ht="15.75" customHeight="1">
      <c r="A421" s="158"/>
      <c r="B421" s="158"/>
      <c r="C421" s="158"/>
      <c r="D421" s="158"/>
      <c r="E421" s="158"/>
      <c r="F421" s="483"/>
      <c r="G421" s="158"/>
      <c r="H421" s="158"/>
      <c r="I421" s="158"/>
      <c r="J421" s="158"/>
      <c r="K421" s="484"/>
      <c r="L421" s="483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</row>
    <row r="422" spans="1:28" ht="15.75" customHeight="1">
      <c r="A422" s="158"/>
      <c r="B422" s="158"/>
      <c r="C422" s="158"/>
      <c r="D422" s="158"/>
      <c r="E422" s="158"/>
      <c r="F422" s="483"/>
      <c r="G422" s="158"/>
      <c r="H422" s="158"/>
      <c r="I422" s="158"/>
      <c r="J422" s="158"/>
      <c r="K422" s="484"/>
      <c r="L422" s="483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</row>
    <row r="423" spans="1:28" ht="15.75" customHeight="1">
      <c r="A423" s="158"/>
      <c r="B423" s="158"/>
      <c r="C423" s="158"/>
      <c r="D423" s="158"/>
      <c r="E423" s="158"/>
      <c r="F423" s="483"/>
      <c r="G423" s="158"/>
      <c r="H423" s="158"/>
      <c r="I423" s="158"/>
      <c r="J423" s="158"/>
      <c r="K423" s="484"/>
      <c r="L423" s="483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</row>
    <row r="424" spans="1:28" ht="15.75" customHeight="1">
      <c r="A424" s="158"/>
      <c r="B424" s="158"/>
      <c r="C424" s="158"/>
      <c r="D424" s="158"/>
      <c r="E424" s="158"/>
      <c r="F424" s="483"/>
      <c r="G424" s="158"/>
      <c r="H424" s="158"/>
      <c r="I424" s="158"/>
      <c r="J424" s="158"/>
      <c r="K424" s="484"/>
      <c r="L424" s="483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</row>
    <row r="425" spans="1:28" ht="15.75" customHeight="1">
      <c r="A425" s="158"/>
      <c r="B425" s="158"/>
      <c r="C425" s="158"/>
      <c r="D425" s="158"/>
      <c r="E425" s="158"/>
      <c r="F425" s="483"/>
      <c r="G425" s="158"/>
      <c r="H425" s="158"/>
      <c r="I425" s="158"/>
      <c r="J425" s="158"/>
      <c r="K425" s="484"/>
      <c r="L425" s="483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</row>
    <row r="426" spans="1:28" ht="15.75" customHeight="1">
      <c r="A426" s="158"/>
      <c r="B426" s="158"/>
      <c r="C426" s="158"/>
      <c r="D426" s="158"/>
      <c r="E426" s="158"/>
      <c r="F426" s="483"/>
      <c r="G426" s="158"/>
      <c r="H426" s="158"/>
      <c r="I426" s="158"/>
      <c r="J426" s="158"/>
      <c r="K426" s="484"/>
      <c r="L426" s="483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</row>
    <row r="427" spans="1:28" ht="15.75" customHeight="1">
      <c r="A427" s="158"/>
      <c r="B427" s="158"/>
      <c r="C427" s="158"/>
      <c r="D427" s="158"/>
      <c r="E427" s="158"/>
      <c r="F427" s="483"/>
      <c r="G427" s="158"/>
      <c r="H427" s="158"/>
      <c r="I427" s="158"/>
      <c r="J427" s="158"/>
      <c r="K427" s="484"/>
      <c r="L427" s="483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</row>
    <row r="428" spans="1:28" ht="15.75" customHeight="1">
      <c r="A428" s="158"/>
      <c r="B428" s="158"/>
      <c r="C428" s="158"/>
      <c r="D428" s="158"/>
      <c r="E428" s="158"/>
      <c r="F428" s="483"/>
      <c r="G428" s="158"/>
      <c r="H428" s="158"/>
      <c r="I428" s="158"/>
      <c r="J428" s="158"/>
      <c r="K428" s="484"/>
      <c r="L428" s="483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</row>
    <row r="429" spans="1:28" ht="15.75" customHeight="1">
      <c r="A429" s="158"/>
      <c r="B429" s="158"/>
      <c r="C429" s="158"/>
      <c r="D429" s="158"/>
      <c r="E429" s="158"/>
      <c r="F429" s="483"/>
      <c r="G429" s="158"/>
      <c r="H429" s="158"/>
      <c r="I429" s="158"/>
      <c r="J429" s="158"/>
      <c r="K429" s="484"/>
      <c r="L429" s="483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</row>
    <row r="430" spans="1:28" ht="15.75" customHeight="1">
      <c r="A430" s="158"/>
      <c r="B430" s="158"/>
      <c r="C430" s="158"/>
      <c r="D430" s="158"/>
      <c r="E430" s="158"/>
      <c r="F430" s="483"/>
      <c r="G430" s="158"/>
      <c r="H430" s="158"/>
      <c r="I430" s="158"/>
      <c r="J430" s="158"/>
      <c r="K430" s="484"/>
      <c r="L430" s="483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</row>
    <row r="431" spans="1:28" ht="15.75" customHeight="1">
      <c r="A431" s="158"/>
      <c r="B431" s="158"/>
      <c r="C431" s="158"/>
      <c r="D431" s="158"/>
      <c r="E431" s="158"/>
      <c r="F431" s="483"/>
      <c r="G431" s="158"/>
      <c r="H431" s="158"/>
      <c r="I431" s="158"/>
      <c r="J431" s="158"/>
      <c r="K431" s="484"/>
      <c r="L431" s="483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</row>
    <row r="432" spans="1:28" ht="15.75" customHeight="1">
      <c r="A432" s="158"/>
      <c r="B432" s="158"/>
      <c r="C432" s="158"/>
      <c r="D432" s="158"/>
      <c r="E432" s="158"/>
      <c r="F432" s="483"/>
      <c r="G432" s="158"/>
      <c r="H432" s="158"/>
      <c r="I432" s="158"/>
      <c r="J432" s="158"/>
      <c r="K432" s="484"/>
      <c r="L432" s="483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</row>
    <row r="433" spans="1:28" ht="15.75" customHeight="1">
      <c r="A433" s="158"/>
      <c r="B433" s="158"/>
      <c r="C433" s="158"/>
      <c r="D433" s="158"/>
      <c r="E433" s="158"/>
      <c r="F433" s="483"/>
      <c r="G433" s="158"/>
      <c r="H433" s="158"/>
      <c r="I433" s="158"/>
      <c r="J433" s="158"/>
      <c r="K433" s="484"/>
      <c r="L433" s="483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</row>
    <row r="434" spans="1:28" ht="15.75" customHeight="1">
      <c r="A434" s="158"/>
      <c r="B434" s="158"/>
      <c r="C434" s="158"/>
      <c r="D434" s="158"/>
      <c r="E434" s="158"/>
      <c r="F434" s="483"/>
      <c r="G434" s="158"/>
      <c r="H434" s="158"/>
      <c r="I434" s="158"/>
      <c r="J434" s="158"/>
      <c r="K434" s="484"/>
      <c r="L434" s="483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</row>
    <row r="435" spans="1:28" ht="15.75" customHeight="1">
      <c r="A435" s="158"/>
      <c r="B435" s="158"/>
      <c r="C435" s="158"/>
      <c r="D435" s="158"/>
      <c r="E435" s="158"/>
      <c r="F435" s="483"/>
      <c r="G435" s="158"/>
      <c r="H435" s="158"/>
      <c r="I435" s="158"/>
      <c r="J435" s="158"/>
      <c r="K435" s="484"/>
      <c r="L435" s="483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</row>
    <row r="436" spans="1:28" ht="15.75" customHeight="1">
      <c r="A436" s="158"/>
      <c r="B436" s="158"/>
      <c r="C436" s="158"/>
      <c r="D436" s="158"/>
      <c r="E436" s="158"/>
      <c r="F436" s="483"/>
      <c r="G436" s="158"/>
      <c r="H436" s="158"/>
      <c r="I436" s="158"/>
      <c r="J436" s="158"/>
      <c r="K436" s="484"/>
      <c r="L436" s="483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</row>
    <row r="437" spans="1:28" ht="15.75" customHeight="1">
      <c r="A437" s="158"/>
      <c r="B437" s="158"/>
      <c r="C437" s="158"/>
      <c r="D437" s="158"/>
      <c r="E437" s="158"/>
      <c r="F437" s="483"/>
      <c r="G437" s="158"/>
      <c r="H437" s="158"/>
      <c r="I437" s="158"/>
      <c r="J437" s="158"/>
      <c r="K437" s="484"/>
      <c r="L437" s="483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</row>
    <row r="438" spans="1:28" ht="15.75" customHeight="1">
      <c r="A438" s="158"/>
      <c r="B438" s="158"/>
      <c r="C438" s="158"/>
      <c r="D438" s="158"/>
      <c r="E438" s="158"/>
      <c r="F438" s="483"/>
      <c r="G438" s="158"/>
      <c r="H438" s="158"/>
      <c r="I438" s="158"/>
      <c r="J438" s="158"/>
      <c r="K438" s="484"/>
      <c r="L438" s="483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</row>
    <row r="439" spans="1:28" ht="15.75" customHeight="1">
      <c r="A439" s="158"/>
      <c r="B439" s="158"/>
      <c r="C439" s="158"/>
      <c r="D439" s="158"/>
      <c r="E439" s="158"/>
      <c r="F439" s="483"/>
      <c r="G439" s="158"/>
      <c r="H439" s="158"/>
      <c r="I439" s="158"/>
      <c r="J439" s="158"/>
      <c r="K439" s="484"/>
      <c r="L439" s="483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</row>
    <row r="440" spans="1:28" ht="15.75" customHeight="1">
      <c r="A440" s="158"/>
      <c r="B440" s="158"/>
      <c r="C440" s="158"/>
      <c r="D440" s="158"/>
      <c r="E440" s="158"/>
      <c r="F440" s="483"/>
      <c r="G440" s="158"/>
      <c r="H440" s="158"/>
      <c r="I440" s="158"/>
      <c r="J440" s="158"/>
      <c r="K440" s="484"/>
      <c r="L440" s="483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</row>
    <row r="441" spans="1:28" ht="15.75" customHeight="1">
      <c r="A441" s="158"/>
      <c r="B441" s="158"/>
      <c r="C441" s="158"/>
      <c r="D441" s="158"/>
      <c r="E441" s="158"/>
      <c r="F441" s="483"/>
      <c r="G441" s="158"/>
      <c r="H441" s="158"/>
      <c r="I441" s="158"/>
      <c r="J441" s="158"/>
      <c r="K441" s="484"/>
      <c r="L441" s="483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</row>
    <row r="442" spans="1:28" ht="15.75" customHeight="1">
      <c r="A442" s="158"/>
      <c r="B442" s="158"/>
      <c r="C442" s="158"/>
      <c r="D442" s="158"/>
      <c r="E442" s="158"/>
      <c r="F442" s="483"/>
      <c r="G442" s="158"/>
      <c r="H442" s="158"/>
      <c r="I442" s="158"/>
      <c r="J442" s="158"/>
      <c r="K442" s="484"/>
      <c r="L442" s="483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</row>
    <row r="443" spans="1:28" ht="15.75" customHeight="1">
      <c r="A443" s="158"/>
      <c r="B443" s="158"/>
      <c r="C443" s="158"/>
      <c r="D443" s="158"/>
      <c r="E443" s="158"/>
      <c r="F443" s="483"/>
      <c r="G443" s="158"/>
      <c r="H443" s="158"/>
      <c r="I443" s="158"/>
      <c r="J443" s="158"/>
      <c r="K443" s="484"/>
      <c r="L443" s="483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</row>
    <row r="444" spans="1:28" ht="15.75" customHeight="1">
      <c r="A444" s="158"/>
      <c r="B444" s="158"/>
      <c r="C444" s="158"/>
      <c r="D444" s="158"/>
      <c r="E444" s="158"/>
      <c r="F444" s="483"/>
      <c r="G444" s="158"/>
      <c r="H444" s="158"/>
      <c r="I444" s="158"/>
      <c r="J444" s="158"/>
      <c r="K444" s="484"/>
      <c r="L444" s="483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</row>
    <row r="445" spans="1:28" ht="15.75" customHeight="1">
      <c r="A445" s="158"/>
      <c r="B445" s="158"/>
      <c r="C445" s="158"/>
      <c r="D445" s="158"/>
      <c r="E445" s="158"/>
      <c r="F445" s="483"/>
      <c r="G445" s="158"/>
      <c r="H445" s="158"/>
      <c r="I445" s="158"/>
      <c r="J445" s="158"/>
      <c r="K445" s="484"/>
      <c r="L445" s="483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</row>
    <row r="446" spans="1:28" ht="15.75" customHeight="1">
      <c r="A446" s="158"/>
      <c r="B446" s="158"/>
      <c r="C446" s="158"/>
      <c r="D446" s="158"/>
      <c r="E446" s="158"/>
      <c r="F446" s="483"/>
      <c r="G446" s="158"/>
      <c r="H446" s="158"/>
      <c r="I446" s="158"/>
      <c r="J446" s="158"/>
      <c r="K446" s="484"/>
      <c r="L446" s="483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</row>
    <row r="447" spans="1:28" ht="15.75" customHeight="1">
      <c r="A447" s="158"/>
      <c r="B447" s="158"/>
      <c r="C447" s="158"/>
      <c r="D447" s="158"/>
      <c r="E447" s="158"/>
      <c r="F447" s="483"/>
      <c r="G447" s="158"/>
      <c r="H447" s="158"/>
      <c r="I447" s="158"/>
      <c r="J447" s="158"/>
      <c r="K447" s="484"/>
      <c r="L447" s="483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</row>
    <row r="448" spans="1:28" ht="15.75" customHeight="1">
      <c r="A448" s="158"/>
      <c r="B448" s="158"/>
      <c r="C448" s="158"/>
      <c r="D448" s="158"/>
      <c r="E448" s="158"/>
      <c r="F448" s="483"/>
      <c r="G448" s="158"/>
      <c r="H448" s="158"/>
      <c r="I448" s="158"/>
      <c r="J448" s="158"/>
      <c r="K448" s="484"/>
      <c r="L448" s="483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</row>
    <row r="449" spans="1:28" ht="15.75" customHeight="1">
      <c r="A449" s="158"/>
      <c r="B449" s="158"/>
      <c r="C449" s="158"/>
      <c r="D449" s="158"/>
      <c r="E449" s="158"/>
      <c r="F449" s="483"/>
      <c r="G449" s="158"/>
      <c r="H449" s="158"/>
      <c r="I449" s="158"/>
      <c r="J449" s="158"/>
      <c r="K449" s="484"/>
      <c r="L449" s="483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</row>
    <row r="450" spans="1:28" ht="15.75" customHeight="1">
      <c r="A450" s="158"/>
      <c r="B450" s="158"/>
      <c r="C450" s="158"/>
      <c r="D450" s="158"/>
      <c r="E450" s="158"/>
      <c r="F450" s="483"/>
      <c r="G450" s="158"/>
      <c r="H450" s="158"/>
      <c r="I450" s="158"/>
      <c r="J450" s="158"/>
      <c r="K450" s="484"/>
      <c r="L450" s="483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</row>
    <row r="451" spans="1:28" ht="15.75" customHeight="1">
      <c r="A451" s="158"/>
      <c r="B451" s="158"/>
      <c r="C451" s="158"/>
      <c r="D451" s="158"/>
      <c r="E451" s="158"/>
      <c r="F451" s="483"/>
      <c r="G451" s="158"/>
      <c r="H451" s="158"/>
      <c r="I451" s="158"/>
      <c r="J451" s="158"/>
      <c r="K451" s="484"/>
      <c r="L451" s="483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</row>
    <row r="452" spans="1:28" ht="15.75" customHeight="1">
      <c r="A452" s="158"/>
      <c r="B452" s="158"/>
      <c r="C452" s="158"/>
      <c r="D452" s="158"/>
      <c r="E452" s="158"/>
      <c r="F452" s="483"/>
      <c r="G452" s="158"/>
      <c r="H452" s="158"/>
      <c r="I452" s="158"/>
      <c r="J452" s="158"/>
      <c r="K452" s="484"/>
      <c r="L452" s="483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</row>
    <row r="453" spans="1:28" ht="15.75" customHeight="1">
      <c r="A453" s="158"/>
      <c r="B453" s="158"/>
      <c r="C453" s="158"/>
      <c r="D453" s="158"/>
      <c r="E453" s="158"/>
      <c r="F453" s="483"/>
      <c r="G453" s="158"/>
      <c r="H453" s="158"/>
      <c r="I453" s="158"/>
      <c r="J453" s="158"/>
      <c r="K453" s="484"/>
      <c r="L453" s="483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</row>
    <row r="454" spans="1:28" ht="15.75" customHeight="1">
      <c r="A454" s="158"/>
      <c r="B454" s="158"/>
      <c r="C454" s="158"/>
      <c r="D454" s="158"/>
      <c r="E454" s="158"/>
      <c r="F454" s="483"/>
      <c r="G454" s="158"/>
      <c r="H454" s="158"/>
      <c r="I454" s="158"/>
      <c r="J454" s="158"/>
      <c r="K454" s="484"/>
      <c r="L454" s="483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</row>
    <row r="455" spans="1:28" ht="15.75" customHeight="1">
      <c r="A455" s="158"/>
      <c r="B455" s="158"/>
      <c r="C455" s="158"/>
      <c r="D455" s="158"/>
      <c r="E455" s="158"/>
      <c r="F455" s="483"/>
      <c r="G455" s="158"/>
      <c r="H455" s="158"/>
      <c r="I455" s="158"/>
      <c r="J455" s="158"/>
      <c r="K455" s="484"/>
      <c r="L455" s="483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</row>
    <row r="456" spans="1:28" ht="15.75" customHeight="1">
      <c r="A456" s="158"/>
      <c r="B456" s="158"/>
      <c r="C456" s="158"/>
      <c r="D456" s="158"/>
      <c r="E456" s="158"/>
      <c r="F456" s="483"/>
      <c r="G456" s="158"/>
      <c r="H456" s="158"/>
      <c r="I456" s="158"/>
      <c r="J456" s="158"/>
      <c r="K456" s="484"/>
      <c r="L456" s="483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</row>
    <row r="457" spans="1:28" ht="15.75" customHeight="1">
      <c r="A457" s="158"/>
      <c r="B457" s="158"/>
      <c r="C457" s="158"/>
      <c r="D457" s="158"/>
      <c r="E457" s="158"/>
      <c r="F457" s="483"/>
      <c r="G457" s="158"/>
      <c r="H457" s="158"/>
      <c r="I457" s="158"/>
      <c r="J457" s="158"/>
      <c r="K457" s="484"/>
      <c r="L457" s="483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</row>
    <row r="458" spans="1:28" ht="15.75" customHeight="1">
      <c r="A458" s="158"/>
      <c r="B458" s="158"/>
      <c r="C458" s="158"/>
      <c r="D458" s="158"/>
      <c r="E458" s="158"/>
      <c r="F458" s="483"/>
      <c r="G458" s="158"/>
      <c r="H458" s="158"/>
      <c r="I458" s="158"/>
      <c r="J458" s="158"/>
      <c r="K458" s="484"/>
      <c r="L458" s="483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</row>
    <row r="459" spans="1:28" ht="15.75" customHeight="1">
      <c r="A459" s="158"/>
      <c r="B459" s="158"/>
      <c r="C459" s="158"/>
      <c r="D459" s="158"/>
      <c r="E459" s="158"/>
      <c r="F459" s="483"/>
      <c r="G459" s="158"/>
      <c r="H459" s="158"/>
      <c r="I459" s="158"/>
      <c r="J459" s="158"/>
      <c r="K459" s="484"/>
      <c r="L459" s="483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</row>
    <row r="460" spans="1:28" ht="15.75" customHeight="1">
      <c r="A460" s="158"/>
      <c r="B460" s="158"/>
      <c r="C460" s="158"/>
      <c r="D460" s="158"/>
      <c r="E460" s="158"/>
      <c r="F460" s="483"/>
      <c r="G460" s="158"/>
      <c r="H460" s="158"/>
      <c r="I460" s="158"/>
      <c r="J460" s="158"/>
      <c r="K460" s="484"/>
      <c r="L460" s="483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</row>
    <row r="461" spans="1:28" ht="15.75" customHeight="1">
      <c r="A461" s="158"/>
      <c r="B461" s="158"/>
      <c r="C461" s="158"/>
      <c r="D461" s="158"/>
      <c r="E461" s="158"/>
      <c r="F461" s="483"/>
      <c r="G461" s="158"/>
      <c r="H461" s="158"/>
      <c r="I461" s="158"/>
      <c r="J461" s="158"/>
      <c r="K461" s="484"/>
      <c r="L461" s="483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</row>
    <row r="462" spans="1:28" ht="15.75" customHeight="1">
      <c r="A462" s="158"/>
      <c r="B462" s="158"/>
      <c r="C462" s="158"/>
      <c r="D462" s="158"/>
      <c r="E462" s="158"/>
      <c r="F462" s="483"/>
      <c r="G462" s="158"/>
      <c r="H462" s="158"/>
      <c r="I462" s="158"/>
      <c r="J462" s="158"/>
      <c r="K462" s="484"/>
      <c r="L462" s="483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</row>
    <row r="463" spans="1:28" ht="15.75" customHeight="1">
      <c r="A463" s="158"/>
      <c r="B463" s="158"/>
      <c r="C463" s="158"/>
      <c r="D463" s="158"/>
      <c r="E463" s="158"/>
      <c r="F463" s="483"/>
      <c r="G463" s="158"/>
      <c r="H463" s="158"/>
      <c r="I463" s="158"/>
      <c r="J463" s="158"/>
      <c r="K463" s="484"/>
      <c r="L463" s="483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</row>
    <row r="464" spans="1:28" ht="15.75" customHeight="1">
      <c r="A464" s="158"/>
      <c r="B464" s="158"/>
      <c r="C464" s="158"/>
      <c r="D464" s="158"/>
      <c r="E464" s="158"/>
      <c r="F464" s="483"/>
      <c r="G464" s="158"/>
      <c r="H464" s="158"/>
      <c r="I464" s="158"/>
      <c r="J464" s="158"/>
      <c r="K464" s="484"/>
      <c r="L464" s="483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</row>
    <row r="465" spans="1:28" ht="15.75" customHeight="1">
      <c r="A465" s="158"/>
      <c r="B465" s="158"/>
      <c r="C465" s="158"/>
      <c r="D465" s="158"/>
      <c r="E465" s="158"/>
      <c r="F465" s="483"/>
      <c r="G465" s="158"/>
      <c r="H465" s="158"/>
      <c r="I465" s="158"/>
      <c r="J465" s="158"/>
      <c r="K465" s="484"/>
      <c r="L465" s="483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</row>
    <row r="466" spans="1:28" ht="15.75" customHeight="1">
      <c r="A466" s="158"/>
      <c r="B466" s="158"/>
      <c r="C466" s="158"/>
      <c r="D466" s="158"/>
      <c r="E466" s="158"/>
      <c r="F466" s="483"/>
      <c r="G466" s="158"/>
      <c r="H466" s="158"/>
      <c r="I466" s="158"/>
      <c r="J466" s="158"/>
      <c r="K466" s="484"/>
      <c r="L466" s="483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</row>
    <row r="467" spans="1:28" ht="15.75" customHeight="1">
      <c r="A467" s="158"/>
      <c r="B467" s="158"/>
      <c r="C467" s="158"/>
      <c r="D467" s="158"/>
      <c r="E467" s="158"/>
      <c r="F467" s="483"/>
      <c r="G467" s="158"/>
      <c r="H467" s="158"/>
      <c r="I467" s="158"/>
      <c r="J467" s="158"/>
      <c r="K467" s="484"/>
      <c r="L467" s="483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</row>
    <row r="468" spans="1:28" ht="15.75" customHeight="1">
      <c r="A468" s="158"/>
      <c r="B468" s="158"/>
      <c r="C468" s="158"/>
      <c r="D468" s="158"/>
      <c r="E468" s="158"/>
      <c r="F468" s="483"/>
      <c r="G468" s="158"/>
      <c r="H468" s="158"/>
      <c r="I468" s="158"/>
      <c r="J468" s="158"/>
      <c r="K468" s="484"/>
      <c r="L468" s="483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</row>
    <row r="469" spans="1:28" ht="15.75" customHeight="1">
      <c r="A469" s="158"/>
      <c r="B469" s="158"/>
      <c r="C469" s="158"/>
      <c r="D469" s="158"/>
      <c r="E469" s="158"/>
      <c r="F469" s="483"/>
      <c r="G469" s="158"/>
      <c r="H469" s="158"/>
      <c r="I469" s="158"/>
      <c r="J469" s="158"/>
      <c r="K469" s="484"/>
      <c r="L469" s="483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</row>
    <row r="470" spans="1:28" ht="15.75" customHeight="1">
      <c r="A470" s="158"/>
      <c r="B470" s="158"/>
      <c r="C470" s="158"/>
      <c r="D470" s="158"/>
      <c r="E470" s="158"/>
      <c r="F470" s="483"/>
      <c r="G470" s="158"/>
      <c r="H470" s="158"/>
      <c r="I470" s="158"/>
      <c r="J470" s="158"/>
      <c r="K470" s="484"/>
      <c r="L470" s="483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</row>
    <row r="471" spans="1:28" ht="15.75" customHeight="1">
      <c r="A471" s="158"/>
      <c r="B471" s="158"/>
      <c r="C471" s="158"/>
      <c r="D471" s="158"/>
      <c r="E471" s="158"/>
      <c r="F471" s="483"/>
      <c r="G471" s="158"/>
      <c r="H471" s="158"/>
      <c r="I471" s="158"/>
      <c r="J471" s="158"/>
      <c r="K471" s="484"/>
      <c r="L471" s="483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</row>
    <row r="472" spans="1:28" ht="15.75" customHeight="1">
      <c r="A472" s="158"/>
      <c r="B472" s="158"/>
      <c r="C472" s="158"/>
      <c r="D472" s="158"/>
      <c r="E472" s="158"/>
      <c r="F472" s="483"/>
      <c r="G472" s="158"/>
      <c r="H472" s="158"/>
      <c r="I472" s="158"/>
      <c r="J472" s="158"/>
      <c r="K472" s="484"/>
      <c r="L472" s="483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</row>
    <row r="473" spans="1:28" ht="15.75" customHeight="1">
      <c r="A473" s="158"/>
      <c r="B473" s="158"/>
      <c r="C473" s="158"/>
      <c r="D473" s="158"/>
      <c r="E473" s="158"/>
      <c r="F473" s="483"/>
      <c r="G473" s="158"/>
      <c r="H473" s="158"/>
      <c r="I473" s="158"/>
      <c r="J473" s="158"/>
      <c r="K473" s="484"/>
      <c r="L473" s="483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</row>
    <row r="474" spans="1:28" ht="15.75" customHeight="1">
      <c r="A474" s="158"/>
      <c r="B474" s="158"/>
      <c r="C474" s="158"/>
      <c r="D474" s="158"/>
      <c r="E474" s="158"/>
      <c r="F474" s="483"/>
      <c r="G474" s="158"/>
      <c r="H474" s="158"/>
      <c r="I474" s="158"/>
      <c r="J474" s="158"/>
      <c r="K474" s="484"/>
      <c r="L474" s="483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</row>
    <row r="475" spans="1:28" ht="15.75" customHeight="1">
      <c r="A475" s="158"/>
      <c r="B475" s="158"/>
      <c r="C475" s="158"/>
      <c r="D475" s="158"/>
      <c r="E475" s="158"/>
      <c r="F475" s="483"/>
      <c r="G475" s="158"/>
      <c r="H475" s="158"/>
      <c r="I475" s="158"/>
      <c r="J475" s="158"/>
      <c r="K475" s="484"/>
      <c r="L475" s="483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</row>
    <row r="476" spans="1:28" ht="15.75" customHeight="1">
      <c r="A476" s="158"/>
      <c r="B476" s="158"/>
      <c r="C476" s="158"/>
      <c r="D476" s="158"/>
      <c r="E476" s="158"/>
      <c r="F476" s="483"/>
      <c r="G476" s="158"/>
      <c r="H476" s="158"/>
      <c r="I476" s="158"/>
      <c r="J476" s="158"/>
      <c r="K476" s="484"/>
      <c r="L476" s="483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</row>
    <row r="477" spans="1:28" ht="15.75" customHeight="1">
      <c r="A477" s="158"/>
      <c r="B477" s="158"/>
      <c r="C477" s="158"/>
      <c r="D477" s="158"/>
      <c r="E477" s="158"/>
      <c r="F477" s="483"/>
      <c r="G477" s="158"/>
      <c r="H477" s="158"/>
      <c r="I477" s="158"/>
      <c r="J477" s="158"/>
      <c r="K477" s="484"/>
      <c r="L477" s="483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</row>
    <row r="478" spans="1:28" ht="15.75" customHeight="1">
      <c r="A478" s="158"/>
      <c r="B478" s="158"/>
      <c r="C478" s="158"/>
      <c r="D478" s="158"/>
      <c r="E478" s="158"/>
      <c r="F478" s="483"/>
      <c r="G478" s="158"/>
      <c r="H478" s="158"/>
      <c r="I478" s="158"/>
      <c r="J478" s="158"/>
      <c r="K478" s="484"/>
      <c r="L478" s="483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</row>
    <row r="479" spans="1:28" ht="15.75" customHeight="1">
      <c r="A479" s="158"/>
      <c r="B479" s="158"/>
      <c r="C479" s="158"/>
      <c r="D479" s="158"/>
      <c r="E479" s="158"/>
      <c r="F479" s="483"/>
      <c r="G479" s="158"/>
      <c r="H479" s="158"/>
      <c r="I479" s="158"/>
      <c r="J479" s="158"/>
      <c r="K479" s="484"/>
      <c r="L479" s="483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</row>
    <row r="480" spans="1:28" ht="15.75" customHeight="1">
      <c r="A480" s="158"/>
      <c r="B480" s="158"/>
      <c r="C480" s="158"/>
      <c r="D480" s="158"/>
      <c r="E480" s="158"/>
      <c r="F480" s="483"/>
      <c r="G480" s="158"/>
      <c r="H480" s="158"/>
      <c r="I480" s="158"/>
      <c r="J480" s="158"/>
      <c r="K480" s="484"/>
      <c r="L480" s="483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</row>
    <row r="481" spans="1:28" ht="15.75" customHeight="1">
      <c r="A481" s="158"/>
      <c r="B481" s="158"/>
      <c r="C481" s="158"/>
      <c r="D481" s="158"/>
      <c r="E481" s="158"/>
      <c r="F481" s="483"/>
      <c r="G481" s="158"/>
      <c r="H481" s="158"/>
      <c r="I481" s="158"/>
      <c r="J481" s="158"/>
      <c r="K481" s="484"/>
      <c r="L481" s="483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</row>
    <row r="482" spans="1:28" ht="15.75" customHeight="1">
      <c r="A482" s="158"/>
      <c r="B482" s="158"/>
      <c r="C482" s="158"/>
      <c r="D482" s="158"/>
      <c r="E482" s="158"/>
      <c r="F482" s="483"/>
      <c r="G482" s="158"/>
      <c r="H482" s="158"/>
      <c r="I482" s="158"/>
      <c r="J482" s="158"/>
      <c r="K482" s="484"/>
      <c r="L482" s="483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</row>
    <row r="483" spans="1:28" ht="15.75" customHeight="1">
      <c r="A483" s="158"/>
      <c r="B483" s="158"/>
      <c r="C483" s="158"/>
      <c r="D483" s="158"/>
      <c r="E483" s="158"/>
      <c r="F483" s="483"/>
      <c r="G483" s="158"/>
      <c r="H483" s="158"/>
      <c r="I483" s="158"/>
      <c r="J483" s="158"/>
      <c r="K483" s="484"/>
      <c r="L483" s="483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</row>
    <row r="484" spans="1:28" ht="15.75" customHeight="1">
      <c r="A484" s="158"/>
      <c r="B484" s="158"/>
      <c r="C484" s="158"/>
      <c r="D484" s="158"/>
      <c r="E484" s="158"/>
      <c r="F484" s="483"/>
      <c r="G484" s="158"/>
      <c r="H484" s="158"/>
      <c r="I484" s="158"/>
      <c r="J484" s="158"/>
      <c r="K484" s="484"/>
      <c r="L484" s="483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</row>
    <row r="485" spans="1:28" ht="15.75" customHeight="1">
      <c r="A485" s="158"/>
      <c r="B485" s="158"/>
      <c r="C485" s="158"/>
      <c r="D485" s="158"/>
      <c r="E485" s="158"/>
      <c r="F485" s="483"/>
      <c r="G485" s="158"/>
      <c r="H485" s="158"/>
      <c r="I485" s="158"/>
      <c r="J485" s="158"/>
      <c r="K485" s="484"/>
      <c r="L485" s="483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</row>
    <row r="486" spans="1:28" ht="15.75" customHeight="1">
      <c r="A486" s="158"/>
      <c r="B486" s="158"/>
      <c r="C486" s="158"/>
      <c r="D486" s="158"/>
      <c r="E486" s="158"/>
      <c r="F486" s="483"/>
      <c r="G486" s="158"/>
      <c r="H486" s="158"/>
      <c r="I486" s="158"/>
      <c r="J486" s="158"/>
      <c r="K486" s="484"/>
      <c r="L486" s="483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</row>
    <row r="487" spans="1:28" ht="15.75" customHeight="1">
      <c r="A487" s="158"/>
      <c r="B487" s="158"/>
      <c r="C487" s="158"/>
      <c r="D487" s="158"/>
      <c r="E487" s="158"/>
      <c r="F487" s="483"/>
      <c r="G487" s="158"/>
      <c r="H487" s="158"/>
      <c r="I487" s="158"/>
      <c r="J487" s="158"/>
      <c r="K487" s="484"/>
      <c r="L487" s="483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</row>
    <row r="488" spans="1:28" ht="15.75" customHeight="1">
      <c r="A488" s="158"/>
      <c r="B488" s="158"/>
      <c r="C488" s="158"/>
      <c r="D488" s="158"/>
      <c r="E488" s="158"/>
      <c r="F488" s="483"/>
      <c r="G488" s="158"/>
      <c r="H488" s="158"/>
      <c r="I488" s="158"/>
      <c r="J488" s="158"/>
      <c r="K488" s="484"/>
      <c r="L488" s="483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</row>
    <row r="489" spans="1:28" ht="15.75" customHeight="1">
      <c r="A489" s="158"/>
      <c r="B489" s="158"/>
      <c r="C489" s="158"/>
      <c r="D489" s="158"/>
      <c r="E489" s="158"/>
      <c r="F489" s="483"/>
      <c r="G489" s="158"/>
      <c r="H489" s="158"/>
      <c r="I489" s="158"/>
      <c r="J489" s="158"/>
      <c r="K489" s="484"/>
      <c r="L489" s="483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</row>
    <row r="490" spans="1:28" ht="15.75" customHeight="1">
      <c r="A490" s="158"/>
      <c r="B490" s="158"/>
      <c r="C490" s="158"/>
      <c r="D490" s="158"/>
      <c r="E490" s="158"/>
      <c r="F490" s="483"/>
      <c r="G490" s="158"/>
      <c r="H490" s="158"/>
      <c r="I490" s="158"/>
      <c r="J490" s="158"/>
      <c r="K490" s="484"/>
      <c r="L490" s="483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</row>
    <row r="491" spans="1:28" ht="15.75" customHeight="1">
      <c r="A491" s="158"/>
      <c r="B491" s="158"/>
      <c r="C491" s="158"/>
      <c r="D491" s="158"/>
      <c r="E491" s="158"/>
      <c r="F491" s="483"/>
      <c r="G491" s="158"/>
      <c r="H491" s="158"/>
      <c r="I491" s="158"/>
      <c r="J491" s="158"/>
      <c r="K491" s="484"/>
      <c r="L491" s="483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</row>
    <row r="492" spans="1:28" ht="15.75" customHeight="1">
      <c r="A492" s="158"/>
      <c r="B492" s="158"/>
      <c r="C492" s="158"/>
      <c r="D492" s="158"/>
      <c r="E492" s="158"/>
      <c r="F492" s="483"/>
      <c r="G492" s="158"/>
      <c r="H492" s="158"/>
      <c r="I492" s="158"/>
      <c r="J492" s="158"/>
      <c r="K492" s="484"/>
      <c r="L492" s="483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</row>
    <row r="493" spans="1:28" ht="15.75" customHeight="1">
      <c r="A493" s="158"/>
      <c r="B493" s="158"/>
      <c r="C493" s="158"/>
      <c r="D493" s="158"/>
      <c r="E493" s="158"/>
      <c r="F493" s="483"/>
      <c r="G493" s="158"/>
      <c r="H493" s="158"/>
      <c r="I493" s="158"/>
      <c r="J493" s="158"/>
      <c r="K493" s="484"/>
      <c r="L493" s="483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</row>
    <row r="494" spans="1:28" ht="15.75" customHeight="1">
      <c r="A494" s="158"/>
      <c r="B494" s="158"/>
      <c r="C494" s="158"/>
      <c r="D494" s="158"/>
      <c r="E494" s="158"/>
      <c r="F494" s="483"/>
      <c r="G494" s="158"/>
      <c r="H494" s="158"/>
      <c r="I494" s="158"/>
      <c r="J494" s="158"/>
      <c r="K494" s="484"/>
      <c r="L494" s="483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</row>
    <row r="495" spans="1:28" ht="15.75" customHeight="1">
      <c r="A495" s="158"/>
      <c r="B495" s="158"/>
      <c r="C495" s="158"/>
      <c r="D495" s="158"/>
      <c r="E495" s="158"/>
      <c r="F495" s="483"/>
      <c r="G495" s="158"/>
      <c r="H495" s="158"/>
      <c r="I495" s="158"/>
      <c r="J495" s="158"/>
      <c r="K495" s="484"/>
      <c r="L495" s="483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</row>
    <row r="496" spans="1:28" ht="15.75" customHeight="1">
      <c r="A496" s="158"/>
      <c r="B496" s="158"/>
      <c r="C496" s="158"/>
      <c r="D496" s="158"/>
      <c r="E496" s="158"/>
      <c r="F496" s="483"/>
      <c r="G496" s="158"/>
      <c r="H496" s="158"/>
      <c r="I496" s="158"/>
      <c r="J496" s="158"/>
      <c r="K496" s="484"/>
      <c r="L496" s="483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</row>
    <row r="497" spans="1:28" ht="15.75" customHeight="1">
      <c r="A497" s="158"/>
      <c r="B497" s="158"/>
      <c r="C497" s="158"/>
      <c r="D497" s="158"/>
      <c r="E497" s="158"/>
      <c r="F497" s="483"/>
      <c r="G497" s="158"/>
      <c r="H497" s="158"/>
      <c r="I497" s="158"/>
      <c r="J497" s="158"/>
      <c r="K497" s="484"/>
      <c r="L497" s="483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</row>
    <row r="498" spans="1:28" ht="15.75" customHeight="1">
      <c r="A498" s="158"/>
      <c r="B498" s="158"/>
      <c r="C498" s="158"/>
      <c r="D498" s="158"/>
      <c r="E498" s="158"/>
      <c r="F498" s="483"/>
      <c r="G498" s="158"/>
      <c r="H498" s="158"/>
      <c r="I498" s="158"/>
      <c r="J498" s="158"/>
      <c r="K498" s="484"/>
      <c r="L498" s="483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</row>
    <row r="499" spans="1:28" ht="15.75" customHeight="1">
      <c r="A499" s="158"/>
      <c r="B499" s="158"/>
      <c r="C499" s="158"/>
      <c r="D499" s="158"/>
      <c r="E499" s="158"/>
      <c r="F499" s="483"/>
      <c r="G499" s="158"/>
      <c r="H499" s="158"/>
      <c r="I499" s="158"/>
      <c r="J499" s="158"/>
      <c r="K499" s="484"/>
      <c r="L499" s="483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</row>
    <row r="500" spans="1:28" ht="15.75" customHeight="1">
      <c r="A500" s="158"/>
      <c r="B500" s="158"/>
      <c r="C500" s="158"/>
      <c r="D500" s="158"/>
      <c r="E500" s="158"/>
      <c r="F500" s="483"/>
      <c r="G500" s="158"/>
      <c r="H500" s="158"/>
      <c r="I500" s="158"/>
      <c r="J500" s="158"/>
      <c r="K500" s="484"/>
      <c r="L500" s="483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</row>
    <row r="501" spans="1:28" ht="15.75" customHeight="1">
      <c r="A501" s="158"/>
      <c r="B501" s="158"/>
      <c r="C501" s="158"/>
      <c r="D501" s="158"/>
      <c r="E501" s="158"/>
      <c r="F501" s="483"/>
      <c r="G501" s="158"/>
      <c r="H501" s="158"/>
      <c r="I501" s="158"/>
      <c r="J501" s="158"/>
      <c r="K501" s="484"/>
      <c r="L501" s="483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</row>
    <row r="502" spans="1:28" ht="15.75" customHeight="1">
      <c r="A502" s="158"/>
      <c r="B502" s="158"/>
      <c r="C502" s="158"/>
      <c r="D502" s="158"/>
      <c r="E502" s="158"/>
      <c r="F502" s="483"/>
      <c r="G502" s="158"/>
      <c r="H502" s="158"/>
      <c r="I502" s="158"/>
      <c r="J502" s="158"/>
      <c r="K502" s="484"/>
      <c r="L502" s="483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</row>
    <row r="503" spans="1:28" ht="15.75" customHeight="1">
      <c r="A503" s="158"/>
      <c r="B503" s="158"/>
      <c r="C503" s="158"/>
      <c r="D503" s="158"/>
      <c r="E503" s="158"/>
      <c r="F503" s="483"/>
      <c r="G503" s="158"/>
      <c r="H503" s="158"/>
      <c r="I503" s="158"/>
      <c r="J503" s="158"/>
      <c r="K503" s="484"/>
      <c r="L503" s="483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</row>
    <row r="504" spans="1:28" ht="15.75" customHeight="1">
      <c r="A504" s="158"/>
      <c r="B504" s="158"/>
      <c r="C504" s="158"/>
      <c r="D504" s="158"/>
      <c r="E504" s="158"/>
      <c r="F504" s="483"/>
      <c r="G504" s="158"/>
      <c r="H504" s="158"/>
      <c r="I504" s="158"/>
      <c r="J504" s="158"/>
      <c r="K504" s="484"/>
      <c r="L504" s="483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</row>
    <row r="505" spans="1:28" ht="15.75" customHeight="1">
      <c r="A505" s="158"/>
      <c r="B505" s="158"/>
      <c r="C505" s="158"/>
      <c r="D505" s="158"/>
      <c r="E505" s="158"/>
      <c r="F505" s="483"/>
      <c r="G505" s="158"/>
      <c r="H505" s="158"/>
      <c r="I505" s="158"/>
      <c r="J505" s="158"/>
      <c r="K505" s="484"/>
      <c r="L505" s="483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</row>
    <row r="506" spans="1:28" ht="15.75" customHeight="1">
      <c r="A506" s="158"/>
      <c r="B506" s="158"/>
      <c r="C506" s="158"/>
      <c r="D506" s="158"/>
      <c r="E506" s="158"/>
      <c r="F506" s="483"/>
      <c r="G506" s="158"/>
      <c r="H506" s="158"/>
      <c r="I506" s="158"/>
      <c r="J506" s="158"/>
      <c r="K506" s="484"/>
      <c r="L506" s="483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</row>
    <row r="507" spans="1:28" ht="15.75" customHeight="1">
      <c r="A507" s="158"/>
      <c r="B507" s="158"/>
      <c r="C507" s="158"/>
      <c r="D507" s="158"/>
      <c r="E507" s="158"/>
      <c r="F507" s="483"/>
      <c r="G507" s="158"/>
      <c r="H507" s="158"/>
      <c r="I507" s="158"/>
      <c r="J507" s="158"/>
      <c r="K507" s="484"/>
      <c r="L507" s="483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</row>
    <row r="508" spans="1:28" ht="15.75" customHeight="1">
      <c r="A508" s="158"/>
      <c r="B508" s="158"/>
      <c r="C508" s="158"/>
      <c r="D508" s="158"/>
      <c r="E508" s="158"/>
      <c r="F508" s="483"/>
      <c r="G508" s="158"/>
      <c r="H508" s="158"/>
      <c r="I508" s="158"/>
      <c r="J508" s="158"/>
      <c r="K508" s="484"/>
      <c r="L508" s="483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</row>
    <row r="509" spans="1:28" ht="15.75" customHeight="1">
      <c r="A509" s="158"/>
      <c r="B509" s="158"/>
      <c r="C509" s="158"/>
      <c r="D509" s="158"/>
      <c r="E509" s="158"/>
      <c r="F509" s="483"/>
      <c r="G509" s="158"/>
      <c r="H509" s="158"/>
      <c r="I509" s="158"/>
      <c r="J509" s="158"/>
      <c r="K509" s="484"/>
      <c r="L509" s="483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</row>
    <row r="510" spans="1:28" ht="15.75" customHeight="1">
      <c r="A510" s="158"/>
      <c r="B510" s="158"/>
      <c r="C510" s="158"/>
      <c r="D510" s="158"/>
      <c r="E510" s="158"/>
      <c r="F510" s="483"/>
      <c r="G510" s="158"/>
      <c r="H510" s="158"/>
      <c r="I510" s="158"/>
      <c r="J510" s="158"/>
      <c r="K510" s="484"/>
      <c r="L510" s="483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</row>
    <row r="511" spans="1:28" ht="15.75" customHeight="1">
      <c r="A511" s="158"/>
      <c r="B511" s="158"/>
      <c r="C511" s="158"/>
      <c r="D511" s="158"/>
      <c r="E511" s="158"/>
      <c r="F511" s="483"/>
      <c r="G511" s="158"/>
      <c r="H511" s="158"/>
      <c r="I511" s="158"/>
      <c r="J511" s="158"/>
      <c r="K511" s="484"/>
      <c r="L511" s="483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</row>
    <row r="512" spans="1:28" ht="15.75" customHeight="1">
      <c r="A512" s="158"/>
      <c r="B512" s="158"/>
      <c r="C512" s="158"/>
      <c r="D512" s="158"/>
      <c r="E512" s="158"/>
      <c r="F512" s="483"/>
      <c r="G512" s="158"/>
      <c r="H512" s="158"/>
      <c r="I512" s="158"/>
      <c r="J512" s="158"/>
      <c r="K512" s="484"/>
      <c r="L512" s="483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</row>
    <row r="513" spans="1:28" ht="15.75" customHeight="1">
      <c r="A513" s="158"/>
      <c r="B513" s="158"/>
      <c r="C513" s="158"/>
      <c r="D513" s="158"/>
      <c r="E513" s="158"/>
      <c r="F513" s="483"/>
      <c r="G513" s="158"/>
      <c r="H513" s="158"/>
      <c r="I513" s="158"/>
      <c r="J513" s="158"/>
      <c r="K513" s="484"/>
      <c r="L513" s="483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</row>
    <row r="514" spans="1:28" ht="15.75" customHeight="1">
      <c r="A514" s="158"/>
      <c r="B514" s="158"/>
      <c r="C514" s="158"/>
      <c r="D514" s="158"/>
      <c r="E514" s="158"/>
      <c r="F514" s="483"/>
      <c r="G514" s="158"/>
      <c r="H514" s="158"/>
      <c r="I514" s="158"/>
      <c r="J514" s="158"/>
      <c r="K514" s="484"/>
      <c r="L514" s="483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</row>
    <row r="515" spans="1:28" ht="15.75" customHeight="1">
      <c r="A515" s="158"/>
      <c r="B515" s="158"/>
      <c r="C515" s="158"/>
      <c r="D515" s="158"/>
      <c r="E515" s="158"/>
      <c r="F515" s="483"/>
      <c r="G515" s="158"/>
      <c r="H515" s="158"/>
      <c r="I515" s="158"/>
      <c r="J515" s="158"/>
      <c r="K515" s="484"/>
      <c r="L515" s="483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</row>
    <row r="516" spans="1:28" ht="15.75" customHeight="1">
      <c r="A516" s="158"/>
      <c r="B516" s="158"/>
      <c r="C516" s="158"/>
      <c r="D516" s="158"/>
      <c r="E516" s="158"/>
      <c r="F516" s="483"/>
      <c r="G516" s="158"/>
      <c r="H516" s="158"/>
      <c r="I516" s="158"/>
      <c r="J516" s="158"/>
      <c r="K516" s="484"/>
      <c r="L516" s="483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</row>
    <row r="517" spans="1:28" ht="15.75" customHeight="1">
      <c r="A517" s="158"/>
      <c r="B517" s="158"/>
      <c r="C517" s="158"/>
      <c r="D517" s="158"/>
      <c r="E517" s="158"/>
      <c r="F517" s="483"/>
      <c r="G517" s="158"/>
      <c r="H517" s="158"/>
      <c r="I517" s="158"/>
      <c r="J517" s="158"/>
      <c r="K517" s="484"/>
      <c r="L517" s="483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</row>
    <row r="518" spans="1:28" ht="15.75" customHeight="1">
      <c r="A518" s="158"/>
      <c r="B518" s="158"/>
      <c r="C518" s="158"/>
      <c r="D518" s="158"/>
      <c r="E518" s="158"/>
      <c r="F518" s="483"/>
      <c r="G518" s="158"/>
      <c r="H518" s="158"/>
      <c r="I518" s="158"/>
      <c r="J518" s="158"/>
      <c r="K518" s="484"/>
      <c r="L518" s="483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</row>
    <row r="519" spans="1:28" ht="15.75" customHeight="1">
      <c r="A519" s="158"/>
      <c r="B519" s="158"/>
      <c r="C519" s="158"/>
      <c r="D519" s="158"/>
      <c r="E519" s="158"/>
      <c r="F519" s="483"/>
      <c r="G519" s="158"/>
      <c r="H519" s="158"/>
      <c r="I519" s="158"/>
      <c r="J519" s="158"/>
      <c r="K519" s="484"/>
      <c r="L519" s="483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</row>
    <row r="520" spans="1:28" ht="15.75" customHeight="1">
      <c r="A520" s="158"/>
      <c r="B520" s="158"/>
      <c r="C520" s="158"/>
      <c r="D520" s="158"/>
      <c r="E520" s="158"/>
      <c r="F520" s="483"/>
      <c r="G520" s="158"/>
      <c r="H520" s="158"/>
      <c r="I520" s="158"/>
      <c r="J520" s="158"/>
      <c r="K520" s="484"/>
      <c r="L520" s="483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</row>
    <row r="521" spans="1:28" ht="15.75" customHeight="1">
      <c r="A521" s="158"/>
      <c r="B521" s="158"/>
      <c r="C521" s="158"/>
      <c r="D521" s="158"/>
      <c r="E521" s="158"/>
      <c r="F521" s="483"/>
      <c r="G521" s="158"/>
      <c r="H521" s="158"/>
      <c r="I521" s="158"/>
      <c r="J521" s="158"/>
      <c r="K521" s="484"/>
      <c r="L521" s="483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</row>
    <row r="522" spans="1:28" ht="15.75" customHeight="1">
      <c r="A522" s="158"/>
      <c r="B522" s="158"/>
      <c r="C522" s="158"/>
      <c r="D522" s="158"/>
      <c r="E522" s="158"/>
      <c r="F522" s="483"/>
      <c r="G522" s="158"/>
      <c r="H522" s="158"/>
      <c r="I522" s="158"/>
      <c r="J522" s="158"/>
      <c r="K522" s="484"/>
      <c r="L522" s="483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</row>
    <row r="523" spans="1:28" ht="15.75" customHeight="1">
      <c r="A523" s="158"/>
      <c r="B523" s="158"/>
      <c r="C523" s="158"/>
      <c r="D523" s="158"/>
      <c r="E523" s="158"/>
      <c r="F523" s="483"/>
      <c r="G523" s="158"/>
      <c r="H523" s="158"/>
      <c r="I523" s="158"/>
      <c r="J523" s="158"/>
      <c r="K523" s="484"/>
      <c r="L523" s="483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</row>
    <row r="524" spans="1:28" ht="15.75" customHeight="1">
      <c r="A524" s="158"/>
      <c r="B524" s="158"/>
      <c r="C524" s="158"/>
      <c r="D524" s="158"/>
      <c r="E524" s="158"/>
      <c r="F524" s="483"/>
      <c r="G524" s="158"/>
      <c r="H524" s="158"/>
      <c r="I524" s="158"/>
      <c r="J524" s="158"/>
      <c r="K524" s="484"/>
      <c r="L524" s="483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</row>
    <row r="525" spans="1:28" ht="15.75" customHeight="1">
      <c r="A525" s="158"/>
      <c r="B525" s="158"/>
      <c r="C525" s="158"/>
      <c r="D525" s="158"/>
      <c r="E525" s="158"/>
      <c r="F525" s="483"/>
      <c r="G525" s="158"/>
      <c r="H525" s="158"/>
      <c r="I525" s="158"/>
      <c r="J525" s="158"/>
      <c r="K525" s="484"/>
      <c r="L525" s="483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</row>
    <row r="526" spans="1:28" ht="15.75" customHeight="1">
      <c r="A526" s="158"/>
      <c r="B526" s="158"/>
      <c r="C526" s="158"/>
      <c r="D526" s="158"/>
      <c r="E526" s="158"/>
      <c r="F526" s="483"/>
      <c r="G526" s="158"/>
      <c r="H526" s="158"/>
      <c r="I526" s="158"/>
      <c r="J526" s="158"/>
      <c r="K526" s="484"/>
      <c r="L526" s="483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</row>
    <row r="527" spans="1:28" ht="15.75" customHeight="1">
      <c r="A527" s="158"/>
      <c r="B527" s="158"/>
      <c r="C527" s="158"/>
      <c r="D527" s="158"/>
      <c r="E527" s="158"/>
      <c r="F527" s="483"/>
      <c r="G527" s="158"/>
      <c r="H527" s="158"/>
      <c r="I527" s="158"/>
      <c r="J527" s="158"/>
      <c r="K527" s="484"/>
      <c r="L527" s="483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</row>
    <row r="528" spans="1:28" ht="15.75" customHeight="1">
      <c r="A528" s="158"/>
      <c r="B528" s="158"/>
      <c r="C528" s="158"/>
      <c r="D528" s="158"/>
      <c r="E528" s="158"/>
      <c r="F528" s="483"/>
      <c r="G528" s="158"/>
      <c r="H528" s="158"/>
      <c r="I528" s="158"/>
      <c r="J528" s="158"/>
      <c r="K528" s="484"/>
      <c r="L528" s="483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</row>
    <row r="529" spans="1:28" ht="15.75" customHeight="1">
      <c r="A529" s="158"/>
      <c r="B529" s="158"/>
      <c r="C529" s="158"/>
      <c r="D529" s="158"/>
      <c r="E529" s="158"/>
      <c r="F529" s="483"/>
      <c r="G529" s="158"/>
      <c r="H529" s="158"/>
      <c r="I529" s="158"/>
      <c r="J529" s="158"/>
      <c r="K529" s="484"/>
      <c r="L529" s="483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</row>
    <row r="530" spans="1:28" ht="15.75" customHeight="1">
      <c r="A530" s="158"/>
      <c r="B530" s="158"/>
      <c r="C530" s="158"/>
      <c r="D530" s="158"/>
      <c r="E530" s="158"/>
      <c r="F530" s="483"/>
      <c r="G530" s="158"/>
      <c r="H530" s="158"/>
      <c r="I530" s="158"/>
      <c r="J530" s="158"/>
      <c r="K530" s="484"/>
      <c r="L530" s="483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</row>
    <row r="531" spans="1:28" ht="15.75" customHeight="1">
      <c r="A531" s="158"/>
      <c r="B531" s="158"/>
      <c r="C531" s="158"/>
      <c r="D531" s="158"/>
      <c r="E531" s="158"/>
      <c r="F531" s="483"/>
      <c r="G531" s="158"/>
      <c r="H531" s="158"/>
      <c r="I531" s="158"/>
      <c r="J531" s="158"/>
      <c r="K531" s="484"/>
      <c r="L531" s="483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</row>
    <row r="532" spans="1:28" ht="15.75" customHeight="1">
      <c r="A532" s="158"/>
      <c r="B532" s="158"/>
      <c r="C532" s="158"/>
      <c r="D532" s="158"/>
      <c r="E532" s="158"/>
      <c r="F532" s="483"/>
      <c r="G532" s="158"/>
      <c r="H532" s="158"/>
      <c r="I532" s="158"/>
      <c r="J532" s="158"/>
      <c r="K532" s="484"/>
      <c r="L532" s="483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</row>
    <row r="533" spans="1:28" ht="15.75" customHeight="1">
      <c r="A533" s="158"/>
      <c r="B533" s="158"/>
      <c r="C533" s="158"/>
      <c r="D533" s="158"/>
      <c r="E533" s="158"/>
      <c r="F533" s="483"/>
      <c r="G533" s="158"/>
      <c r="H533" s="158"/>
      <c r="I533" s="158"/>
      <c r="J533" s="158"/>
      <c r="K533" s="484"/>
      <c r="L533" s="483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</row>
    <row r="534" spans="1:28" ht="15.75" customHeight="1">
      <c r="A534" s="158"/>
      <c r="B534" s="158"/>
      <c r="C534" s="158"/>
      <c r="D534" s="158"/>
      <c r="E534" s="158"/>
      <c r="F534" s="483"/>
      <c r="G534" s="158"/>
      <c r="H534" s="158"/>
      <c r="I534" s="158"/>
      <c r="J534" s="158"/>
      <c r="K534" s="484"/>
      <c r="L534" s="483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</row>
    <row r="535" spans="1:28" ht="15.75" customHeight="1">
      <c r="A535" s="158"/>
      <c r="B535" s="158"/>
      <c r="C535" s="158"/>
      <c r="D535" s="158"/>
      <c r="E535" s="158"/>
      <c r="F535" s="483"/>
      <c r="G535" s="158"/>
      <c r="H535" s="158"/>
      <c r="I535" s="158"/>
      <c r="J535" s="158"/>
      <c r="K535" s="484"/>
      <c r="L535" s="483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</row>
    <row r="536" spans="1:28" ht="15.75" customHeight="1">
      <c r="A536" s="158"/>
      <c r="B536" s="158"/>
      <c r="C536" s="158"/>
      <c r="D536" s="158"/>
      <c r="E536" s="158"/>
      <c r="F536" s="483"/>
      <c r="G536" s="158"/>
      <c r="H536" s="158"/>
      <c r="I536" s="158"/>
      <c r="J536" s="158"/>
      <c r="K536" s="484"/>
      <c r="L536" s="483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</row>
    <row r="537" spans="1:28" ht="15.75" customHeight="1">
      <c r="A537" s="158"/>
      <c r="B537" s="158"/>
      <c r="C537" s="158"/>
      <c r="D537" s="158"/>
      <c r="E537" s="158"/>
      <c r="F537" s="483"/>
      <c r="G537" s="158"/>
      <c r="H537" s="158"/>
      <c r="I537" s="158"/>
      <c r="J537" s="158"/>
      <c r="K537" s="484"/>
      <c r="L537" s="483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</row>
    <row r="538" spans="1:28" ht="15.75" customHeight="1">
      <c r="A538" s="158"/>
      <c r="B538" s="158"/>
      <c r="C538" s="158"/>
      <c r="D538" s="158"/>
      <c r="E538" s="158"/>
      <c r="F538" s="483"/>
      <c r="G538" s="158"/>
      <c r="H538" s="158"/>
      <c r="I538" s="158"/>
      <c r="J538" s="158"/>
      <c r="K538" s="484"/>
      <c r="L538" s="483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</row>
    <row r="539" spans="1:28" ht="15.75" customHeight="1">
      <c r="A539" s="158"/>
      <c r="B539" s="158"/>
      <c r="C539" s="158"/>
      <c r="D539" s="158"/>
      <c r="E539" s="158"/>
      <c r="F539" s="483"/>
      <c r="G539" s="158"/>
      <c r="H539" s="158"/>
      <c r="I539" s="158"/>
      <c r="J539" s="158"/>
      <c r="K539" s="484"/>
      <c r="L539" s="483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</row>
    <row r="540" spans="1:28" ht="15.75" customHeight="1">
      <c r="A540" s="158"/>
      <c r="B540" s="158"/>
      <c r="C540" s="158"/>
      <c r="D540" s="158"/>
      <c r="E540" s="158"/>
      <c r="F540" s="483"/>
      <c r="G540" s="158"/>
      <c r="H540" s="158"/>
      <c r="I540" s="158"/>
      <c r="J540" s="158"/>
      <c r="K540" s="484"/>
      <c r="L540" s="483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</row>
    <row r="541" spans="1:28" ht="15.75" customHeight="1">
      <c r="A541" s="158"/>
      <c r="B541" s="158"/>
      <c r="C541" s="158"/>
      <c r="D541" s="158"/>
      <c r="E541" s="158"/>
      <c r="F541" s="483"/>
      <c r="G541" s="158"/>
      <c r="H541" s="158"/>
      <c r="I541" s="158"/>
      <c r="J541" s="158"/>
      <c r="K541" s="484"/>
      <c r="L541" s="483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</row>
    <row r="542" spans="1:28" ht="15.75" customHeight="1">
      <c r="A542" s="158"/>
      <c r="B542" s="158"/>
      <c r="C542" s="158"/>
      <c r="D542" s="158"/>
      <c r="E542" s="158"/>
      <c r="F542" s="483"/>
      <c r="G542" s="158"/>
      <c r="H542" s="158"/>
      <c r="I542" s="158"/>
      <c r="J542" s="158"/>
      <c r="K542" s="484"/>
      <c r="L542" s="483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</row>
    <row r="543" spans="1:28" ht="15.75" customHeight="1">
      <c r="A543" s="158"/>
      <c r="B543" s="158"/>
      <c r="C543" s="158"/>
      <c r="D543" s="158"/>
      <c r="E543" s="158"/>
      <c r="F543" s="483"/>
      <c r="G543" s="158"/>
      <c r="H543" s="158"/>
      <c r="I543" s="158"/>
      <c r="J543" s="158"/>
      <c r="K543" s="484"/>
      <c r="L543" s="483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</row>
    <row r="544" spans="1:28" ht="15.75" customHeight="1">
      <c r="A544" s="158"/>
      <c r="B544" s="158"/>
      <c r="C544" s="158"/>
      <c r="D544" s="158"/>
      <c r="E544" s="158"/>
      <c r="F544" s="483"/>
      <c r="G544" s="158"/>
      <c r="H544" s="158"/>
      <c r="I544" s="158"/>
      <c r="J544" s="158"/>
      <c r="K544" s="484"/>
      <c r="L544" s="483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</row>
    <row r="545" spans="1:28" ht="15.75" customHeight="1">
      <c r="A545" s="158"/>
      <c r="B545" s="158"/>
      <c r="C545" s="158"/>
      <c r="D545" s="158"/>
      <c r="E545" s="158"/>
      <c r="F545" s="483"/>
      <c r="G545" s="158"/>
      <c r="H545" s="158"/>
      <c r="I545" s="158"/>
      <c r="J545" s="158"/>
      <c r="K545" s="484"/>
      <c r="L545" s="483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</row>
    <row r="546" spans="1:28" ht="15.75" customHeight="1">
      <c r="A546" s="158"/>
      <c r="B546" s="158"/>
      <c r="C546" s="158"/>
      <c r="D546" s="158"/>
      <c r="E546" s="158"/>
      <c r="F546" s="483"/>
      <c r="G546" s="158"/>
      <c r="H546" s="158"/>
      <c r="I546" s="158"/>
      <c r="J546" s="158"/>
      <c r="K546" s="484"/>
      <c r="L546" s="483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</row>
    <row r="547" spans="1:28" ht="15.75" customHeight="1">
      <c r="A547" s="158"/>
      <c r="B547" s="158"/>
      <c r="C547" s="158"/>
      <c r="D547" s="158"/>
      <c r="E547" s="158"/>
      <c r="F547" s="483"/>
      <c r="G547" s="158"/>
      <c r="H547" s="158"/>
      <c r="I547" s="158"/>
      <c r="J547" s="158"/>
      <c r="K547" s="484"/>
      <c r="L547" s="483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</row>
    <row r="548" spans="1:28" ht="15.75" customHeight="1">
      <c r="A548" s="158"/>
      <c r="B548" s="158"/>
      <c r="C548" s="158"/>
      <c r="D548" s="158"/>
      <c r="E548" s="158"/>
      <c r="F548" s="483"/>
      <c r="G548" s="158"/>
      <c r="H548" s="158"/>
      <c r="I548" s="158"/>
      <c r="J548" s="158"/>
      <c r="K548" s="484"/>
      <c r="L548" s="483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</row>
    <row r="549" spans="1:28" ht="15.75" customHeight="1">
      <c r="A549" s="158"/>
      <c r="B549" s="158"/>
      <c r="C549" s="158"/>
      <c r="D549" s="158"/>
      <c r="E549" s="158"/>
      <c r="F549" s="483"/>
      <c r="G549" s="158"/>
      <c r="H549" s="158"/>
      <c r="I549" s="158"/>
      <c r="J549" s="158"/>
      <c r="K549" s="484"/>
      <c r="L549" s="483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</row>
    <row r="550" spans="1:28" ht="15.75" customHeight="1">
      <c r="A550" s="158"/>
      <c r="B550" s="158"/>
      <c r="C550" s="158"/>
      <c r="D550" s="158"/>
      <c r="E550" s="158"/>
      <c r="F550" s="483"/>
      <c r="G550" s="158"/>
      <c r="H550" s="158"/>
      <c r="I550" s="158"/>
      <c r="J550" s="158"/>
      <c r="K550" s="484"/>
      <c r="L550" s="483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</row>
    <row r="551" spans="1:28" ht="15.75" customHeight="1">
      <c r="A551" s="158"/>
      <c r="B551" s="158"/>
      <c r="C551" s="158"/>
      <c r="D551" s="158"/>
      <c r="E551" s="158"/>
      <c r="F551" s="483"/>
      <c r="G551" s="158"/>
      <c r="H551" s="158"/>
      <c r="I551" s="158"/>
      <c r="J551" s="158"/>
      <c r="K551" s="484"/>
      <c r="L551" s="483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</row>
    <row r="552" spans="1:28" ht="15.75" customHeight="1">
      <c r="A552" s="158"/>
      <c r="B552" s="158"/>
      <c r="C552" s="158"/>
      <c r="D552" s="158"/>
      <c r="E552" s="158"/>
      <c r="F552" s="483"/>
      <c r="G552" s="158"/>
      <c r="H552" s="158"/>
      <c r="I552" s="158"/>
      <c r="J552" s="158"/>
      <c r="K552" s="484"/>
      <c r="L552" s="483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</row>
    <row r="553" spans="1:28" ht="15.75" customHeight="1">
      <c r="A553" s="158"/>
      <c r="B553" s="158"/>
      <c r="C553" s="158"/>
      <c r="D553" s="158"/>
      <c r="E553" s="158"/>
      <c r="F553" s="483"/>
      <c r="G553" s="158"/>
      <c r="H553" s="158"/>
      <c r="I553" s="158"/>
      <c r="J553" s="158"/>
      <c r="K553" s="484"/>
      <c r="L553" s="483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</row>
    <row r="554" spans="1:28" ht="15.75" customHeight="1">
      <c r="A554" s="158"/>
      <c r="B554" s="158"/>
      <c r="C554" s="158"/>
      <c r="D554" s="158"/>
      <c r="E554" s="158"/>
      <c r="F554" s="483"/>
      <c r="G554" s="158"/>
      <c r="H554" s="158"/>
      <c r="I554" s="158"/>
      <c r="J554" s="158"/>
      <c r="K554" s="484"/>
      <c r="L554" s="483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</row>
    <row r="555" spans="1:28" ht="15.75" customHeight="1">
      <c r="A555" s="158"/>
      <c r="B555" s="158"/>
      <c r="C555" s="158"/>
      <c r="D555" s="158"/>
      <c r="E555" s="158"/>
      <c r="F555" s="483"/>
      <c r="G555" s="158"/>
      <c r="H555" s="158"/>
      <c r="I555" s="158"/>
      <c r="J555" s="158"/>
      <c r="K555" s="484"/>
      <c r="L555" s="483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</row>
    <row r="556" spans="1:28" ht="15.75" customHeight="1">
      <c r="A556" s="158"/>
      <c r="B556" s="158"/>
      <c r="C556" s="158"/>
      <c r="D556" s="158"/>
      <c r="E556" s="158"/>
      <c r="F556" s="483"/>
      <c r="G556" s="158"/>
      <c r="H556" s="158"/>
      <c r="I556" s="158"/>
      <c r="J556" s="158"/>
      <c r="K556" s="484"/>
      <c r="L556" s="483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</row>
    <row r="557" spans="1:28" ht="15.75" customHeight="1">
      <c r="A557" s="158"/>
      <c r="B557" s="158"/>
      <c r="C557" s="158"/>
      <c r="D557" s="158"/>
      <c r="E557" s="158"/>
      <c r="F557" s="483"/>
      <c r="G557" s="158"/>
      <c r="H557" s="158"/>
      <c r="I557" s="158"/>
      <c r="J557" s="158"/>
      <c r="K557" s="484"/>
      <c r="L557" s="483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</row>
    <row r="558" spans="1:28" ht="15.75" customHeight="1">
      <c r="A558" s="158"/>
      <c r="B558" s="158"/>
      <c r="C558" s="158"/>
      <c r="D558" s="158"/>
      <c r="E558" s="158"/>
      <c r="F558" s="483"/>
      <c r="G558" s="158"/>
      <c r="H558" s="158"/>
      <c r="I558" s="158"/>
      <c r="J558" s="158"/>
      <c r="K558" s="484"/>
      <c r="L558" s="483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</row>
    <row r="559" spans="1:28" ht="15.75" customHeight="1">
      <c r="A559" s="158"/>
      <c r="B559" s="158"/>
      <c r="C559" s="158"/>
      <c r="D559" s="158"/>
      <c r="E559" s="158"/>
      <c r="F559" s="483"/>
      <c r="G559" s="158"/>
      <c r="H559" s="158"/>
      <c r="I559" s="158"/>
      <c r="J559" s="158"/>
      <c r="K559" s="484"/>
      <c r="L559" s="483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</row>
    <row r="560" spans="1:28" ht="15.75" customHeight="1">
      <c r="A560" s="158"/>
      <c r="B560" s="158"/>
      <c r="C560" s="158"/>
      <c r="D560" s="158"/>
      <c r="E560" s="158"/>
      <c r="F560" s="483"/>
      <c r="G560" s="158"/>
      <c r="H560" s="158"/>
      <c r="I560" s="158"/>
      <c r="J560" s="158"/>
      <c r="K560" s="484"/>
      <c r="L560" s="483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</row>
    <row r="561" spans="1:28" ht="15.75" customHeight="1">
      <c r="A561" s="158"/>
      <c r="B561" s="158"/>
      <c r="C561" s="158"/>
      <c r="D561" s="158"/>
      <c r="E561" s="158"/>
      <c r="F561" s="483"/>
      <c r="G561" s="158"/>
      <c r="H561" s="158"/>
      <c r="I561" s="158"/>
      <c r="J561" s="158"/>
      <c r="K561" s="484"/>
      <c r="L561" s="483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</row>
    <row r="562" spans="1:28" ht="15.75" customHeight="1">
      <c r="A562" s="158"/>
      <c r="B562" s="158"/>
      <c r="C562" s="158"/>
      <c r="D562" s="158"/>
      <c r="E562" s="158"/>
      <c r="F562" s="483"/>
      <c r="G562" s="158"/>
      <c r="H562" s="158"/>
      <c r="I562" s="158"/>
      <c r="J562" s="158"/>
      <c r="K562" s="484"/>
      <c r="L562" s="483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</row>
    <row r="563" spans="1:28" ht="15.75" customHeight="1">
      <c r="A563" s="158"/>
      <c r="B563" s="158"/>
      <c r="C563" s="158"/>
      <c r="D563" s="158"/>
      <c r="E563" s="158"/>
      <c r="F563" s="483"/>
      <c r="G563" s="158"/>
      <c r="H563" s="158"/>
      <c r="I563" s="158"/>
      <c r="J563" s="158"/>
      <c r="K563" s="484"/>
      <c r="L563" s="483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</row>
    <row r="564" spans="1:28" ht="15.75" customHeight="1">
      <c r="A564" s="158"/>
      <c r="B564" s="158"/>
      <c r="C564" s="158"/>
      <c r="D564" s="158"/>
      <c r="E564" s="158"/>
      <c r="F564" s="483"/>
      <c r="G564" s="158"/>
      <c r="H564" s="158"/>
      <c r="I564" s="158"/>
      <c r="J564" s="158"/>
      <c r="K564" s="484"/>
      <c r="L564" s="483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</row>
    <row r="565" spans="1:28" ht="15.75" customHeight="1">
      <c r="A565" s="158"/>
      <c r="B565" s="158"/>
      <c r="C565" s="158"/>
      <c r="D565" s="158"/>
      <c r="E565" s="158"/>
      <c r="F565" s="483"/>
      <c r="G565" s="158"/>
      <c r="H565" s="158"/>
      <c r="I565" s="158"/>
      <c r="J565" s="158"/>
      <c r="K565" s="484"/>
      <c r="L565" s="483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</row>
    <row r="566" spans="1:28" ht="15.75" customHeight="1">
      <c r="A566" s="158"/>
      <c r="B566" s="158"/>
      <c r="C566" s="158"/>
      <c r="D566" s="158"/>
      <c r="E566" s="158"/>
      <c r="F566" s="483"/>
      <c r="G566" s="158"/>
      <c r="H566" s="158"/>
      <c r="I566" s="158"/>
      <c r="J566" s="158"/>
      <c r="K566" s="484"/>
      <c r="L566" s="483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</row>
    <row r="567" spans="1:28" ht="15.75" customHeight="1">
      <c r="A567" s="158"/>
      <c r="B567" s="158"/>
      <c r="C567" s="158"/>
      <c r="D567" s="158"/>
      <c r="E567" s="158"/>
      <c r="F567" s="483"/>
      <c r="G567" s="158"/>
      <c r="H567" s="158"/>
      <c r="I567" s="158"/>
      <c r="J567" s="158"/>
      <c r="K567" s="484"/>
      <c r="L567" s="483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</row>
    <row r="568" spans="1:28" ht="15.75" customHeight="1">
      <c r="A568" s="158"/>
      <c r="B568" s="158"/>
      <c r="C568" s="158"/>
      <c r="D568" s="158"/>
      <c r="E568" s="158"/>
      <c r="F568" s="483"/>
      <c r="G568" s="158"/>
      <c r="H568" s="158"/>
      <c r="I568" s="158"/>
      <c r="J568" s="158"/>
      <c r="K568" s="484"/>
      <c r="L568" s="483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</row>
    <row r="569" spans="1:28" ht="15.75" customHeight="1">
      <c r="A569" s="158"/>
      <c r="B569" s="158"/>
      <c r="C569" s="158"/>
      <c r="D569" s="158"/>
      <c r="E569" s="158"/>
      <c r="F569" s="483"/>
      <c r="G569" s="158"/>
      <c r="H569" s="158"/>
      <c r="I569" s="158"/>
      <c r="J569" s="158"/>
      <c r="K569" s="484"/>
      <c r="L569" s="483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</row>
    <row r="570" spans="1:28" ht="15.75" customHeight="1">
      <c r="A570" s="158"/>
      <c r="B570" s="158"/>
      <c r="C570" s="158"/>
      <c r="D570" s="158"/>
      <c r="E570" s="158"/>
      <c r="F570" s="483"/>
      <c r="G570" s="158"/>
      <c r="H570" s="158"/>
      <c r="I570" s="158"/>
      <c r="J570" s="158"/>
      <c r="K570" s="484"/>
      <c r="L570" s="483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</row>
    <row r="571" spans="1:28" ht="15.75" customHeight="1">
      <c r="A571" s="158"/>
      <c r="B571" s="158"/>
      <c r="C571" s="158"/>
      <c r="D571" s="158"/>
      <c r="E571" s="158"/>
      <c r="F571" s="483"/>
      <c r="G571" s="158"/>
      <c r="H571" s="158"/>
      <c r="I571" s="158"/>
      <c r="J571" s="158"/>
      <c r="K571" s="484"/>
      <c r="L571" s="483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</row>
    <row r="572" spans="1:28" ht="15.75" customHeight="1">
      <c r="A572" s="158"/>
      <c r="B572" s="158"/>
      <c r="C572" s="158"/>
      <c r="D572" s="158"/>
      <c r="E572" s="158"/>
      <c r="F572" s="483"/>
      <c r="G572" s="158"/>
      <c r="H572" s="158"/>
      <c r="I572" s="158"/>
      <c r="J572" s="158"/>
      <c r="K572" s="484"/>
      <c r="L572" s="483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</row>
    <row r="573" spans="1:28" ht="15.75" customHeight="1">
      <c r="A573" s="158"/>
      <c r="B573" s="158"/>
      <c r="C573" s="158"/>
      <c r="D573" s="158"/>
      <c r="E573" s="158"/>
      <c r="F573" s="483"/>
      <c r="G573" s="158"/>
      <c r="H573" s="158"/>
      <c r="I573" s="158"/>
      <c r="J573" s="158"/>
      <c r="K573" s="484"/>
      <c r="L573" s="483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</row>
    <row r="574" spans="1:28" ht="15.75" customHeight="1">
      <c r="A574" s="158"/>
      <c r="B574" s="158"/>
      <c r="C574" s="158"/>
      <c r="D574" s="158"/>
      <c r="E574" s="158"/>
      <c r="F574" s="483"/>
      <c r="G574" s="158"/>
      <c r="H574" s="158"/>
      <c r="I574" s="158"/>
      <c r="J574" s="158"/>
      <c r="K574" s="484"/>
      <c r="L574" s="483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</row>
    <row r="575" spans="1:28" ht="15.75" customHeight="1">
      <c r="A575" s="158"/>
      <c r="B575" s="158"/>
      <c r="C575" s="158"/>
      <c r="D575" s="158"/>
      <c r="E575" s="158"/>
      <c r="F575" s="483"/>
      <c r="G575" s="158"/>
      <c r="H575" s="158"/>
      <c r="I575" s="158"/>
      <c r="J575" s="158"/>
      <c r="K575" s="484"/>
      <c r="L575" s="483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</row>
    <row r="576" spans="1:28" ht="15.75" customHeight="1">
      <c r="A576" s="158"/>
      <c r="B576" s="158"/>
      <c r="C576" s="158"/>
      <c r="D576" s="158"/>
      <c r="E576" s="158"/>
      <c r="F576" s="483"/>
      <c r="G576" s="158"/>
      <c r="H576" s="158"/>
      <c r="I576" s="158"/>
      <c r="J576" s="158"/>
      <c r="K576" s="484"/>
      <c r="L576" s="483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</row>
    <row r="577" spans="1:28" ht="15.75" customHeight="1">
      <c r="A577" s="158"/>
      <c r="B577" s="158"/>
      <c r="C577" s="158"/>
      <c r="D577" s="158"/>
      <c r="E577" s="158"/>
      <c r="F577" s="483"/>
      <c r="G577" s="158"/>
      <c r="H577" s="158"/>
      <c r="I577" s="158"/>
      <c r="J577" s="158"/>
      <c r="K577" s="484"/>
      <c r="L577" s="483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</row>
    <row r="578" spans="1:28" ht="15.75" customHeight="1">
      <c r="A578" s="158"/>
      <c r="B578" s="158"/>
      <c r="C578" s="158"/>
      <c r="D578" s="158"/>
      <c r="E578" s="158"/>
      <c r="F578" s="483"/>
      <c r="G578" s="158"/>
      <c r="H578" s="158"/>
      <c r="I578" s="158"/>
      <c r="J578" s="158"/>
      <c r="K578" s="484"/>
      <c r="L578" s="483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</row>
    <row r="579" spans="1:28" ht="15.75" customHeight="1">
      <c r="A579" s="158"/>
      <c r="B579" s="158"/>
      <c r="C579" s="158"/>
      <c r="D579" s="158"/>
      <c r="E579" s="158"/>
      <c r="F579" s="483"/>
      <c r="G579" s="158"/>
      <c r="H579" s="158"/>
      <c r="I579" s="158"/>
      <c r="J579" s="158"/>
      <c r="K579" s="484"/>
      <c r="L579" s="483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</row>
    <row r="580" spans="1:28" ht="15.75" customHeight="1">
      <c r="A580" s="158"/>
      <c r="B580" s="158"/>
      <c r="C580" s="158"/>
      <c r="D580" s="158"/>
      <c r="E580" s="158"/>
      <c r="F580" s="483"/>
      <c r="G580" s="158"/>
      <c r="H580" s="158"/>
      <c r="I580" s="158"/>
      <c r="J580" s="158"/>
      <c r="K580" s="484"/>
      <c r="L580" s="483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</row>
    <row r="581" spans="1:28" ht="15.75" customHeight="1">
      <c r="A581" s="158"/>
      <c r="B581" s="158"/>
      <c r="C581" s="158"/>
      <c r="D581" s="158"/>
      <c r="E581" s="158"/>
      <c r="F581" s="483"/>
      <c r="G581" s="158"/>
      <c r="H581" s="158"/>
      <c r="I581" s="158"/>
      <c r="J581" s="158"/>
      <c r="K581" s="484"/>
      <c r="L581" s="483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</row>
    <row r="582" spans="1:28" ht="15.75" customHeight="1">
      <c r="A582" s="158"/>
      <c r="B582" s="158"/>
      <c r="C582" s="158"/>
      <c r="D582" s="158"/>
      <c r="E582" s="158"/>
      <c r="F582" s="483"/>
      <c r="G582" s="158"/>
      <c r="H582" s="158"/>
      <c r="I582" s="158"/>
      <c r="J582" s="158"/>
      <c r="K582" s="484"/>
      <c r="L582" s="483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</row>
    <row r="583" spans="1:28" ht="15.75" customHeight="1">
      <c r="A583" s="158"/>
      <c r="B583" s="158"/>
      <c r="C583" s="158"/>
      <c r="D583" s="158"/>
      <c r="E583" s="158"/>
      <c r="F583" s="483"/>
      <c r="G583" s="158"/>
      <c r="H583" s="158"/>
      <c r="I583" s="158"/>
      <c r="J583" s="158"/>
      <c r="K583" s="484"/>
      <c r="L583" s="483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</row>
    <row r="584" spans="1:28" ht="15.75" customHeight="1">
      <c r="A584" s="158"/>
      <c r="B584" s="158"/>
      <c r="C584" s="158"/>
      <c r="D584" s="158"/>
      <c r="E584" s="158"/>
      <c r="F584" s="483"/>
      <c r="G584" s="158"/>
      <c r="H584" s="158"/>
      <c r="I584" s="158"/>
      <c r="J584" s="158"/>
      <c r="K584" s="484"/>
      <c r="L584" s="483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</row>
    <row r="585" spans="1:28" ht="15.75" customHeight="1">
      <c r="A585" s="158"/>
      <c r="B585" s="158"/>
      <c r="C585" s="158"/>
      <c r="D585" s="158"/>
      <c r="E585" s="158"/>
      <c r="F585" s="483"/>
      <c r="G585" s="158"/>
      <c r="H585" s="158"/>
      <c r="I585" s="158"/>
      <c r="J585" s="158"/>
      <c r="K585" s="484"/>
      <c r="L585" s="483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</row>
    <row r="586" spans="1:28" ht="15.75" customHeight="1">
      <c r="A586" s="158"/>
      <c r="B586" s="158"/>
      <c r="C586" s="158"/>
      <c r="D586" s="158"/>
      <c r="E586" s="158"/>
      <c r="F586" s="483"/>
      <c r="G586" s="158"/>
      <c r="H586" s="158"/>
      <c r="I586" s="158"/>
      <c r="J586" s="158"/>
      <c r="K586" s="484"/>
      <c r="L586" s="483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</row>
    <row r="587" spans="1:28" ht="15.75" customHeight="1">
      <c r="A587" s="158"/>
      <c r="B587" s="158"/>
      <c r="C587" s="158"/>
      <c r="D587" s="158"/>
      <c r="E587" s="158"/>
      <c r="F587" s="483"/>
      <c r="G587" s="158"/>
      <c r="H587" s="158"/>
      <c r="I587" s="158"/>
      <c r="J587" s="158"/>
      <c r="K587" s="484"/>
      <c r="L587" s="483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</row>
    <row r="588" spans="1:28" ht="15.75" customHeight="1">
      <c r="A588" s="158"/>
      <c r="B588" s="158"/>
      <c r="C588" s="158"/>
      <c r="D588" s="158"/>
      <c r="E588" s="158"/>
      <c r="F588" s="483"/>
      <c r="G588" s="158"/>
      <c r="H588" s="158"/>
      <c r="I588" s="158"/>
      <c r="J588" s="158"/>
      <c r="K588" s="484"/>
      <c r="L588" s="483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</row>
    <row r="589" spans="1:28" ht="15.75" customHeight="1">
      <c r="A589" s="158"/>
      <c r="B589" s="158"/>
      <c r="C589" s="158"/>
      <c r="D589" s="158"/>
      <c r="E589" s="158"/>
      <c r="F589" s="483"/>
      <c r="G589" s="158"/>
      <c r="H589" s="158"/>
      <c r="I589" s="158"/>
      <c r="J589" s="158"/>
      <c r="K589" s="484"/>
      <c r="L589" s="483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</row>
    <row r="590" spans="1:28" ht="15.75" customHeight="1">
      <c r="A590" s="158"/>
      <c r="B590" s="158"/>
      <c r="C590" s="158"/>
      <c r="D590" s="158"/>
      <c r="E590" s="158"/>
      <c r="F590" s="483"/>
      <c r="G590" s="158"/>
      <c r="H590" s="158"/>
      <c r="I590" s="158"/>
      <c r="J590" s="158"/>
      <c r="K590" s="484"/>
      <c r="L590" s="483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</row>
    <row r="591" spans="1:28" ht="15.75" customHeight="1">
      <c r="A591" s="158"/>
      <c r="B591" s="158"/>
      <c r="C591" s="158"/>
      <c r="D591" s="158"/>
      <c r="E591" s="158"/>
      <c r="F591" s="483"/>
      <c r="G591" s="158"/>
      <c r="H591" s="158"/>
      <c r="I591" s="158"/>
      <c r="J591" s="158"/>
      <c r="K591" s="484"/>
      <c r="L591" s="483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</row>
    <row r="592" spans="1:28" ht="15.75" customHeight="1">
      <c r="A592" s="158"/>
      <c r="B592" s="158"/>
      <c r="C592" s="158"/>
      <c r="D592" s="158"/>
      <c r="E592" s="158"/>
      <c r="F592" s="483"/>
      <c r="G592" s="158"/>
      <c r="H592" s="158"/>
      <c r="I592" s="158"/>
      <c r="J592" s="158"/>
      <c r="K592" s="484"/>
      <c r="L592" s="483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</row>
    <row r="593" spans="1:28" ht="15.75" customHeight="1">
      <c r="A593" s="158"/>
      <c r="B593" s="158"/>
      <c r="C593" s="158"/>
      <c r="D593" s="158"/>
      <c r="E593" s="158"/>
      <c r="F593" s="483"/>
      <c r="G593" s="158"/>
      <c r="H593" s="158"/>
      <c r="I593" s="158"/>
      <c r="J593" s="158"/>
      <c r="K593" s="484"/>
      <c r="L593" s="483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</row>
    <row r="594" spans="1:28" ht="15.75" customHeight="1">
      <c r="A594" s="158"/>
      <c r="B594" s="158"/>
      <c r="C594" s="158"/>
      <c r="D594" s="158"/>
      <c r="E594" s="158"/>
      <c r="F594" s="483"/>
      <c r="G594" s="158"/>
      <c r="H594" s="158"/>
      <c r="I594" s="158"/>
      <c r="J594" s="158"/>
      <c r="K594" s="484"/>
      <c r="L594" s="483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</row>
    <row r="595" spans="1:28" ht="15.75" customHeight="1">
      <c r="A595" s="158"/>
      <c r="B595" s="158"/>
      <c r="C595" s="158"/>
      <c r="D595" s="158"/>
      <c r="E595" s="158"/>
      <c r="F595" s="483"/>
      <c r="G595" s="158"/>
      <c r="H595" s="158"/>
      <c r="I595" s="158"/>
      <c r="J595" s="158"/>
      <c r="K595" s="484"/>
      <c r="L595" s="483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</row>
    <row r="596" spans="1:28" ht="15.75" customHeight="1">
      <c r="A596" s="158"/>
      <c r="B596" s="158"/>
      <c r="C596" s="158"/>
      <c r="D596" s="158"/>
      <c r="E596" s="158"/>
      <c r="F596" s="483"/>
      <c r="G596" s="158"/>
      <c r="H596" s="158"/>
      <c r="I596" s="158"/>
      <c r="J596" s="158"/>
      <c r="K596" s="484"/>
      <c r="L596" s="483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</row>
    <row r="597" spans="1:28" ht="15.75" customHeight="1">
      <c r="A597" s="158"/>
      <c r="B597" s="158"/>
      <c r="C597" s="158"/>
      <c r="D597" s="158"/>
      <c r="E597" s="158"/>
      <c r="F597" s="483"/>
      <c r="G597" s="158"/>
      <c r="H597" s="158"/>
      <c r="I597" s="158"/>
      <c r="J597" s="158"/>
      <c r="K597" s="484"/>
      <c r="L597" s="483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</row>
    <row r="598" spans="1:28" ht="15.75" customHeight="1">
      <c r="A598" s="158"/>
      <c r="B598" s="158"/>
      <c r="C598" s="158"/>
      <c r="D598" s="158"/>
      <c r="E598" s="158"/>
      <c r="F598" s="483"/>
      <c r="G598" s="158"/>
      <c r="H598" s="158"/>
      <c r="I598" s="158"/>
      <c r="J598" s="158"/>
      <c r="K598" s="484"/>
      <c r="L598" s="483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</row>
    <row r="599" spans="1:28" ht="15.75" customHeight="1">
      <c r="A599" s="158"/>
      <c r="B599" s="158"/>
      <c r="C599" s="158"/>
      <c r="D599" s="158"/>
      <c r="E599" s="158"/>
      <c r="F599" s="483"/>
      <c r="G599" s="158"/>
      <c r="H599" s="158"/>
      <c r="I599" s="158"/>
      <c r="J599" s="158"/>
      <c r="K599" s="484"/>
      <c r="L599" s="483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</row>
    <row r="600" spans="1:28" ht="15.75" customHeight="1">
      <c r="A600" s="158"/>
      <c r="B600" s="158"/>
      <c r="C600" s="158"/>
      <c r="D600" s="158"/>
      <c r="E600" s="158"/>
      <c r="F600" s="483"/>
      <c r="G600" s="158"/>
      <c r="H600" s="158"/>
      <c r="I600" s="158"/>
      <c r="J600" s="158"/>
      <c r="K600" s="484"/>
      <c r="L600" s="483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</row>
    <row r="601" spans="1:28" ht="15.75" customHeight="1">
      <c r="A601" s="158"/>
      <c r="B601" s="158"/>
      <c r="C601" s="158"/>
      <c r="D601" s="158"/>
      <c r="E601" s="158"/>
      <c r="F601" s="483"/>
      <c r="G601" s="158"/>
      <c r="H601" s="158"/>
      <c r="I601" s="158"/>
      <c r="J601" s="158"/>
      <c r="K601" s="484"/>
      <c r="L601" s="483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</row>
    <row r="602" spans="1:28" ht="15.75" customHeight="1">
      <c r="A602" s="158"/>
      <c r="B602" s="158"/>
      <c r="C602" s="158"/>
      <c r="D602" s="158"/>
      <c r="E602" s="158"/>
      <c r="F602" s="483"/>
      <c r="G602" s="158"/>
      <c r="H602" s="158"/>
      <c r="I602" s="158"/>
      <c r="J602" s="158"/>
      <c r="K602" s="484"/>
      <c r="L602" s="483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</row>
    <row r="603" spans="1:28" ht="15.75" customHeight="1">
      <c r="A603" s="158"/>
      <c r="B603" s="158"/>
      <c r="C603" s="158"/>
      <c r="D603" s="158"/>
      <c r="E603" s="158"/>
      <c r="F603" s="483"/>
      <c r="G603" s="158"/>
      <c r="H603" s="158"/>
      <c r="I603" s="158"/>
      <c r="J603" s="158"/>
      <c r="K603" s="484"/>
      <c r="L603" s="483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</row>
    <row r="604" spans="1:28" ht="15.75" customHeight="1">
      <c r="A604" s="158"/>
      <c r="B604" s="158"/>
      <c r="C604" s="158"/>
      <c r="D604" s="158"/>
      <c r="E604" s="158"/>
      <c r="F604" s="483"/>
      <c r="G604" s="158"/>
      <c r="H604" s="158"/>
      <c r="I604" s="158"/>
      <c r="J604" s="158"/>
      <c r="K604" s="484"/>
      <c r="L604" s="483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</row>
    <row r="605" spans="1:28" ht="15.75" customHeight="1">
      <c r="A605" s="158"/>
      <c r="B605" s="158"/>
      <c r="C605" s="158"/>
      <c r="D605" s="158"/>
      <c r="E605" s="158"/>
      <c r="F605" s="483"/>
      <c r="G605" s="158"/>
      <c r="H605" s="158"/>
      <c r="I605" s="158"/>
      <c r="J605" s="158"/>
      <c r="K605" s="484"/>
      <c r="L605" s="483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</row>
    <row r="606" spans="1:28" ht="15.75" customHeight="1">
      <c r="A606" s="158"/>
      <c r="B606" s="158"/>
      <c r="C606" s="158"/>
      <c r="D606" s="158"/>
      <c r="E606" s="158"/>
      <c r="F606" s="483"/>
      <c r="G606" s="158"/>
      <c r="H606" s="158"/>
      <c r="I606" s="158"/>
      <c r="J606" s="158"/>
      <c r="K606" s="484"/>
      <c r="L606" s="483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</row>
    <row r="607" spans="1:28" ht="15.75" customHeight="1">
      <c r="A607" s="158"/>
      <c r="B607" s="158"/>
      <c r="C607" s="158"/>
      <c r="D607" s="158"/>
      <c r="E607" s="158"/>
      <c r="F607" s="483"/>
      <c r="G607" s="158"/>
      <c r="H607" s="158"/>
      <c r="I607" s="158"/>
      <c r="J607" s="158"/>
      <c r="K607" s="484"/>
      <c r="L607" s="483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</row>
    <row r="608" spans="1:28" ht="15.75" customHeight="1">
      <c r="A608" s="158"/>
      <c r="B608" s="158"/>
      <c r="C608" s="158"/>
      <c r="D608" s="158"/>
      <c r="E608" s="158"/>
      <c r="F608" s="483"/>
      <c r="G608" s="158"/>
      <c r="H608" s="158"/>
      <c r="I608" s="158"/>
      <c r="J608" s="158"/>
      <c r="K608" s="484"/>
      <c r="L608" s="483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</row>
    <row r="609" spans="1:28" ht="15.75" customHeight="1">
      <c r="A609" s="158"/>
      <c r="B609" s="158"/>
      <c r="C609" s="158"/>
      <c r="D609" s="158"/>
      <c r="E609" s="158"/>
      <c r="F609" s="483"/>
      <c r="G609" s="158"/>
      <c r="H609" s="158"/>
      <c r="I609" s="158"/>
      <c r="J609" s="158"/>
      <c r="K609" s="484"/>
      <c r="L609" s="483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</row>
    <row r="610" spans="1:28" ht="15.75" customHeight="1">
      <c r="A610" s="158"/>
      <c r="B610" s="158"/>
      <c r="C610" s="158"/>
      <c r="D610" s="158"/>
      <c r="E610" s="158"/>
      <c r="F610" s="483"/>
      <c r="G610" s="158"/>
      <c r="H610" s="158"/>
      <c r="I610" s="158"/>
      <c r="J610" s="158"/>
      <c r="K610" s="484"/>
      <c r="L610" s="483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</row>
    <row r="611" spans="1:28" ht="15.75" customHeight="1">
      <c r="A611" s="158"/>
      <c r="B611" s="158"/>
      <c r="C611" s="158"/>
      <c r="D611" s="158"/>
      <c r="E611" s="158"/>
      <c r="F611" s="483"/>
      <c r="G611" s="158"/>
      <c r="H611" s="158"/>
      <c r="I611" s="158"/>
      <c r="J611" s="158"/>
      <c r="K611" s="484"/>
      <c r="L611" s="483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</row>
    <row r="612" spans="1:28" ht="15.75" customHeight="1">
      <c r="A612" s="158"/>
      <c r="B612" s="158"/>
      <c r="C612" s="158"/>
      <c r="D612" s="158"/>
      <c r="E612" s="158"/>
      <c r="F612" s="483"/>
      <c r="G612" s="158"/>
      <c r="H612" s="158"/>
      <c r="I612" s="158"/>
      <c r="J612" s="158"/>
      <c r="K612" s="484"/>
      <c r="L612" s="483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</row>
    <row r="613" spans="1:28" ht="15.75" customHeight="1">
      <c r="A613" s="158"/>
      <c r="B613" s="158"/>
      <c r="C613" s="158"/>
      <c r="D613" s="158"/>
      <c r="E613" s="158"/>
      <c r="F613" s="483"/>
      <c r="G613" s="158"/>
      <c r="H613" s="158"/>
      <c r="I613" s="158"/>
      <c r="J613" s="158"/>
      <c r="K613" s="484"/>
      <c r="L613" s="483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</row>
    <row r="614" spans="1:28" ht="15.75" customHeight="1">
      <c r="A614" s="158"/>
      <c r="B614" s="158"/>
      <c r="C614" s="158"/>
      <c r="D614" s="158"/>
      <c r="E614" s="158"/>
      <c r="F614" s="483"/>
      <c r="G614" s="158"/>
      <c r="H614" s="158"/>
      <c r="I614" s="158"/>
      <c r="J614" s="158"/>
      <c r="K614" s="484"/>
      <c r="L614" s="483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</row>
    <row r="615" spans="1:28" ht="15.75" customHeight="1">
      <c r="A615" s="158"/>
      <c r="B615" s="158"/>
      <c r="C615" s="158"/>
      <c r="D615" s="158"/>
      <c r="E615" s="158"/>
      <c r="F615" s="483"/>
      <c r="G615" s="158"/>
      <c r="H615" s="158"/>
      <c r="I615" s="158"/>
      <c r="J615" s="158"/>
      <c r="K615" s="484"/>
      <c r="L615" s="483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</row>
    <row r="616" spans="1:28" ht="15.75" customHeight="1">
      <c r="A616" s="158"/>
      <c r="B616" s="158"/>
      <c r="C616" s="158"/>
      <c r="D616" s="158"/>
      <c r="E616" s="158"/>
      <c r="F616" s="483"/>
      <c r="G616" s="158"/>
      <c r="H616" s="158"/>
      <c r="I616" s="158"/>
      <c r="J616" s="158"/>
      <c r="K616" s="484"/>
      <c r="L616" s="483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</row>
    <row r="617" spans="1:28" ht="15.75" customHeight="1">
      <c r="A617" s="158"/>
      <c r="B617" s="158"/>
      <c r="C617" s="158"/>
      <c r="D617" s="158"/>
      <c r="E617" s="158"/>
      <c r="F617" s="483"/>
      <c r="G617" s="158"/>
      <c r="H617" s="158"/>
      <c r="I617" s="158"/>
      <c r="J617" s="158"/>
      <c r="K617" s="484"/>
      <c r="L617" s="483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</row>
    <row r="618" spans="1:28" ht="15.75" customHeight="1">
      <c r="A618" s="158"/>
      <c r="B618" s="158"/>
      <c r="C618" s="158"/>
      <c r="D618" s="158"/>
      <c r="E618" s="158"/>
      <c r="F618" s="483"/>
      <c r="G618" s="158"/>
      <c r="H618" s="158"/>
      <c r="I618" s="158"/>
      <c r="J618" s="158"/>
      <c r="K618" s="484"/>
      <c r="L618" s="483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</row>
    <row r="619" spans="1:28" ht="15.75" customHeight="1">
      <c r="A619" s="158"/>
      <c r="B619" s="158"/>
      <c r="C619" s="158"/>
      <c r="D619" s="158"/>
      <c r="E619" s="158"/>
      <c r="F619" s="483"/>
      <c r="G619" s="158"/>
      <c r="H619" s="158"/>
      <c r="I619" s="158"/>
      <c r="J619" s="158"/>
      <c r="K619" s="484"/>
      <c r="L619" s="483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</row>
    <row r="620" spans="1:28" ht="15.75" customHeight="1">
      <c r="A620" s="158"/>
      <c r="B620" s="158"/>
      <c r="C620" s="158"/>
      <c r="D620" s="158"/>
      <c r="E620" s="158"/>
      <c r="F620" s="483"/>
      <c r="G620" s="158"/>
      <c r="H620" s="158"/>
      <c r="I620" s="158"/>
      <c r="J620" s="158"/>
      <c r="K620" s="484"/>
      <c r="L620" s="483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</row>
    <row r="621" spans="1:28" ht="15.75" customHeight="1">
      <c r="A621" s="158"/>
      <c r="B621" s="158"/>
      <c r="C621" s="158"/>
      <c r="D621" s="158"/>
      <c r="E621" s="158"/>
      <c r="F621" s="483"/>
      <c r="G621" s="158"/>
      <c r="H621" s="158"/>
      <c r="I621" s="158"/>
      <c r="J621" s="158"/>
      <c r="K621" s="484"/>
      <c r="L621" s="483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</row>
    <row r="622" spans="1:28" ht="15.75" customHeight="1">
      <c r="A622" s="158"/>
      <c r="B622" s="158"/>
      <c r="C622" s="158"/>
      <c r="D622" s="158"/>
      <c r="E622" s="158"/>
      <c r="F622" s="483"/>
      <c r="G622" s="158"/>
      <c r="H622" s="158"/>
      <c r="I622" s="158"/>
      <c r="J622" s="158"/>
      <c r="K622" s="484"/>
      <c r="L622" s="483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</row>
    <row r="623" spans="1:28" ht="15.75" customHeight="1">
      <c r="A623" s="158"/>
      <c r="B623" s="158"/>
      <c r="C623" s="158"/>
      <c r="D623" s="158"/>
      <c r="E623" s="158"/>
      <c r="F623" s="483"/>
      <c r="G623" s="158"/>
      <c r="H623" s="158"/>
      <c r="I623" s="158"/>
      <c r="J623" s="158"/>
      <c r="K623" s="484"/>
      <c r="L623" s="483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</row>
    <row r="624" spans="1:28" ht="15.75" customHeight="1">
      <c r="A624" s="158"/>
      <c r="B624" s="158"/>
      <c r="C624" s="158"/>
      <c r="D624" s="158"/>
      <c r="E624" s="158"/>
      <c r="F624" s="483"/>
      <c r="G624" s="158"/>
      <c r="H624" s="158"/>
      <c r="I624" s="158"/>
      <c r="J624" s="158"/>
      <c r="K624" s="484"/>
      <c r="L624" s="483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</row>
    <row r="625" spans="1:28" ht="15.75" customHeight="1">
      <c r="A625" s="158"/>
      <c r="B625" s="158"/>
      <c r="C625" s="158"/>
      <c r="D625" s="158"/>
      <c r="E625" s="158"/>
      <c r="F625" s="483"/>
      <c r="G625" s="158"/>
      <c r="H625" s="158"/>
      <c r="I625" s="158"/>
      <c r="J625" s="158"/>
      <c r="K625" s="484"/>
      <c r="L625" s="483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</row>
    <row r="626" spans="1:28" ht="15.75" customHeight="1">
      <c r="A626" s="158"/>
      <c r="B626" s="158"/>
      <c r="C626" s="158"/>
      <c r="D626" s="158"/>
      <c r="E626" s="158"/>
      <c r="F626" s="483"/>
      <c r="G626" s="158"/>
      <c r="H626" s="158"/>
      <c r="I626" s="158"/>
      <c r="J626" s="158"/>
      <c r="K626" s="484"/>
      <c r="L626" s="483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</row>
    <row r="627" spans="1:28" ht="15.75" customHeight="1">
      <c r="A627" s="158"/>
      <c r="B627" s="158"/>
      <c r="C627" s="158"/>
      <c r="D627" s="158"/>
      <c r="E627" s="158"/>
      <c r="F627" s="483"/>
      <c r="G627" s="158"/>
      <c r="H627" s="158"/>
      <c r="I627" s="158"/>
      <c r="J627" s="158"/>
      <c r="K627" s="484"/>
      <c r="L627" s="483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</row>
    <row r="628" spans="1:28" ht="15.75" customHeight="1">
      <c r="A628" s="158"/>
      <c r="B628" s="158"/>
      <c r="C628" s="158"/>
      <c r="D628" s="158"/>
      <c r="E628" s="158"/>
      <c r="F628" s="483"/>
      <c r="G628" s="158"/>
      <c r="H628" s="158"/>
      <c r="I628" s="158"/>
      <c r="J628" s="158"/>
      <c r="K628" s="484"/>
      <c r="L628" s="483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</row>
    <row r="629" spans="1:28" ht="15.75" customHeight="1">
      <c r="A629" s="158"/>
      <c r="B629" s="158"/>
      <c r="C629" s="158"/>
      <c r="D629" s="158"/>
      <c r="E629" s="158"/>
      <c r="F629" s="483"/>
      <c r="G629" s="158"/>
      <c r="H629" s="158"/>
      <c r="I629" s="158"/>
      <c r="J629" s="158"/>
      <c r="K629" s="484"/>
      <c r="L629" s="483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</row>
    <row r="630" spans="1:28" ht="15.75" customHeight="1">
      <c r="A630" s="158"/>
      <c r="B630" s="158"/>
      <c r="C630" s="158"/>
      <c r="D630" s="158"/>
      <c r="E630" s="158"/>
      <c r="F630" s="483"/>
      <c r="G630" s="158"/>
      <c r="H630" s="158"/>
      <c r="I630" s="158"/>
      <c r="J630" s="158"/>
      <c r="K630" s="484"/>
      <c r="L630" s="483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</row>
    <row r="631" spans="1:28" ht="15.75" customHeight="1">
      <c r="A631" s="158"/>
      <c r="B631" s="158"/>
      <c r="C631" s="158"/>
      <c r="D631" s="158"/>
      <c r="E631" s="158"/>
      <c r="F631" s="483"/>
      <c r="G631" s="158"/>
      <c r="H631" s="158"/>
      <c r="I631" s="158"/>
      <c r="J631" s="158"/>
      <c r="K631" s="484"/>
      <c r="L631" s="483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</row>
    <row r="632" spans="1:28" ht="15.75" customHeight="1">
      <c r="A632" s="158"/>
      <c r="B632" s="158"/>
      <c r="C632" s="158"/>
      <c r="D632" s="158"/>
      <c r="E632" s="158"/>
      <c r="F632" s="483"/>
      <c r="G632" s="158"/>
      <c r="H632" s="158"/>
      <c r="I632" s="158"/>
      <c r="J632" s="158"/>
      <c r="K632" s="484"/>
      <c r="L632" s="483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</row>
    <row r="633" spans="1:28" ht="15.75" customHeight="1">
      <c r="A633" s="158"/>
      <c r="B633" s="158"/>
      <c r="C633" s="158"/>
      <c r="D633" s="158"/>
      <c r="E633" s="158"/>
      <c r="F633" s="483"/>
      <c r="G633" s="158"/>
      <c r="H633" s="158"/>
      <c r="I633" s="158"/>
      <c r="J633" s="158"/>
      <c r="K633" s="484"/>
      <c r="L633" s="483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</row>
    <row r="634" spans="1:28" ht="15.75" customHeight="1">
      <c r="A634" s="158"/>
      <c r="B634" s="158"/>
      <c r="C634" s="158"/>
      <c r="D634" s="158"/>
      <c r="E634" s="158"/>
      <c r="F634" s="483"/>
      <c r="G634" s="158"/>
      <c r="H634" s="158"/>
      <c r="I634" s="158"/>
      <c r="J634" s="158"/>
      <c r="K634" s="484"/>
      <c r="L634" s="483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</row>
    <row r="635" spans="1:28" ht="15.75" customHeight="1">
      <c r="A635" s="158"/>
      <c r="B635" s="158"/>
      <c r="C635" s="158"/>
      <c r="D635" s="158"/>
      <c r="E635" s="158"/>
      <c r="F635" s="483"/>
      <c r="G635" s="158"/>
      <c r="H635" s="158"/>
      <c r="I635" s="158"/>
      <c r="J635" s="158"/>
      <c r="K635" s="484"/>
      <c r="L635" s="483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</row>
    <row r="636" spans="1:28" ht="15.75" customHeight="1">
      <c r="A636" s="158"/>
      <c r="B636" s="158"/>
      <c r="C636" s="158"/>
      <c r="D636" s="158"/>
      <c r="E636" s="158"/>
      <c r="F636" s="483"/>
      <c r="G636" s="158"/>
      <c r="H636" s="158"/>
      <c r="I636" s="158"/>
      <c r="J636" s="158"/>
      <c r="K636" s="484"/>
      <c r="L636" s="483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</row>
    <row r="637" spans="1:28" ht="15.75" customHeight="1">
      <c r="A637" s="158"/>
      <c r="B637" s="158"/>
      <c r="C637" s="158"/>
      <c r="D637" s="158"/>
      <c r="E637" s="158"/>
      <c r="F637" s="483"/>
      <c r="G637" s="158"/>
      <c r="H637" s="158"/>
      <c r="I637" s="158"/>
      <c r="J637" s="158"/>
      <c r="K637" s="484"/>
      <c r="L637" s="483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</row>
    <row r="638" spans="1:28" ht="15.75" customHeight="1">
      <c r="A638" s="158"/>
      <c r="B638" s="158"/>
      <c r="C638" s="158"/>
      <c r="D638" s="158"/>
      <c r="E638" s="158"/>
      <c r="F638" s="483"/>
      <c r="G638" s="158"/>
      <c r="H638" s="158"/>
      <c r="I638" s="158"/>
      <c r="J638" s="158"/>
      <c r="K638" s="484"/>
      <c r="L638" s="483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</row>
    <row r="639" spans="1:28" ht="15.75" customHeight="1">
      <c r="A639" s="158"/>
      <c r="B639" s="158"/>
      <c r="C639" s="158"/>
      <c r="D639" s="158"/>
      <c r="E639" s="158"/>
      <c r="F639" s="483"/>
      <c r="G639" s="158"/>
      <c r="H639" s="158"/>
      <c r="I639" s="158"/>
      <c r="J639" s="158"/>
      <c r="K639" s="484"/>
      <c r="L639" s="483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</row>
    <row r="640" spans="1:28" ht="15.75" customHeight="1">
      <c r="A640" s="158"/>
      <c r="B640" s="158"/>
      <c r="C640" s="158"/>
      <c r="D640" s="158"/>
      <c r="E640" s="158"/>
      <c r="F640" s="483"/>
      <c r="G640" s="158"/>
      <c r="H640" s="158"/>
      <c r="I640" s="158"/>
      <c r="J640" s="158"/>
      <c r="K640" s="484"/>
      <c r="L640" s="483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</row>
    <row r="641" spans="1:28" ht="15.75" customHeight="1">
      <c r="A641" s="158"/>
      <c r="B641" s="158"/>
      <c r="C641" s="158"/>
      <c r="D641" s="158"/>
      <c r="E641" s="158"/>
      <c r="F641" s="483"/>
      <c r="G641" s="158"/>
      <c r="H641" s="158"/>
      <c r="I641" s="158"/>
      <c r="J641" s="158"/>
      <c r="K641" s="484"/>
      <c r="L641" s="483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</row>
    <row r="642" spans="1:28" ht="15.75" customHeight="1">
      <c r="A642" s="158"/>
      <c r="B642" s="158"/>
      <c r="C642" s="158"/>
      <c r="D642" s="158"/>
      <c r="E642" s="158"/>
      <c r="F642" s="483"/>
      <c r="G642" s="158"/>
      <c r="H642" s="158"/>
      <c r="I642" s="158"/>
      <c r="J642" s="158"/>
      <c r="K642" s="484"/>
      <c r="L642" s="483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</row>
    <row r="643" spans="1:28" ht="15.75" customHeight="1">
      <c r="A643" s="158"/>
      <c r="B643" s="158"/>
      <c r="C643" s="158"/>
      <c r="D643" s="158"/>
      <c r="E643" s="158"/>
      <c r="F643" s="483"/>
      <c r="G643" s="158"/>
      <c r="H643" s="158"/>
      <c r="I643" s="158"/>
      <c r="J643" s="158"/>
      <c r="K643" s="484"/>
      <c r="L643" s="483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</row>
    <row r="644" spans="1:28" ht="15.75" customHeight="1">
      <c r="A644" s="158"/>
      <c r="B644" s="158"/>
      <c r="C644" s="158"/>
      <c r="D644" s="158"/>
      <c r="E644" s="158"/>
      <c r="F644" s="483"/>
      <c r="G644" s="158"/>
      <c r="H644" s="158"/>
      <c r="I644" s="158"/>
      <c r="J644" s="158"/>
      <c r="K644" s="484"/>
      <c r="L644" s="483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</row>
    <row r="645" spans="1:28" ht="15.75" customHeight="1">
      <c r="A645" s="158"/>
      <c r="B645" s="158"/>
      <c r="C645" s="158"/>
      <c r="D645" s="158"/>
      <c r="E645" s="158"/>
      <c r="F645" s="483"/>
      <c r="G645" s="158"/>
      <c r="H645" s="158"/>
      <c r="I645" s="158"/>
      <c r="J645" s="158"/>
      <c r="K645" s="484"/>
      <c r="L645" s="483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</row>
    <row r="646" spans="1:28" ht="15.75" customHeight="1">
      <c r="A646" s="158"/>
      <c r="B646" s="158"/>
      <c r="C646" s="158"/>
      <c r="D646" s="158"/>
      <c r="E646" s="158"/>
      <c r="F646" s="483"/>
      <c r="G646" s="158"/>
      <c r="H646" s="158"/>
      <c r="I646" s="158"/>
      <c r="J646" s="158"/>
      <c r="K646" s="484"/>
      <c r="L646" s="483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</row>
    <row r="647" spans="1:28" ht="15.75" customHeight="1">
      <c r="A647" s="158"/>
      <c r="B647" s="158"/>
      <c r="C647" s="158"/>
      <c r="D647" s="158"/>
      <c r="E647" s="158"/>
      <c r="F647" s="483"/>
      <c r="G647" s="158"/>
      <c r="H647" s="158"/>
      <c r="I647" s="158"/>
      <c r="J647" s="158"/>
      <c r="K647" s="484"/>
      <c r="L647" s="483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</row>
    <row r="648" spans="1:28" ht="15.75" customHeight="1">
      <c r="A648" s="158"/>
      <c r="B648" s="158"/>
      <c r="C648" s="158"/>
      <c r="D648" s="158"/>
      <c r="E648" s="158"/>
      <c r="F648" s="483"/>
      <c r="G648" s="158"/>
      <c r="H648" s="158"/>
      <c r="I648" s="158"/>
      <c r="J648" s="158"/>
      <c r="K648" s="484"/>
      <c r="L648" s="483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</row>
    <row r="649" spans="1:28" ht="15.75" customHeight="1">
      <c r="A649" s="158"/>
      <c r="B649" s="158"/>
      <c r="C649" s="158"/>
      <c r="D649" s="158"/>
      <c r="E649" s="158"/>
      <c r="F649" s="483"/>
      <c r="G649" s="158"/>
      <c r="H649" s="158"/>
      <c r="I649" s="158"/>
      <c r="J649" s="158"/>
      <c r="K649" s="484"/>
      <c r="L649" s="483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</row>
    <row r="650" spans="1:28" ht="15.75" customHeight="1">
      <c r="A650" s="158"/>
      <c r="B650" s="158"/>
      <c r="C650" s="158"/>
      <c r="D650" s="158"/>
      <c r="E650" s="158"/>
      <c r="F650" s="483"/>
      <c r="G650" s="158"/>
      <c r="H650" s="158"/>
      <c r="I650" s="158"/>
      <c r="J650" s="158"/>
      <c r="K650" s="484"/>
      <c r="L650" s="483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</row>
    <row r="651" spans="1:28" ht="15.75" customHeight="1">
      <c r="A651" s="158"/>
      <c r="B651" s="158"/>
      <c r="C651" s="158"/>
      <c r="D651" s="158"/>
      <c r="E651" s="158"/>
      <c r="F651" s="483"/>
      <c r="G651" s="158"/>
      <c r="H651" s="158"/>
      <c r="I651" s="158"/>
      <c r="J651" s="158"/>
      <c r="K651" s="484"/>
      <c r="L651" s="483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</row>
    <row r="652" spans="1:28" ht="15.75" customHeight="1">
      <c r="A652" s="158"/>
      <c r="B652" s="158"/>
      <c r="C652" s="158"/>
      <c r="D652" s="158"/>
      <c r="E652" s="158"/>
      <c r="F652" s="483"/>
      <c r="G652" s="158"/>
      <c r="H652" s="158"/>
      <c r="I652" s="158"/>
      <c r="J652" s="158"/>
      <c r="K652" s="484"/>
      <c r="L652" s="483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</row>
    <row r="653" spans="1:28" ht="15.75" customHeight="1">
      <c r="A653" s="158"/>
      <c r="B653" s="158"/>
      <c r="C653" s="158"/>
      <c r="D653" s="158"/>
      <c r="E653" s="158"/>
      <c r="F653" s="483"/>
      <c r="G653" s="158"/>
      <c r="H653" s="158"/>
      <c r="I653" s="158"/>
      <c r="J653" s="158"/>
      <c r="K653" s="484"/>
      <c r="L653" s="483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</row>
    <row r="654" spans="1:28" ht="15.75" customHeight="1">
      <c r="A654" s="158"/>
      <c r="B654" s="158"/>
      <c r="C654" s="158"/>
      <c r="D654" s="158"/>
      <c r="E654" s="158"/>
      <c r="F654" s="483"/>
      <c r="G654" s="158"/>
      <c r="H654" s="158"/>
      <c r="I654" s="158"/>
      <c r="J654" s="158"/>
      <c r="K654" s="484"/>
      <c r="L654" s="483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</row>
    <row r="655" spans="1:28" ht="15.75" customHeight="1">
      <c r="A655" s="158"/>
      <c r="B655" s="158"/>
      <c r="C655" s="158"/>
      <c r="D655" s="158"/>
      <c r="E655" s="158"/>
      <c r="F655" s="483"/>
      <c r="G655" s="158"/>
      <c r="H655" s="158"/>
      <c r="I655" s="158"/>
      <c r="J655" s="158"/>
      <c r="K655" s="484"/>
      <c r="L655" s="483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</row>
    <row r="656" spans="1:28" ht="15.75" customHeight="1">
      <c r="A656" s="158"/>
      <c r="B656" s="158"/>
      <c r="C656" s="158"/>
      <c r="D656" s="158"/>
      <c r="E656" s="158"/>
      <c r="F656" s="483"/>
      <c r="G656" s="158"/>
      <c r="H656" s="158"/>
      <c r="I656" s="158"/>
      <c r="J656" s="158"/>
      <c r="K656" s="484"/>
      <c r="L656" s="483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</row>
    <row r="657" spans="1:28" ht="15.75" customHeight="1">
      <c r="A657" s="158"/>
      <c r="B657" s="158"/>
      <c r="C657" s="158"/>
      <c r="D657" s="158"/>
      <c r="E657" s="158"/>
      <c r="F657" s="483"/>
      <c r="G657" s="158"/>
      <c r="H657" s="158"/>
      <c r="I657" s="158"/>
      <c r="J657" s="158"/>
      <c r="K657" s="484"/>
      <c r="L657" s="483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</row>
    <row r="658" spans="1:28" ht="15.75" customHeight="1">
      <c r="A658" s="158"/>
      <c r="B658" s="158"/>
      <c r="C658" s="158"/>
      <c r="D658" s="158"/>
      <c r="E658" s="158"/>
      <c r="F658" s="483"/>
      <c r="G658" s="158"/>
      <c r="H658" s="158"/>
      <c r="I658" s="158"/>
      <c r="J658" s="158"/>
      <c r="K658" s="484"/>
      <c r="L658" s="483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</row>
    <row r="659" spans="1:28" ht="15.75" customHeight="1">
      <c r="A659" s="158"/>
      <c r="B659" s="158"/>
      <c r="C659" s="158"/>
      <c r="D659" s="158"/>
      <c r="E659" s="158"/>
      <c r="F659" s="483"/>
      <c r="G659" s="158"/>
      <c r="H659" s="158"/>
      <c r="I659" s="158"/>
      <c r="J659" s="158"/>
      <c r="K659" s="484"/>
      <c r="L659" s="483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</row>
    <row r="660" spans="1:28" ht="15.75" customHeight="1">
      <c r="A660" s="158"/>
      <c r="B660" s="158"/>
      <c r="C660" s="158"/>
      <c r="D660" s="158"/>
      <c r="E660" s="158"/>
      <c r="F660" s="483"/>
      <c r="G660" s="158"/>
      <c r="H660" s="158"/>
      <c r="I660" s="158"/>
      <c r="J660" s="158"/>
      <c r="K660" s="484"/>
      <c r="L660" s="483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</row>
    <row r="661" spans="1:28" ht="15.75" customHeight="1">
      <c r="A661" s="158"/>
      <c r="B661" s="158"/>
      <c r="C661" s="158"/>
      <c r="D661" s="158"/>
      <c r="E661" s="158"/>
      <c r="F661" s="483"/>
      <c r="G661" s="158"/>
      <c r="H661" s="158"/>
      <c r="I661" s="158"/>
      <c r="J661" s="158"/>
      <c r="K661" s="484"/>
      <c r="L661" s="483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</row>
    <row r="662" spans="1:28" ht="15.75" customHeight="1">
      <c r="A662" s="158"/>
      <c r="B662" s="158"/>
      <c r="C662" s="158"/>
      <c r="D662" s="158"/>
      <c r="E662" s="158"/>
      <c r="F662" s="483"/>
      <c r="G662" s="158"/>
      <c r="H662" s="158"/>
      <c r="I662" s="158"/>
      <c r="J662" s="158"/>
      <c r="K662" s="484"/>
      <c r="L662" s="483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</row>
    <row r="663" spans="1:28" ht="15.75" customHeight="1">
      <c r="A663" s="158"/>
      <c r="B663" s="158"/>
      <c r="C663" s="158"/>
      <c r="D663" s="158"/>
      <c r="E663" s="158"/>
      <c r="F663" s="483"/>
      <c r="G663" s="158"/>
      <c r="H663" s="158"/>
      <c r="I663" s="158"/>
      <c r="J663" s="158"/>
      <c r="K663" s="484"/>
      <c r="L663" s="483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</row>
    <row r="664" spans="1:28" ht="15.75" customHeight="1">
      <c r="A664" s="158"/>
      <c r="B664" s="158"/>
      <c r="C664" s="158"/>
      <c r="D664" s="158"/>
      <c r="E664" s="158"/>
      <c r="F664" s="483"/>
      <c r="G664" s="158"/>
      <c r="H664" s="158"/>
      <c r="I664" s="158"/>
      <c r="J664" s="158"/>
      <c r="K664" s="484"/>
      <c r="L664" s="483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</row>
    <row r="665" spans="1:28" ht="15.75" customHeight="1">
      <c r="A665" s="158"/>
      <c r="B665" s="158"/>
      <c r="C665" s="158"/>
      <c r="D665" s="158"/>
      <c r="E665" s="158"/>
      <c r="F665" s="483"/>
      <c r="G665" s="158"/>
      <c r="H665" s="158"/>
      <c r="I665" s="158"/>
      <c r="J665" s="158"/>
      <c r="K665" s="484"/>
      <c r="L665" s="483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</row>
    <row r="666" spans="1:28" ht="15.75" customHeight="1">
      <c r="A666" s="158"/>
      <c r="B666" s="158"/>
      <c r="C666" s="158"/>
      <c r="D666" s="158"/>
      <c r="E666" s="158"/>
      <c r="F666" s="483"/>
      <c r="G666" s="158"/>
      <c r="H666" s="158"/>
      <c r="I666" s="158"/>
      <c r="J666" s="158"/>
      <c r="K666" s="484"/>
      <c r="L666" s="483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</row>
    <row r="667" spans="1:28" ht="15.75" customHeight="1">
      <c r="A667" s="158"/>
      <c r="B667" s="158"/>
      <c r="C667" s="158"/>
      <c r="D667" s="158"/>
      <c r="E667" s="158"/>
      <c r="F667" s="483"/>
      <c r="G667" s="158"/>
      <c r="H667" s="158"/>
      <c r="I667" s="158"/>
      <c r="J667" s="158"/>
      <c r="K667" s="484"/>
      <c r="L667" s="483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</row>
    <row r="668" spans="1:28" ht="15.75" customHeight="1">
      <c r="A668" s="158"/>
      <c r="B668" s="158"/>
      <c r="C668" s="158"/>
      <c r="D668" s="158"/>
      <c r="E668" s="158"/>
      <c r="F668" s="483"/>
      <c r="G668" s="158"/>
      <c r="H668" s="158"/>
      <c r="I668" s="158"/>
      <c r="J668" s="158"/>
      <c r="K668" s="484"/>
      <c r="L668" s="483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</row>
    <row r="669" spans="1:28" ht="15.75" customHeight="1">
      <c r="A669" s="158"/>
      <c r="B669" s="158"/>
      <c r="C669" s="158"/>
      <c r="D669" s="158"/>
      <c r="E669" s="158"/>
      <c r="F669" s="483"/>
      <c r="G669" s="158"/>
      <c r="H669" s="158"/>
      <c r="I669" s="158"/>
      <c r="J669" s="158"/>
      <c r="K669" s="484"/>
      <c r="L669" s="483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</row>
    <row r="670" spans="1:28" ht="15.75" customHeight="1">
      <c r="A670" s="158"/>
      <c r="B670" s="158"/>
      <c r="C670" s="158"/>
      <c r="D670" s="158"/>
      <c r="E670" s="158"/>
      <c r="F670" s="483"/>
      <c r="G670" s="158"/>
      <c r="H670" s="158"/>
      <c r="I670" s="158"/>
      <c r="J670" s="158"/>
      <c r="K670" s="484"/>
      <c r="L670" s="483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</row>
    <row r="671" spans="1:28" ht="15.75" customHeight="1">
      <c r="A671" s="158"/>
      <c r="B671" s="158"/>
      <c r="C671" s="158"/>
      <c r="D671" s="158"/>
      <c r="E671" s="158"/>
      <c r="F671" s="483"/>
      <c r="G671" s="158"/>
      <c r="H671" s="158"/>
      <c r="I671" s="158"/>
      <c r="J671" s="158"/>
      <c r="K671" s="484"/>
      <c r="L671" s="483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</row>
    <row r="672" spans="1:28" ht="15.75" customHeight="1">
      <c r="A672" s="158"/>
      <c r="B672" s="158"/>
      <c r="C672" s="158"/>
      <c r="D672" s="158"/>
      <c r="E672" s="158"/>
      <c r="F672" s="483"/>
      <c r="G672" s="158"/>
      <c r="H672" s="158"/>
      <c r="I672" s="158"/>
      <c r="J672" s="158"/>
      <c r="K672" s="484"/>
      <c r="L672" s="483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</row>
    <row r="673" spans="1:28" ht="15.75" customHeight="1">
      <c r="A673" s="158"/>
      <c r="B673" s="158"/>
      <c r="C673" s="158"/>
      <c r="D673" s="158"/>
      <c r="E673" s="158"/>
      <c r="F673" s="483"/>
      <c r="G673" s="158"/>
      <c r="H673" s="158"/>
      <c r="I673" s="158"/>
      <c r="J673" s="158"/>
      <c r="K673" s="484"/>
      <c r="L673" s="483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</row>
    <row r="674" spans="1:28" ht="15.75" customHeight="1">
      <c r="A674" s="158"/>
      <c r="B674" s="158"/>
      <c r="C674" s="158"/>
      <c r="D674" s="158"/>
      <c r="E674" s="158"/>
      <c r="F674" s="483"/>
      <c r="G674" s="158"/>
      <c r="H674" s="158"/>
      <c r="I674" s="158"/>
      <c r="J674" s="158"/>
      <c r="K674" s="484"/>
      <c r="L674" s="483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</row>
    <row r="675" spans="1:28" ht="15.75" customHeight="1">
      <c r="A675" s="158"/>
      <c r="B675" s="158"/>
      <c r="C675" s="158"/>
      <c r="D675" s="158"/>
      <c r="E675" s="158"/>
      <c r="F675" s="483"/>
      <c r="G675" s="158"/>
      <c r="H675" s="158"/>
      <c r="I675" s="158"/>
      <c r="J675" s="158"/>
      <c r="K675" s="484"/>
      <c r="L675" s="483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</row>
    <row r="676" spans="1:28" ht="15.75" customHeight="1">
      <c r="A676" s="158"/>
      <c r="B676" s="158"/>
      <c r="C676" s="158"/>
      <c r="D676" s="158"/>
      <c r="E676" s="158"/>
      <c r="F676" s="483"/>
      <c r="G676" s="158"/>
      <c r="H676" s="158"/>
      <c r="I676" s="158"/>
      <c r="J676" s="158"/>
      <c r="K676" s="484"/>
      <c r="L676" s="483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</row>
    <row r="677" spans="1:28" ht="15.75" customHeight="1">
      <c r="A677" s="158"/>
      <c r="B677" s="158"/>
      <c r="C677" s="158"/>
      <c r="D677" s="158"/>
      <c r="E677" s="158"/>
      <c r="F677" s="483"/>
      <c r="G677" s="158"/>
      <c r="H677" s="158"/>
      <c r="I677" s="158"/>
      <c r="J677" s="158"/>
      <c r="K677" s="484"/>
      <c r="L677" s="483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</row>
    <row r="678" spans="1:28" ht="15.75" customHeight="1">
      <c r="A678" s="158"/>
      <c r="B678" s="158"/>
      <c r="C678" s="158"/>
      <c r="D678" s="158"/>
      <c r="E678" s="158"/>
      <c r="F678" s="483"/>
      <c r="G678" s="158"/>
      <c r="H678" s="158"/>
      <c r="I678" s="158"/>
      <c r="J678" s="158"/>
      <c r="K678" s="484"/>
      <c r="L678" s="483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</row>
    <row r="679" spans="1:28" ht="15.75" customHeight="1">
      <c r="A679" s="158"/>
      <c r="B679" s="158"/>
      <c r="C679" s="158"/>
      <c r="D679" s="158"/>
      <c r="E679" s="158"/>
      <c r="F679" s="483"/>
      <c r="G679" s="158"/>
      <c r="H679" s="158"/>
      <c r="I679" s="158"/>
      <c r="J679" s="158"/>
      <c r="K679" s="484"/>
      <c r="L679" s="483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</row>
    <row r="680" spans="1:28" ht="15.75" customHeight="1">
      <c r="A680" s="158"/>
      <c r="B680" s="158"/>
      <c r="C680" s="158"/>
      <c r="D680" s="158"/>
      <c r="E680" s="158"/>
      <c r="F680" s="483"/>
      <c r="G680" s="158"/>
      <c r="H680" s="158"/>
      <c r="I680" s="158"/>
      <c r="J680" s="158"/>
      <c r="K680" s="484"/>
      <c r="L680" s="483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</row>
    <row r="681" spans="1:28" ht="15.75" customHeight="1">
      <c r="A681" s="158"/>
      <c r="B681" s="158"/>
      <c r="C681" s="158"/>
      <c r="D681" s="158"/>
      <c r="E681" s="158"/>
      <c r="F681" s="483"/>
      <c r="G681" s="158"/>
      <c r="H681" s="158"/>
      <c r="I681" s="158"/>
      <c r="J681" s="158"/>
      <c r="K681" s="484"/>
      <c r="L681" s="483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</row>
    <row r="682" spans="1:28" ht="15.75" customHeight="1">
      <c r="A682" s="158"/>
      <c r="B682" s="158"/>
      <c r="C682" s="158"/>
      <c r="D682" s="158"/>
      <c r="E682" s="158"/>
      <c r="F682" s="483"/>
      <c r="G682" s="158"/>
      <c r="H682" s="158"/>
      <c r="I682" s="158"/>
      <c r="J682" s="158"/>
      <c r="K682" s="484"/>
      <c r="L682" s="483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</row>
    <row r="683" spans="1:28" ht="15.75" customHeight="1">
      <c r="A683" s="158"/>
      <c r="B683" s="158"/>
      <c r="C683" s="158"/>
      <c r="D683" s="158"/>
      <c r="E683" s="158"/>
      <c r="F683" s="483"/>
      <c r="G683" s="158"/>
      <c r="H683" s="158"/>
      <c r="I683" s="158"/>
      <c r="J683" s="158"/>
      <c r="K683" s="484"/>
      <c r="L683" s="483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</row>
    <row r="684" spans="1:28" ht="15.75" customHeight="1">
      <c r="A684" s="158"/>
      <c r="B684" s="158"/>
      <c r="C684" s="158"/>
      <c r="D684" s="158"/>
      <c r="E684" s="158"/>
      <c r="F684" s="483"/>
      <c r="G684" s="158"/>
      <c r="H684" s="158"/>
      <c r="I684" s="158"/>
      <c r="J684" s="158"/>
      <c r="K684" s="484"/>
      <c r="L684" s="483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</row>
    <row r="685" spans="1:28" ht="15.75" customHeight="1">
      <c r="A685" s="158"/>
      <c r="B685" s="158"/>
      <c r="C685" s="158"/>
      <c r="D685" s="158"/>
      <c r="E685" s="158"/>
      <c r="F685" s="483"/>
      <c r="G685" s="158"/>
      <c r="H685" s="158"/>
      <c r="I685" s="158"/>
      <c r="J685" s="158"/>
      <c r="K685" s="484"/>
      <c r="L685" s="483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</row>
    <row r="686" spans="1:28" ht="15.75" customHeight="1">
      <c r="A686" s="158"/>
      <c r="B686" s="158"/>
      <c r="C686" s="158"/>
      <c r="D686" s="158"/>
      <c r="E686" s="158"/>
      <c r="F686" s="483"/>
      <c r="G686" s="158"/>
      <c r="H686" s="158"/>
      <c r="I686" s="158"/>
      <c r="J686" s="158"/>
      <c r="K686" s="484"/>
      <c r="L686" s="483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</row>
    <row r="687" spans="1:28" ht="15.75" customHeight="1">
      <c r="A687" s="158"/>
      <c r="B687" s="158"/>
      <c r="C687" s="158"/>
      <c r="D687" s="158"/>
      <c r="E687" s="158"/>
      <c r="F687" s="483"/>
      <c r="G687" s="158"/>
      <c r="H687" s="158"/>
      <c r="I687" s="158"/>
      <c r="J687" s="158"/>
      <c r="K687" s="484"/>
      <c r="L687" s="483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</row>
    <row r="688" spans="1:28" ht="15.75" customHeight="1">
      <c r="A688" s="158"/>
      <c r="B688" s="158"/>
      <c r="C688" s="158"/>
      <c r="D688" s="158"/>
      <c r="E688" s="158"/>
      <c r="F688" s="483"/>
      <c r="G688" s="158"/>
      <c r="H688" s="158"/>
      <c r="I688" s="158"/>
      <c r="J688" s="158"/>
      <c r="K688" s="484"/>
      <c r="L688" s="483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</row>
    <row r="689" spans="1:28" ht="15.75" customHeight="1">
      <c r="A689" s="158"/>
      <c r="B689" s="158"/>
      <c r="C689" s="158"/>
      <c r="D689" s="158"/>
      <c r="E689" s="158"/>
      <c r="F689" s="483"/>
      <c r="G689" s="158"/>
      <c r="H689" s="158"/>
      <c r="I689" s="158"/>
      <c r="J689" s="158"/>
      <c r="K689" s="484"/>
      <c r="L689" s="483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</row>
    <row r="690" spans="1:28" ht="15.75" customHeight="1">
      <c r="A690" s="158"/>
      <c r="B690" s="158"/>
      <c r="C690" s="158"/>
      <c r="D690" s="158"/>
      <c r="E690" s="158"/>
      <c r="F690" s="483"/>
      <c r="G690" s="158"/>
      <c r="H690" s="158"/>
      <c r="I690" s="158"/>
      <c r="J690" s="158"/>
      <c r="K690" s="484"/>
      <c r="L690" s="483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</row>
    <row r="691" spans="1:28" ht="15.75" customHeight="1">
      <c r="A691" s="158"/>
      <c r="B691" s="158"/>
      <c r="C691" s="158"/>
      <c r="D691" s="158"/>
      <c r="E691" s="158"/>
      <c r="F691" s="483"/>
      <c r="G691" s="158"/>
      <c r="H691" s="158"/>
      <c r="I691" s="158"/>
      <c r="J691" s="158"/>
      <c r="K691" s="484"/>
      <c r="L691" s="483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</row>
    <row r="692" spans="1:28" ht="15.75" customHeight="1">
      <c r="A692" s="158"/>
      <c r="B692" s="158"/>
      <c r="C692" s="158"/>
      <c r="D692" s="158"/>
      <c r="E692" s="158"/>
      <c r="F692" s="483"/>
      <c r="G692" s="158"/>
      <c r="H692" s="158"/>
      <c r="I692" s="158"/>
      <c r="J692" s="158"/>
      <c r="K692" s="484"/>
      <c r="L692" s="483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</row>
    <row r="693" spans="1:28" ht="15.75" customHeight="1">
      <c r="A693" s="158"/>
      <c r="B693" s="158"/>
      <c r="C693" s="158"/>
      <c r="D693" s="158"/>
      <c r="E693" s="158"/>
      <c r="F693" s="483"/>
      <c r="G693" s="158"/>
      <c r="H693" s="158"/>
      <c r="I693" s="158"/>
      <c r="J693" s="158"/>
      <c r="K693" s="484"/>
      <c r="L693" s="483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</row>
    <row r="694" spans="1:28" ht="15.75" customHeight="1">
      <c r="A694" s="158"/>
      <c r="B694" s="158"/>
      <c r="C694" s="158"/>
      <c r="D694" s="158"/>
      <c r="E694" s="158"/>
      <c r="F694" s="483"/>
      <c r="G694" s="158"/>
      <c r="H694" s="158"/>
      <c r="I694" s="158"/>
      <c r="J694" s="158"/>
      <c r="K694" s="484"/>
      <c r="L694" s="483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</row>
    <row r="695" spans="1:28" ht="15.75" customHeight="1">
      <c r="A695" s="158"/>
      <c r="B695" s="158"/>
      <c r="C695" s="158"/>
      <c r="D695" s="158"/>
      <c r="E695" s="158"/>
      <c r="F695" s="483"/>
      <c r="G695" s="158"/>
      <c r="H695" s="158"/>
      <c r="I695" s="158"/>
      <c r="J695" s="158"/>
      <c r="K695" s="484"/>
      <c r="L695" s="483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</row>
    <row r="696" spans="1:28" ht="15.75" customHeight="1">
      <c r="A696" s="158"/>
      <c r="B696" s="158"/>
      <c r="C696" s="158"/>
      <c r="D696" s="158"/>
      <c r="E696" s="158"/>
      <c r="F696" s="483"/>
      <c r="G696" s="158"/>
      <c r="H696" s="158"/>
      <c r="I696" s="158"/>
      <c r="J696" s="158"/>
      <c r="K696" s="484"/>
      <c r="L696" s="483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</row>
    <row r="697" spans="1:28" ht="15.75" customHeight="1">
      <c r="A697" s="158"/>
      <c r="B697" s="158"/>
      <c r="C697" s="158"/>
      <c r="D697" s="158"/>
      <c r="E697" s="158"/>
      <c r="F697" s="483"/>
      <c r="G697" s="158"/>
      <c r="H697" s="158"/>
      <c r="I697" s="158"/>
      <c r="J697" s="158"/>
      <c r="K697" s="484"/>
      <c r="L697" s="483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</row>
    <row r="698" spans="1:28" ht="15.75" customHeight="1">
      <c r="A698" s="158"/>
      <c r="B698" s="158"/>
      <c r="C698" s="158"/>
      <c r="D698" s="158"/>
      <c r="E698" s="158"/>
      <c r="F698" s="483"/>
      <c r="G698" s="158"/>
      <c r="H698" s="158"/>
      <c r="I698" s="158"/>
      <c r="J698" s="158"/>
      <c r="K698" s="484"/>
      <c r="L698" s="483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</row>
    <row r="699" spans="1:28" ht="15.75" customHeight="1">
      <c r="A699" s="158"/>
      <c r="B699" s="158"/>
      <c r="C699" s="158"/>
      <c r="D699" s="158"/>
      <c r="E699" s="158"/>
      <c r="F699" s="483"/>
      <c r="G699" s="158"/>
      <c r="H699" s="158"/>
      <c r="I699" s="158"/>
      <c r="J699" s="158"/>
      <c r="K699" s="484"/>
      <c r="L699" s="483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</row>
    <row r="700" spans="1:28" ht="15.75" customHeight="1">
      <c r="A700" s="158"/>
      <c r="B700" s="158"/>
      <c r="C700" s="158"/>
      <c r="D700" s="158"/>
      <c r="E700" s="158"/>
      <c r="F700" s="483"/>
      <c r="G700" s="158"/>
      <c r="H700" s="158"/>
      <c r="I700" s="158"/>
      <c r="J700" s="158"/>
      <c r="K700" s="484"/>
      <c r="L700" s="483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</row>
    <row r="701" spans="1:28" ht="15.75" customHeight="1">
      <c r="A701" s="158"/>
      <c r="B701" s="158"/>
      <c r="C701" s="158"/>
      <c r="D701" s="158"/>
      <c r="E701" s="158"/>
      <c r="F701" s="483"/>
      <c r="G701" s="158"/>
      <c r="H701" s="158"/>
      <c r="I701" s="158"/>
      <c r="J701" s="158"/>
      <c r="K701" s="484"/>
      <c r="L701" s="483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</row>
    <row r="702" spans="1:28" ht="15.75" customHeight="1">
      <c r="A702" s="158"/>
      <c r="B702" s="158"/>
      <c r="C702" s="158"/>
      <c r="D702" s="158"/>
      <c r="E702" s="158"/>
      <c r="F702" s="483"/>
      <c r="G702" s="158"/>
      <c r="H702" s="158"/>
      <c r="I702" s="158"/>
      <c r="J702" s="158"/>
      <c r="K702" s="484"/>
      <c r="L702" s="483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</row>
    <row r="703" spans="1:28" ht="15.75" customHeight="1">
      <c r="A703" s="158"/>
      <c r="B703" s="158"/>
      <c r="C703" s="158"/>
      <c r="D703" s="158"/>
      <c r="E703" s="158"/>
      <c r="F703" s="483"/>
      <c r="G703" s="158"/>
      <c r="H703" s="158"/>
      <c r="I703" s="158"/>
      <c r="J703" s="158"/>
      <c r="K703" s="484"/>
      <c r="L703" s="483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</row>
    <row r="704" spans="1:28" ht="15.75" customHeight="1">
      <c r="A704" s="158"/>
      <c r="B704" s="158"/>
      <c r="C704" s="158"/>
      <c r="D704" s="158"/>
      <c r="E704" s="158"/>
      <c r="F704" s="483"/>
      <c r="G704" s="158"/>
      <c r="H704" s="158"/>
      <c r="I704" s="158"/>
      <c r="J704" s="158"/>
      <c r="K704" s="484"/>
      <c r="L704" s="483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</row>
    <row r="705" spans="1:28" ht="15.75" customHeight="1">
      <c r="A705" s="158"/>
      <c r="B705" s="158"/>
      <c r="C705" s="158"/>
      <c r="D705" s="158"/>
      <c r="E705" s="158"/>
      <c r="F705" s="483"/>
      <c r="G705" s="158"/>
      <c r="H705" s="158"/>
      <c r="I705" s="158"/>
      <c r="J705" s="158"/>
      <c r="K705" s="484"/>
      <c r="L705" s="483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</row>
    <row r="706" spans="1:28" ht="15.75" customHeight="1">
      <c r="A706" s="158"/>
      <c r="B706" s="158"/>
      <c r="C706" s="158"/>
      <c r="D706" s="158"/>
      <c r="E706" s="158"/>
      <c r="F706" s="483"/>
      <c r="G706" s="158"/>
      <c r="H706" s="158"/>
      <c r="I706" s="158"/>
      <c r="J706" s="158"/>
      <c r="K706" s="484"/>
      <c r="L706" s="483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</row>
    <row r="707" spans="1:28" ht="15.75" customHeight="1">
      <c r="A707" s="158"/>
      <c r="B707" s="158"/>
      <c r="C707" s="158"/>
      <c r="D707" s="158"/>
      <c r="E707" s="158"/>
      <c r="F707" s="483"/>
      <c r="G707" s="158"/>
      <c r="H707" s="158"/>
      <c r="I707" s="158"/>
      <c r="J707" s="158"/>
      <c r="K707" s="484"/>
      <c r="L707" s="483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</row>
    <row r="708" spans="1:28" ht="15.75" customHeight="1">
      <c r="A708" s="158"/>
      <c r="B708" s="158"/>
      <c r="C708" s="158"/>
      <c r="D708" s="158"/>
      <c r="E708" s="158"/>
      <c r="F708" s="483"/>
      <c r="G708" s="158"/>
      <c r="H708" s="158"/>
      <c r="I708" s="158"/>
      <c r="J708" s="158"/>
      <c r="K708" s="484"/>
      <c r="L708" s="483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</row>
    <row r="709" spans="1:28" ht="15.75" customHeight="1">
      <c r="A709" s="158"/>
      <c r="B709" s="158"/>
      <c r="C709" s="158"/>
      <c r="D709" s="158"/>
      <c r="E709" s="158"/>
      <c r="F709" s="483"/>
      <c r="G709" s="158"/>
      <c r="H709" s="158"/>
      <c r="I709" s="158"/>
      <c r="J709" s="158"/>
      <c r="K709" s="484"/>
      <c r="L709" s="483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</row>
    <row r="710" spans="1:28" ht="15.75" customHeight="1">
      <c r="A710" s="158"/>
      <c r="B710" s="158"/>
      <c r="C710" s="158"/>
      <c r="D710" s="158"/>
      <c r="E710" s="158"/>
      <c r="F710" s="483"/>
      <c r="G710" s="158"/>
      <c r="H710" s="158"/>
      <c r="I710" s="158"/>
      <c r="J710" s="158"/>
      <c r="K710" s="484"/>
      <c r="L710" s="483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</row>
    <row r="711" spans="1:28" ht="15.75" customHeight="1">
      <c r="A711" s="158"/>
      <c r="B711" s="158"/>
      <c r="C711" s="158"/>
      <c r="D711" s="158"/>
      <c r="E711" s="158"/>
      <c r="F711" s="483"/>
      <c r="G711" s="158"/>
      <c r="H711" s="158"/>
      <c r="I711" s="158"/>
      <c r="J711" s="158"/>
      <c r="K711" s="484"/>
      <c r="L711" s="483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</row>
    <row r="712" spans="1:28" ht="15.75" customHeight="1">
      <c r="A712" s="158"/>
      <c r="B712" s="158"/>
      <c r="C712" s="158"/>
      <c r="D712" s="158"/>
      <c r="E712" s="158"/>
      <c r="F712" s="483"/>
      <c r="G712" s="158"/>
      <c r="H712" s="158"/>
      <c r="I712" s="158"/>
      <c r="J712" s="158"/>
      <c r="K712" s="484"/>
      <c r="L712" s="483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</row>
    <row r="713" spans="1:28" ht="15.75" customHeight="1">
      <c r="A713" s="158"/>
      <c r="B713" s="158"/>
      <c r="C713" s="158"/>
      <c r="D713" s="158"/>
      <c r="E713" s="158"/>
      <c r="F713" s="483"/>
      <c r="G713" s="158"/>
      <c r="H713" s="158"/>
      <c r="I713" s="158"/>
      <c r="J713" s="158"/>
      <c r="K713" s="484"/>
      <c r="L713" s="483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</row>
    <row r="714" spans="1:28" ht="15.75" customHeight="1">
      <c r="A714" s="158"/>
      <c r="B714" s="158"/>
      <c r="C714" s="158"/>
      <c r="D714" s="158"/>
      <c r="E714" s="158"/>
      <c r="F714" s="483"/>
      <c r="G714" s="158"/>
      <c r="H714" s="158"/>
      <c r="I714" s="158"/>
      <c r="J714" s="158"/>
      <c r="K714" s="484"/>
      <c r="L714" s="483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</row>
    <row r="715" spans="1:28" ht="15.75" customHeight="1">
      <c r="A715" s="158"/>
      <c r="B715" s="158"/>
      <c r="C715" s="158"/>
      <c r="D715" s="158"/>
      <c r="E715" s="158"/>
      <c r="F715" s="483"/>
      <c r="G715" s="158"/>
      <c r="H715" s="158"/>
      <c r="I715" s="158"/>
      <c r="J715" s="158"/>
      <c r="K715" s="484"/>
      <c r="L715" s="483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</row>
    <row r="716" spans="1:28" ht="15.75" customHeight="1">
      <c r="A716" s="158"/>
      <c r="B716" s="158"/>
      <c r="C716" s="158"/>
      <c r="D716" s="158"/>
      <c r="E716" s="158"/>
      <c r="F716" s="483"/>
      <c r="G716" s="158"/>
      <c r="H716" s="158"/>
      <c r="I716" s="158"/>
      <c r="J716" s="158"/>
      <c r="K716" s="484"/>
      <c r="L716" s="483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</row>
    <row r="717" spans="1:28" ht="15.75" customHeight="1">
      <c r="A717" s="158"/>
      <c r="B717" s="158"/>
      <c r="C717" s="158"/>
      <c r="D717" s="158"/>
      <c r="E717" s="158"/>
      <c r="F717" s="483"/>
      <c r="G717" s="158"/>
      <c r="H717" s="158"/>
      <c r="I717" s="158"/>
      <c r="J717" s="158"/>
      <c r="K717" s="484"/>
      <c r="L717" s="483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</row>
    <row r="718" spans="1:28" ht="15.75" customHeight="1">
      <c r="A718" s="158"/>
      <c r="B718" s="158"/>
      <c r="C718" s="158"/>
      <c r="D718" s="158"/>
      <c r="E718" s="158"/>
      <c r="F718" s="483"/>
      <c r="G718" s="158"/>
      <c r="H718" s="158"/>
      <c r="I718" s="158"/>
      <c r="J718" s="158"/>
      <c r="K718" s="484"/>
      <c r="L718" s="483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</row>
    <row r="719" spans="1:28" ht="15.75" customHeight="1">
      <c r="A719" s="158"/>
      <c r="B719" s="158"/>
      <c r="C719" s="158"/>
      <c r="D719" s="158"/>
      <c r="E719" s="158"/>
      <c r="F719" s="483"/>
      <c r="G719" s="158"/>
      <c r="H719" s="158"/>
      <c r="I719" s="158"/>
      <c r="J719" s="158"/>
      <c r="K719" s="484"/>
      <c r="L719" s="483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</row>
    <row r="720" spans="1:28" ht="15.75" customHeight="1">
      <c r="A720" s="158"/>
      <c r="B720" s="158"/>
      <c r="C720" s="158"/>
      <c r="D720" s="158"/>
      <c r="E720" s="158"/>
      <c r="F720" s="483"/>
      <c r="G720" s="158"/>
      <c r="H720" s="158"/>
      <c r="I720" s="158"/>
      <c r="J720" s="158"/>
      <c r="K720" s="484"/>
      <c r="L720" s="483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</row>
    <row r="721" spans="1:28" ht="15.75" customHeight="1">
      <c r="A721" s="158"/>
      <c r="B721" s="158"/>
      <c r="C721" s="158"/>
      <c r="D721" s="158"/>
      <c r="E721" s="158"/>
      <c r="F721" s="483"/>
      <c r="G721" s="158"/>
      <c r="H721" s="158"/>
      <c r="I721" s="158"/>
      <c r="J721" s="158"/>
      <c r="K721" s="484"/>
      <c r="L721" s="483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</row>
    <row r="722" spans="1:28" ht="15.75" customHeight="1">
      <c r="A722" s="158"/>
      <c r="B722" s="158"/>
      <c r="C722" s="158"/>
      <c r="D722" s="158"/>
      <c r="E722" s="158"/>
      <c r="F722" s="483"/>
      <c r="G722" s="158"/>
      <c r="H722" s="158"/>
      <c r="I722" s="158"/>
      <c r="J722" s="158"/>
      <c r="K722" s="484"/>
      <c r="L722" s="483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</row>
    <row r="723" spans="1:28" ht="15.75" customHeight="1">
      <c r="A723" s="158"/>
      <c r="B723" s="158"/>
      <c r="C723" s="158"/>
      <c r="D723" s="158"/>
      <c r="E723" s="158"/>
      <c r="F723" s="483"/>
      <c r="G723" s="158"/>
      <c r="H723" s="158"/>
      <c r="I723" s="158"/>
      <c r="J723" s="158"/>
      <c r="K723" s="484"/>
      <c r="L723" s="483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</row>
    <row r="724" spans="1:28" ht="15.75" customHeight="1">
      <c r="A724" s="158"/>
      <c r="B724" s="158"/>
      <c r="C724" s="158"/>
      <c r="D724" s="158"/>
      <c r="E724" s="158"/>
      <c r="F724" s="483"/>
      <c r="G724" s="158"/>
      <c r="H724" s="158"/>
      <c r="I724" s="158"/>
      <c r="J724" s="158"/>
      <c r="K724" s="484"/>
      <c r="L724" s="483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</row>
    <row r="725" spans="1:28" ht="15.75" customHeight="1">
      <c r="A725" s="158"/>
      <c r="B725" s="158"/>
      <c r="C725" s="158"/>
      <c r="D725" s="158"/>
      <c r="E725" s="158"/>
      <c r="F725" s="483"/>
      <c r="G725" s="158"/>
      <c r="H725" s="158"/>
      <c r="I725" s="158"/>
      <c r="J725" s="158"/>
      <c r="K725" s="484"/>
      <c r="L725" s="483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</row>
    <row r="726" spans="1:28" ht="15.75" customHeight="1">
      <c r="A726" s="158"/>
      <c r="B726" s="158"/>
      <c r="C726" s="158"/>
      <c r="D726" s="158"/>
      <c r="E726" s="158"/>
      <c r="F726" s="483"/>
      <c r="G726" s="158"/>
      <c r="H726" s="158"/>
      <c r="I726" s="158"/>
      <c r="J726" s="158"/>
      <c r="K726" s="484"/>
      <c r="L726" s="483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</row>
    <row r="727" spans="1:28" ht="15.75" customHeight="1">
      <c r="A727" s="158"/>
      <c r="B727" s="158"/>
      <c r="C727" s="158"/>
      <c r="D727" s="158"/>
      <c r="E727" s="158"/>
      <c r="F727" s="483"/>
      <c r="G727" s="158"/>
      <c r="H727" s="158"/>
      <c r="I727" s="158"/>
      <c r="J727" s="158"/>
      <c r="K727" s="484"/>
      <c r="L727" s="483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</row>
    <row r="728" spans="1:28" ht="15.75" customHeight="1">
      <c r="A728" s="158"/>
      <c r="B728" s="158"/>
      <c r="C728" s="158"/>
      <c r="D728" s="158"/>
      <c r="E728" s="158"/>
      <c r="F728" s="483"/>
      <c r="G728" s="158"/>
      <c r="H728" s="158"/>
      <c r="I728" s="158"/>
      <c r="J728" s="158"/>
      <c r="K728" s="484"/>
      <c r="L728" s="483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</row>
    <row r="729" spans="1:28" ht="15.75" customHeight="1">
      <c r="A729" s="158"/>
      <c r="B729" s="158"/>
      <c r="C729" s="158"/>
      <c r="D729" s="158"/>
      <c r="E729" s="158"/>
      <c r="F729" s="483"/>
      <c r="G729" s="158"/>
      <c r="H729" s="158"/>
      <c r="I729" s="158"/>
      <c r="J729" s="158"/>
      <c r="K729" s="484"/>
      <c r="L729" s="483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</row>
    <row r="730" spans="1:28" ht="15.75" customHeight="1">
      <c r="A730" s="158"/>
      <c r="B730" s="158"/>
      <c r="C730" s="158"/>
      <c r="D730" s="158"/>
      <c r="E730" s="158"/>
      <c r="F730" s="483"/>
      <c r="G730" s="158"/>
      <c r="H730" s="158"/>
      <c r="I730" s="158"/>
      <c r="J730" s="158"/>
      <c r="K730" s="484"/>
      <c r="L730" s="483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</row>
    <row r="731" spans="1:28" ht="15.75" customHeight="1">
      <c r="A731" s="158"/>
      <c r="B731" s="158"/>
      <c r="C731" s="158"/>
      <c r="D731" s="158"/>
      <c r="E731" s="158"/>
      <c r="F731" s="483"/>
      <c r="G731" s="158"/>
      <c r="H731" s="158"/>
      <c r="I731" s="158"/>
      <c r="J731" s="158"/>
      <c r="K731" s="484"/>
      <c r="L731" s="483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</row>
    <row r="732" spans="1:28" ht="15.75" customHeight="1">
      <c r="A732" s="158"/>
      <c r="B732" s="158"/>
      <c r="C732" s="158"/>
      <c r="D732" s="158"/>
      <c r="E732" s="158"/>
      <c r="F732" s="483"/>
      <c r="G732" s="158"/>
      <c r="H732" s="158"/>
      <c r="I732" s="158"/>
      <c r="J732" s="158"/>
      <c r="K732" s="484"/>
      <c r="L732" s="483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</row>
    <row r="733" spans="1:28" ht="15.75" customHeight="1">
      <c r="A733" s="158"/>
      <c r="B733" s="158"/>
      <c r="C733" s="158"/>
      <c r="D733" s="158"/>
      <c r="E733" s="158"/>
      <c r="F733" s="483"/>
      <c r="G733" s="158"/>
      <c r="H733" s="158"/>
      <c r="I733" s="158"/>
      <c r="J733" s="158"/>
      <c r="K733" s="484"/>
      <c r="L733" s="483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</row>
    <row r="734" spans="1:28" ht="15.75" customHeight="1">
      <c r="A734" s="158"/>
      <c r="B734" s="158"/>
      <c r="C734" s="158"/>
      <c r="D734" s="158"/>
      <c r="E734" s="158"/>
      <c r="F734" s="483"/>
      <c r="G734" s="158"/>
      <c r="H734" s="158"/>
      <c r="I734" s="158"/>
      <c r="J734" s="158"/>
      <c r="K734" s="484"/>
      <c r="L734" s="483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</row>
    <row r="735" spans="1:28" ht="15.75" customHeight="1">
      <c r="A735" s="158"/>
      <c r="B735" s="158"/>
      <c r="C735" s="158"/>
      <c r="D735" s="158"/>
      <c r="E735" s="158"/>
      <c r="F735" s="483"/>
      <c r="G735" s="158"/>
      <c r="H735" s="158"/>
      <c r="I735" s="158"/>
      <c r="J735" s="158"/>
      <c r="K735" s="484"/>
      <c r="L735" s="483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</row>
    <row r="736" spans="1:28" ht="15.75" customHeight="1">
      <c r="A736" s="158"/>
      <c r="B736" s="158"/>
      <c r="C736" s="158"/>
      <c r="D736" s="158"/>
      <c r="E736" s="158"/>
      <c r="F736" s="483"/>
      <c r="G736" s="158"/>
      <c r="H736" s="158"/>
      <c r="I736" s="158"/>
      <c r="J736" s="158"/>
      <c r="K736" s="484"/>
      <c r="L736" s="483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</row>
    <row r="737" spans="1:28" ht="15.75" customHeight="1">
      <c r="A737" s="158"/>
      <c r="B737" s="158"/>
      <c r="C737" s="158"/>
      <c r="D737" s="158"/>
      <c r="E737" s="158"/>
      <c r="F737" s="483"/>
      <c r="G737" s="158"/>
      <c r="H737" s="158"/>
      <c r="I737" s="158"/>
      <c r="J737" s="158"/>
      <c r="K737" s="484"/>
      <c r="L737" s="483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</row>
    <row r="738" spans="1:28" ht="15.75" customHeight="1">
      <c r="A738" s="158"/>
      <c r="B738" s="158"/>
      <c r="C738" s="158"/>
      <c r="D738" s="158"/>
      <c r="E738" s="158"/>
      <c r="F738" s="483"/>
      <c r="G738" s="158"/>
      <c r="H738" s="158"/>
      <c r="I738" s="158"/>
      <c r="J738" s="158"/>
      <c r="K738" s="484"/>
      <c r="L738" s="483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</row>
    <row r="739" spans="1:28" ht="15.75" customHeight="1">
      <c r="A739" s="158"/>
      <c r="B739" s="158"/>
      <c r="C739" s="158"/>
      <c r="D739" s="158"/>
      <c r="E739" s="158"/>
      <c r="F739" s="483"/>
      <c r="G739" s="158"/>
      <c r="H739" s="158"/>
      <c r="I739" s="158"/>
      <c r="J739" s="158"/>
      <c r="K739" s="484"/>
      <c r="L739" s="483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</row>
    <row r="740" spans="1:28" ht="15.75" customHeight="1">
      <c r="A740" s="158"/>
      <c r="B740" s="158"/>
      <c r="C740" s="158"/>
      <c r="D740" s="158"/>
      <c r="E740" s="158"/>
      <c r="F740" s="483"/>
      <c r="G740" s="158"/>
      <c r="H740" s="158"/>
      <c r="I740" s="158"/>
      <c r="J740" s="158"/>
      <c r="K740" s="484"/>
      <c r="L740" s="483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</row>
    <row r="741" spans="1:28" ht="15.75" customHeight="1">
      <c r="A741" s="158"/>
      <c r="B741" s="158"/>
      <c r="C741" s="158"/>
      <c r="D741" s="158"/>
      <c r="E741" s="158"/>
      <c r="F741" s="483"/>
      <c r="G741" s="158"/>
      <c r="H741" s="158"/>
      <c r="I741" s="158"/>
      <c r="J741" s="158"/>
      <c r="K741" s="484"/>
      <c r="L741" s="483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</row>
    <row r="742" spans="1:28" ht="15.75" customHeight="1">
      <c r="A742" s="158"/>
      <c r="B742" s="158"/>
      <c r="C742" s="158"/>
      <c r="D742" s="158"/>
      <c r="E742" s="158"/>
      <c r="F742" s="483"/>
      <c r="G742" s="158"/>
      <c r="H742" s="158"/>
      <c r="I742" s="158"/>
      <c r="J742" s="158"/>
      <c r="K742" s="484"/>
      <c r="L742" s="483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</row>
    <row r="743" spans="1:28" ht="15.75" customHeight="1">
      <c r="A743" s="158"/>
      <c r="B743" s="158"/>
      <c r="C743" s="158"/>
      <c r="D743" s="158"/>
      <c r="E743" s="158"/>
      <c r="F743" s="483"/>
      <c r="G743" s="158"/>
      <c r="H743" s="158"/>
      <c r="I743" s="158"/>
      <c r="J743" s="158"/>
      <c r="K743" s="484"/>
      <c r="L743" s="483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</row>
    <row r="744" spans="1:28" ht="15.75" customHeight="1">
      <c r="A744" s="158"/>
      <c r="B744" s="158"/>
      <c r="C744" s="158"/>
      <c r="D744" s="158"/>
      <c r="E744" s="158"/>
      <c r="F744" s="483"/>
      <c r="G744" s="158"/>
      <c r="H744" s="158"/>
      <c r="I744" s="158"/>
      <c r="J744" s="158"/>
      <c r="K744" s="484"/>
      <c r="L744" s="483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</row>
    <row r="745" spans="1:28" ht="15.75" customHeight="1">
      <c r="A745" s="158"/>
      <c r="B745" s="158"/>
      <c r="C745" s="158"/>
      <c r="D745" s="158"/>
      <c r="E745" s="158"/>
      <c r="F745" s="483"/>
      <c r="G745" s="158"/>
      <c r="H745" s="158"/>
      <c r="I745" s="158"/>
      <c r="J745" s="158"/>
      <c r="K745" s="484"/>
      <c r="L745" s="483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</row>
    <row r="746" spans="1:28" ht="15.75" customHeight="1">
      <c r="A746" s="158"/>
      <c r="B746" s="158"/>
      <c r="C746" s="158"/>
      <c r="D746" s="158"/>
      <c r="E746" s="158"/>
      <c r="F746" s="483"/>
      <c r="G746" s="158"/>
      <c r="H746" s="158"/>
      <c r="I746" s="158"/>
      <c r="J746" s="158"/>
      <c r="K746" s="484"/>
      <c r="L746" s="483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</row>
    <row r="747" spans="1:28" ht="15.75" customHeight="1">
      <c r="A747" s="158"/>
      <c r="B747" s="158"/>
      <c r="C747" s="158"/>
      <c r="D747" s="158"/>
      <c r="E747" s="158"/>
      <c r="F747" s="483"/>
      <c r="G747" s="158"/>
      <c r="H747" s="158"/>
      <c r="I747" s="158"/>
      <c r="J747" s="158"/>
      <c r="K747" s="484"/>
      <c r="L747" s="483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</row>
    <row r="748" spans="1:28" ht="15.75" customHeight="1">
      <c r="A748" s="158"/>
      <c r="B748" s="158"/>
      <c r="C748" s="158"/>
      <c r="D748" s="158"/>
      <c r="E748" s="158"/>
      <c r="F748" s="483"/>
      <c r="G748" s="158"/>
      <c r="H748" s="158"/>
      <c r="I748" s="158"/>
      <c r="J748" s="158"/>
      <c r="K748" s="484"/>
      <c r="L748" s="483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</row>
    <row r="749" spans="1:28" ht="15.75" customHeight="1">
      <c r="A749" s="158"/>
      <c r="B749" s="158"/>
      <c r="C749" s="158"/>
      <c r="D749" s="158"/>
      <c r="E749" s="158"/>
      <c r="F749" s="483"/>
      <c r="G749" s="158"/>
      <c r="H749" s="158"/>
      <c r="I749" s="158"/>
      <c r="J749" s="158"/>
      <c r="K749" s="484"/>
      <c r="L749" s="483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</row>
    <row r="750" spans="1:28" ht="15.75" customHeight="1">
      <c r="A750" s="158"/>
      <c r="B750" s="158"/>
      <c r="C750" s="158"/>
      <c r="D750" s="158"/>
      <c r="E750" s="158"/>
      <c r="F750" s="483"/>
      <c r="G750" s="158"/>
      <c r="H750" s="158"/>
      <c r="I750" s="158"/>
      <c r="J750" s="158"/>
      <c r="K750" s="484"/>
      <c r="L750" s="483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</row>
    <row r="751" spans="1:28" ht="15.75" customHeight="1">
      <c r="A751" s="158"/>
      <c r="B751" s="158"/>
      <c r="C751" s="158"/>
      <c r="D751" s="158"/>
      <c r="E751" s="158"/>
      <c r="F751" s="483"/>
      <c r="G751" s="158"/>
      <c r="H751" s="158"/>
      <c r="I751" s="158"/>
      <c r="J751" s="158"/>
      <c r="K751" s="484"/>
      <c r="L751" s="483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</row>
    <row r="752" spans="1:28" ht="15.75" customHeight="1">
      <c r="A752" s="158"/>
      <c r="B752" s="158"/>
      <c r="C752" s="158"/>
      <c r="D752" s="158"/>
      <c r="E752" s="158"/>
      <c r="F752" s="483"/>
      <c r="G752" s="158"/>
      <c r="H752" s="158"/>
      <c r="I752" s="158"/>
      <c r="J752" s="158"/>
      <c r="K752" s="484"/>
      <c r="L752" s="483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</row>
    <row r="753" spans="1:28" ht="15.75" customHeight="1">
      <c r="A753" s="158"/>
      <c r="B753" s="158"/>
      <c r="C753" s="158"/>
      <c r="D753" s="158"/>
      <c r="E753" s="158"/>
      <c r="F753" s="483"/>
      <c r="G753" s="158"/>
      <c r="H753" s="158"/>
      <c r="I753" s="158"/>
      <c r="J753" s="158"/>
      <c r="K753" s="484"/>
      <c r="L753" s="483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</row>
    <row r="754" spans="1:28" ht="15.75" customHeight="1">
      <c r="A754" s="158"/>
      <c r="B754" s="158"/>
      <c r="C754" s="158"/>
      <c r="D754" s="158"/>
      <c r="E754" s="158"/>
      <c r="F754" s="483"/>
      <c r="G754" s="158"/>
      <c r="H754" s="158"/>
      <c r="I754" s="158"/>
      <c r="J754" s="158"/>
      <c r="K754" s="484"/>
      <c r="L754" s="483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</row>
    <row r="755" spans="1:28" ht="15.75" customHeight="1">
      <c r="A755" s="158"/>
      <c r="B755" s="158"/>
      <c r="C755" s="158"/>
      <c r="D755" s="158"/>
      <c r="E755" s="158"/>
      <c r="F755" s="483"/>
      <c r="G755" s="158"/>
      <c r="H755" s="158"/>
      <c r="I755" s="158"/>
      <c r="J755" s="158"/>
      <c r="K755" s="484"/>
      <c r="L755" s="483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</row>
    <row r="756" spans="1:28" ht="15.75" customHeight="1">
      <c r="A756" s="158"/>
      <c r="B756" s="158"/>
      <c r="C756" s="158"/>
      <c r="D756" s="158"/>
      <c r="E756" s="158"/>
      <c r="F756" s="483"/>
      <c r="G756" s="158"/>
      <c r="H756" s="158"/>
      <c r="I756" s="158"/>
      <c r="J756" s="158"/>
      <c r="K756" s="484"/>
      <c r="L756" s="483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</row>
    <row r="757" spans="1:28" ht="15.75" customHeight="1">
      <c r="A757" s="158"/>
      <c r="B757" s="158"/>
      <c r="C757" s="158"/>
      <c r="D757" s="158"/>
      <c r="E757" s="158"/>
      <c r="F757" s="483"/>
      <c r="G757" s="158"/>
      <c r="H757" s="158"/>
      <c r="I757" s="158"/>
      <c r="J757" s="158"/>
      <c r="K757" s="484"/>
      <c r="L757" s="483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</row>
    <row r="758" spans="1:28" ht="15.75" customHeight="1">
      <c r="A758" s="158"/>
      <c r="B758" s="158"/>
      <c r="C758" s="158"/>
      <c r="D758" s="158"/>
      <c r="E758" s="158"/>
      <c r="F758" s="483"/>
      <c r="G758" s="158"/>
      <c r="H758" s="158"/>
      <c r="I758" s="158"/>
      <c r="J758" s="158"/>
      <c r="K758" s="484"/>
      <c r="L758" s="483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</row>
    <row r="759" spans="1:28" ht="15.75" customHeight="1">
      <c r="A759" s="158"/>
      <c r="B759" s="158"/>
      <c r="C759" s="158"/>
      <c r="D759" s="158"/>
      <c r="E759" s="158"/>
      <c r="F759" s="483"/>
      <c r="G759" s="158"/>
      <c r="H759" s="158"/>
      <c r="I759" s="158"/>
      <c r="J759" s="158"/>
      <c r="K759" s="484"/>
      <c r="L759" s="483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</row>
    <row r="760" spans="1:28" ht="15.75" customHeight="1">
      <c r="A760" s="158"/>
      <c r="B760" s="158"/>
      <c r="C760" s="158"/>
      <c r="D760" s="158"/>
      <c r="E760" s="158"/>
      <c r="F760" s="483"/>
      <c r="G760" s="158"/>
      <c r="H760" s="158"/>
      <c r="I760" s="158"/>
      <c r="J760" s="158"/>
      <c r="K760" s="484"/>
      <c r="L760" s="483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</row>
    <row r="761" spans="1:28" ht="15.75" customHeight="1">
      <c r="A761" s="158"/>
      <c r="B761" s="158"/>
      <c r="C761" s="158"/>
      <c r="D761" s="158"/>
      <c r="E761" s="158"/>
      <c r="F761" s="483"/>
      <c r="G761" s="158"/>
      <c r="H761" s="158"/>
      <c r="I761" s="158"/>
      <c r="J761" s="158"/>
      <c r="K761" s="484"/>
      <c r="L761" s="483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</row>
    <row r="762" spans="1:28" ht="15.75" customHeight="1">
      <c r="A762" s="158"/>
      <c r="B762" s="158"/>
      <c r="C762" s="158"/>
      <c r="D762" s="158"/>
      <c r="E762" s="158"/>
      <c r="F762" s="483"/>
      <c r="G762" s="158"/>
      <c r="H762" s="158"/>
      <c r="I762" s="158"/>
      <c r="J762" s="158"/>
      <c r="K762" s="484"/>
      <c r="L762" s="483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</row>
    <row r="763" spans="1:28" ht="15.75" customHeight="1">
      <c r="A763" s="158"/>
      <c r="B763" s="158"/>
      <c r="C763" s="158"/>
      <c r="D763" s="158"/>
      <c r="E763" s="158"/>
      <c r="F763" s="483"/>
      <c r="G763" s="158"/>
      <c r="H763" s="158"/>
      <c r="I763" s="158"/>
      <c r="J763" s="158"/>
      <c r="K763" s="484"/>
      <c r="L763" s="483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</row>
    <row r="764" spans="1:28" ht="15.75" customHeight="1">
      <c r="A764" s="158"/>
      <c r="B764" s="158"/>
      <c r="C764" s="158"/>
      <c r="D764" s="158"/>
      <c r="E764" s="158"/>
      <c r="F764" s="483"/>
      <c r="G764" s="158"/>
      <c r="H764" s="158"/>
      <c r="I764" s="158"/>
      <c r="J764" s="158"/>
      <c r="K764" s="484"/>
      <c r="L764" s="483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</row>
    <row r="765" spans="1:28" ht="15.75" customHeight="1">
      <c r="A765" s="158"/>
      <c r="B765" s="158"/>
      <c r="C765" s="158"/>
      <c r="D765" s="158"/>
      <c r="E765" s="158"/>
      <c r="F765" s="483"/>
      <c r="G765" s="158"/>
      <c r="H765" s="158"/>
      <c r="I765" s="158"/>
      <c r="J765" s="158"/>
      <c r="K765" s="484"/>
      <c r="L765" s="483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</row>
    <row r="766" spans="1:28" ht="15.75" customHeight="1">
      <c r="A766" s="158"/>
      <c r="B766" s="158"/>
      <c r="C766" s="158"/>
      <c r="D766" s="158"/>
      <c r="E766" s="158"/>
      <c r="F766" s="483"/>
      <c r="G766" s="158"/>
      <c r="H766" s="158"/>
      <c r="I766" s="158"/>
      <c r="J766" s="158"/>
      <c r="K766" s="484"/>
      <c r="L766" s="483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</row>
    <row r="767" spans="1:28" ht="15.75" customHeight="1">
      <c r="A767" s="158"/>
      <c r="B767" s="158"/>
      <c r="C767" s="158"/>
      <c r="D767" s="158"/>
      <c r="E767" s="158"/>
      <c r="F767" s="483"/>
      <c r="G767" s="158"/>
      <c r="H767" s="158"/>
      <c r="I767" s="158"/>
      <c r="J767" s="158"/>
      <c r="K767" s="484"/>
      <c r="L767" s="483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</row>
    <row r="768" spans="1:28" ht="15.75" customHeight="1">
      <c r="A768" s="158"/>
      <c r="B768" s="158"/>
      <c r="C768" s="158"/>
      <c r="D768" s="158"/>
      <c r="E768" s="158"/>
      <c r="F768" s="483"/>
      <c r="G768" s="158"/>
      <c r="H768" s="158"/>
      <c r="I768" s="158"/>
      <c r="J768" s="158"/>
      <c r="K768" s="484"/>
      <c r="L768" s="483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</row>
    <row r="769" spans="1:28" ht="15.75" customHeight="1">
      <c r="A769" s="158"/>
      <c r="B769" s="158"/>
      <c r="C769" s="158"/>
      <c r="D769" s="158"/>
      <c r="E769" s="158"/>
      <c r="F769" s="483"/>
      <c r="G769" s="158"/>
      <c r="H769" s="158"/>
      <c r="I769" s="158"/>
      <c r="J769" s="158"/>
      <c r="K769" s="484"/>
      <c r="L769" s="483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</row>
    <row r="770" spans="1:28" ht="15.75" customHeight="1">
      <c r="A770" s="158"/>
      <c r="B770" s="158"/>
      <c r="C770" s="158"/>
      <c r="D770" s="158"/>
      <c r="E770" s="158"/>
      <c r="F770" s="483"/>
      <c r="G770" s="158"/>
      <c r="H770" s="158"/>
      <c r="I770" s="158"/>
      <c r="J770" s="158"/>
      <c r="K770" s="484"/>
      <c r="L770" s="483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</row>
    <row r="771" spans="1:28" ht="15.75" customHeight="1">
      <c r="A771" s="158"/>
      <c r="B771" s="158"/>
      <c r="C771" s="158"/>
      <c r="D771" s="158"/>
      <c r="E771" s="158"/>
      <c r="F771" s="483"/>
      <c r="G771" s="158"/>
      <c r="H771" s="158"/>
      <c r="I771" s="158"/>
      <c r="J771" s="158"/>
      <c r="K771" s="484"/>
      <c r="L771" s="483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</row>
    <row r="772" spans="1:28" ht="15.75" customHeight="1">
      <c r="A772" s="158"/>
      <c r="B772" s="158"/>
      <c r="C772" s="158"/>
      <c r="D772" s="158"/>
      <c r="E772" s="158"/>
      <c r="F772" s="483"/>
      <c r="G772" s="158"/>
      <c r="H772" s="158"/>
      <c r="I772" s="158"/>
      <c r="J772" s="158"/>
      <c r="K772" s="484"/>
      <c r="L772" s="483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</row>
    <row r="773" spans="1:28" ht="15.75" customHeight="1">
      <c r="A773" s="158"/>
      <c r="B773" s="158"/>
      <c r="C773" s="158"/>
      <c r="D773" s="158"/>
      <c r="E773" s="158"/>
      <c r="F773" s="483"/>
      <c r="G773" s="158"/>
      <c r="H773" s="158"/>
      <c r="I773" s="158"/>
      <c r="J773" s="158"/>
      <c r="K773" s="484"/>
      <c r="L773" s="483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</row>
    <row r="774" spans="1:28" ht="15.75" customHeight="1">
      <c r="A774" s="158"/>
      <c r="B774" s="158"/>
      <c r="C774" s="158"/>
      <c r="D774" s="158"/>
      <c r="E774" s="158"/>
      <c r="F774" s="483"/>
      <c r="G774" s="158"/>
      <c r="H774" s="158"/>
      <c r="I774" s="158"/>
      <c r="J774" s="158"/>
      <c r="K774" s="484"/>
      <c r="L774" s="483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</row>
    <row r="775" spans="1:28" ht="15.75" customHeight="1">
      <c r="A775" s="158"/>
      <c r="B775" s="158"/>
      <c r="C775" s="158"/>
      <c r="D775" s="158"/>
      <c r="E775" s="158"/>
      <c r="F775" s="483"/>
      <c r="G775" s="158"/>
      <c r="H775" s="158"/>
      <c r="I775" s="158"/>
      <c r="J775" s="158"/>
      <c r="K775" s="484"/>
      <c r="L775" s="483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</row>
    <row r="776" spans="1:28" ht="15.75" customHeight="1">
      <c r="A776" s="158"/>
      <c r="B776" s="158"/>
      <c r="C776" s="158"/>
      <c r="D776" s="158"/>
      <c r="E776" s="158"/>
      <c r="F776" s="483"/>
      <c r="G776" s="158"/>
      <c r="H776" s="158"/>
      <c r="I776" s="158"/>
      <c r="J776" s="158"/>
      <c r="K776" s="484"/>
      <c r="L776" s="483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</row>
    <row r="777" spans="1:28" ht="15.75" customHeight="1">
      <c r="A777" s="158"/>
      <c r="B777" s="158"/>
      <c r="C777" s="158"/>
      <c r="D777" s="158"/>
      <c r="E777" s="158"/>
      <c r="F777" s="483"/>
      <c r="G777" s="158"/>
      <c r="H777" s="158"/>
      <c r="I777" s="158"/>
      <c r="J777" s="158"/>
      <c r="K777" s="484"/>
      <c r="L777" s="483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</row>
    <row r="778" spans="1:28" ht="15.75" customHeight="1">
      <c r="A778" s="158"/>
      <c r="B778" s="158"/>
      <c r="C778" s="158"/>
      <c r="D778" s="158"/>
      <c r="E778" s="158"/>
      <c r="F778" s="483"/>
      <c r="G778" s="158"/>
      <c r="H778" s="158"/>
      <c r="I778" s="158"/>
      <c r="J778" s="158"/>
      <c r="K778" s="484"/>
      <c r="L778" s="483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</row>
    <row r="779" spans="1:28" ht="15.75" customHeight="1">
      <c r="A779" s="158"/>
      <c r="B779" s="158"/>
      <c r="C779" s="158"/>
      <c r="D779" s="158"/>
      <c r="E779" s="158"/>
      <c r="F779" s="483"/>
      <c r="G779" s="158"/>
      <c r="H779" s="158"/>
      <c r="I779" s="158"/>
      <c r="J779" s="158"/>
      <c r="K779" s="484"/>
      <c r="L779" s="483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</row>
    <row r="780" spans="1:28" ht="15.75" customHeight="1">
      <c r="A780" s="158"/>
      <c r="B780" s="158"/>
      <c r="C780" s="158"/>
      <c r="D780" s="158"/>
      <c r="E780" s="158"/>
      <c r="F780" s="483"/>
      <c r="G780" s="158"/>
      <c r="H780" s="158"/>
      <c r="I780" s="158"/>
      <c r="J780" s="158"/>
      <c r="K780" s="484"/>
      <c r="L780" s="483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</row>
    <row r="781" spans="1:28" ht="15.75" customHeight="1">
      <c r="A781" s="158"/>
      <c r="B781" s="158"/>
      <c r="C781" s="158"/>
      <c r="D781" s="158"/>
      <c r="E781" s="158"/>
      <c r="F781" s="483"/>
      <c r="G781" s="158"/>
      <c r="H781" s="158"/>
      <c r="I781" s="158"/>
      <c r="J781" s="158"/>
      <c r="K781" s="484"/>
      <c r="L781" s="483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</row>
    <row r="782" spans="1:28" ht="15.75" customHeight="1">
      <c r="A782" s="158"/>
      <c r="B782" s="158"/>
      <c r="C782" s="158"/>
      <c r="D782" s="158"/>
      <c r="E782" s="158"/>
      <c r="F782" s="483"/>
      <c r="G782" s="158"/>
      <c r="H782" s="158"/>
      <c r="I782" s="158"/>
      <c r="J782" s="158"/>
      <c r="K782" s="484"/>
      <c r="L782" s="483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</row>
    <row r="783" spans="1:28" ht="15.75" customHeight="1">
      <c r="A783" s="158"/>
      <c r="B783" s="158"/>
      <c r="C783" s="158"/>
      <c r="D783" s="158"/>
      <c r="E783" s="158"/>
      <c r="F783" s="483"/>
      <c r="G783" s="158"/>
      <c r="H783" s="158"/>
      <c r="I783" s="158"/>
      <c r="J783" s="158"/>
      <c r="K783" s="484"/>
      <c r="L783" s="483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</row>
    <row r="784" spans="1:28" ht="15.75" customHeight="1">
      <c r="A784" s="158"/>
      <c r="B784" s="158"/>
      <c r="C784" s="158"/>
      <c r="D784" s="158"/>
      <c r="E784" s="158"/>
      <c r="F784" s="483"/>
      <c r="G784" s="158"/>
      <c r="H784" s="158"/>
      <c r="I784" s="158"/>
      <c r="J784" s="158"/>
      <c r="K784" s="484"/>
      <c r="L784" s="483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</row>
    <row r="785" spans="1:28" ht="15.75" customHeight="1">
      <c r="A785" s="158"/>
      <c r="B785" s="158"/>
      <c r="C785" s="158"/>
      <c r="D785" s="158"/>
      <c r="E785" s="158"/>
      <c r="F785" s="483"/>
      <c r="G785" s="158"/>
      <c r="H785" s="158"/>
      <c r="I785" s="158"/>
      <c r="J785" s="158"/>
      <c r="K785" s="484"/>
      <c r="L785" s="483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</row>
    <row r="786" spans="1:28" ht="15.75" customHeight="1">
      <c r="A786" s="158"/>
      <c r="B786" s="158"/>
      <c r="C786" s="158"/>
      <c r="D786" s="158"/>
      <c r="E786" s="158"/>
      <c r="F786" s="483"/>
      <c r="G786" s="158"/>
      <c r="H786" s="158"/>
      <c r="I786" s="158"/>
      <c r="J786" s="158"/>
      <c r="K786" s="484"/>
      <c r="L786" s="483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</row>
    <row r="787" spans="1:28" ht="15.75" customHeight="1">
      <c r="A787" s="158"/>
      <c r="B787" s="158"/>
      <c r="C787" s="158"/>
      <c r="D787" s="158"/>
      <c r="E787" s="158"/>
      <c r="F787" s="483"/>
      <c r="G787" s="158"/>
      <c r="H787" s="158"/>
      <c r="I787" s="158"/>
      <c r="J787" s="158"/>
      <c r="K787" s="484"/>
      <c r="L787" s="483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</row>
    <row r="788" spans="1:28" ht="15.75" customHeight="1">
      <c r="A788" s="158"/>
      <c r="B788" s="158"/>
      <c r="C788" s="158"/>
      <c r="D788" s="158"/>
      <c r="E788" s="158"/>
      <c r="F788" s="483"/>
      <c r="G788" s="158"/>
      <c r="H788" s="158"/>
      <c r="I788" s="158"/>
      <c r="J788" s="158"/>
      <c r="K788" s="484"/>
      <c r="L788" s="483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</row>
    <row r="789" spans="1:28" ht="15.75" customHeight="1">
      <c r="A789" s="158"/>
      <c r="B789" s="158"/>
      <c r="C789" s="158"/>
      <c r="D789" s="158"/>
      <c r="E789" s="158"/>
      <c r="F789" s="483"/>
      <c r="G789" s="158"/>
      <c r="H789" s="158"/>
      <c r="I789" s="158"/>
      <c r="J789" s="158"/>
      <c r="K789" s="484"/>
      <c r="L789" s="483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</row>
    <row r="790" spans="1:28" ht="15.75" customHeight="1">
      <c r="A790" s="158"/>
      <c r="B790" s="158"/>
      <c r="C790" s="158"/>
      <c r="D790" s="158"/>
      <c r="E790" s="158"/>
      <c r="F790" s="483"/>
      <c r="G790" s="158"/>
      <c r="H790" s="158"/>
      <c r="I790" s="158"/>
      <c r="J790" s="158"/>
      <c r="K790" s="484"/>
      <c r="L790" s="483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</row>
    <row r="791" spans="1:28" ht="15.75" customHeight="1">
      <c r="A791" s="158"/>
      <c r="B791" s="158"/>
      <c r="C791" s="158"/>
      <c r="D791" s="158"/>
      <c r="E791" s="158"/>
      <c r="F791" s="483"/>
      <c r="G791" s="158"/>
      <c r="H791" s="158"/>
      <c r="I791" s="158"/>
      <c r="J791" s="158"/>
      <c r="K791" s="484"/>
      <c r="L791" s="483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</row>
    <row r="792" spans="1:28" ht="15.75" customHeight="1">
      <c r="A792" s="158"/>
      <c r="B792" s="158"/>
      <c r="C792" s="158"/>
      <c r="D792" s="158"/>
      <c r="E792" s="158"/>
      <c r="F792" s="483"/>
      <c r="G792" s="158"/>
      <c r="H792" s="158"/>
      <c r="I792" s="158"/>
      <c r="J792" s="158"/>
      <c r="K792" s="484"/>
      <c r="L792" s="483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</row>
    <row r="793" spans="1:28" ht="15.75" customHeight="1">
      <c r="A793" s="158"/>
      <c r="B793" s="158"/>
      <c r="C793" s="158"/>
      <c r="D793" s="158"/>
      <c r="E793" s="158"/>
      <c r="F793" s="483"/>
      <c r="G793" s="158"/>
      <c r="H793" s="158"/>
      <c r="I793" s="158"/>
      <c r="J793" s="158"/>
      <c r="K793" s="484"/>
      <c r="L793" s="483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</row>
    <row r="794" spans="1:28" ht="15.75" customHeight="1">
      <c r="A794" s="158"/>
      <c r="B794" s="158"/>
      <c r="C794" s="158"/>
      <c r="D794" s="158"/>
      <c r="E794" s="158"/>
      <c r="F794" s="483"/>
      <c r="G794" s="158"/>
      <c r="H794" s="158"/>
      <c r="I794" s="158"/>
      <c r="J794" s="158"/>
      <c r="K794" s="484"/>
      <c r="L794" s="483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</row>
    <row r="795" spans="1:28" ht="15.75" customHeight="1">
      <c r="A795" s="158"/>
      <c r="B795" s="158"/>
      <c r="C795" s="158"/>
      <c r="D795" s="158"/>
      <c r="E795" s="158"/>
      <c r="F795" s="483"/>
      <c r="G795" s="158"/>
      <c r="H795" s="158"/>
      <c r="I795" s="158"/>
      <c r="J795" s="158"/>
      <c r="K795" s="484"/>
      <c r="L795" s="483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</row>
    <row r="796" spans="1:28" ht="15.75" customHeight="1">
      <c r="A796" s="158"/>
      <c r="B796" s="158"/>
      <c r="C796" s="158"/>
      <c r="D796" s="158"/>
      <c r="E796" s="158"/>
      <c r="F796" s="483"/>
      <c r="G796" s="158"/>
      <c r="H796" s="158"/>
      <c r="I796" s="158"/>
      <c r="J796" s="158"/>
      <c r="K796" s="484"/>
      <c r="L796" s="483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</row>
    <row r="797" spans="1:28" ht="15.75" customHeight="1">
      <c r="A797" s="158"/>
      <c r="B797" s="158"/>
      <c r="C797" s="158"/>
      <c r="D797" s="158"/>
      <c r="E797" s="158"/>
      <c r="F797" s="483"/>
      <c r="G797" s="158"/>
      <c r="H797" s="158"/>
      <c r="I797" s="158"/>
      <c r="J797" s="158"/>
      <c r="K797" s="484"/>
      <c r="L797" s="483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</row>
    <row r="798" spans="1:28" ht="15.75" customHeight="1">
      <c r="A798" s="158"/>
      <c r="B798" s="158"/>
      <c r="C798" s="158"/>
      <c r="D798" s="158"/>
      <c r="E798" s="158"/>
      <c r="F798" s="483"/>
      <c r="G798" s="158"/>
      <c r="H798" s="158"/>
      <c r="I798" s="158"/>
      <c r="J798" s="158"/>
      <c r="K798" s="484"/>
      <c r="L798" s="483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</row>
    <row r="799" spans="1:28" ht="15.75" customHeight="1">
      <c r="A799" s="158"/>
      <c r="B799" s="158"/>
      <c r="C799" s="158"/>
      <c r="D799" s="158"/>
      <c r="E799" s="158"/>
      <c r="F799" s="483"/>
      <c r="G799" s="158"/>
      <c r="H799" s="158"/>
      <c r="I799" s="158"/>
      <c r="J799" s="158"/>
      <c r="K799" s="484"/>
      <c r="L799" s="483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</row>
    <row r="800" spans="1:28" ht="15.75" customHeight="1">
      <c r="A800" s="158"/>
      <c r="B800" s="158"/>
      <c r="C800" s="158"/>
      <c r="D800" s="158"/>
      <c r="E800" s="158"/>
      <c r="F800" s="483"/>
      <c r="G800" s="158"/>
      <c r="H800" s="158"/>
      <c r="I800" s="158"/>
      <c r="J800" s="158"/>
      <c r="K800" s="484"/>
      <c r="L800" s="483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</row>
    <row r="801" spans="1:28" ht="15.75" customHeight="1">
      <c r="A801" s="158"/>
      <c r="B801" s="158"/>
      <c r="C801" s="158"/>
      <c r="D801" s="158"/>
      <c r="E801" s="158"/>
      <c r="F801" s="483"/>
      <c r="G801" s="158"/>
      <c r="H801" s="158"/>
      <c r="I801" s="158"/>
      <c r="J801" s="158"/>
      <c r="K801" s="484"/>
      <c r="L801" s="483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</row>
    <row r="802" spans="1:28" ht="15.75" customHeight="1">
      <c r="A802" s="158"/>
      <c r="B802" s="158"/>
      <c r="C802" s="158"/>
      <c r="D802" s="158"/>
      <c r="E802" s="158"/>
      <c r="F802" s="483"/>
      <c r="G802" s="158"/>
      <c r="H802" s="158"/>
      <c r="I802" s="158"/>
      <c r="J802" s="158"/>
      <c r="K802" s="484"/>
      <c r="L802" s="483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</row>
    <row r="803" spans="1:28" ht="15.75" customHeight="1">
      <c r="A803" s="158"/>
      <c r="B803" s="158"/>
      <c r="C803" s="158"/>
      <c r="D803" s="158"/>
      <c r="E803" s="158"/>
      <c r="F803" s="483"/>
      <c r="G803" s="158"/>
      <c r="H803" s="158"/>
      <c r="I803" s="158"/>
      <c r="J803" s="158"/>
      <c r="K803" s="484"/>
      <c r="L803" s="483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</row>
    <row r="804" spans="1:28" ht="15.75" customHeight="1">
      <c r="A804" s="158"/>
      <c r="B804" s="158"/>
      <c r="C804" s="158"/>
      <c r="D804" s="158"/>
      <c r="E804" s="158"/>
      <c r="F804" s="483"/>
      <c r="G804" s="158"/>
      <c r="H804" s="158"/>
      <c r="I804" s="158"/>
      <c r="J804" s="158"/>
      <c r="K804" s="484"/>
      <c r="L804" s="483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</row>
    <row r="805" spans="1:28" ht="15.75" customHeight="1">
      <c r="A805" s="158"/>
      <c r="B805" s="158"/>
      <c r="C805" s="158"/>
      <c r="D805" s="158"/>
      <c r="E805" s="158"/>
      <c r="F805" s="483"/>
      <c r="G805" s="158"/>
      <c r="H805" s="158"/>
      <c r="I805" s="158"/>
      <c r="J805" s="158"/>
      <c r="K805" s="484"/>
      <c r="L805" s="483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</row>
    <row r="806" spans="1:28" ht="15.75" customHeight="1">
      <c r="A806" s="158"/>
      <c r="B806" s="158"/>
      <c r="C806" s="158"/>
      <c r="D806" s="158"/>
      <c r="E806" s="158"/>
      <c r="F806" s="483"/>
      <c r="G806" s="158"/>
      <c r="H806" s="158"/>
      <c r="I806" s="158"/>
      <c r="J806" s="158"/>
      <c r="K806" s="484"/>
      <c r="L806" s="483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</row>
    <row r="807" spans="1:28" ht="15.75" customHeight="1">
      <c r="A807" s="158"/>
      <c r="B807" s="158"/>
      <c r="C807" s="158"/>
      <c r="D807" s="158"/>
      <c r="E807" s="158"/>
      <c r="F807" s="483"/>
      <c r="G807" s="158"/>
      <c r="H807" s="158"/>
      <c r="I807" s="158"/>
      <c r="J807" s="158"/>
      <c r="K807" s="484"/>
      <c r="L807" s="483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</row>
    <row r="808" spans="1:28" ht="15.75" customHeight="1">
      <c r="A808" s="158"/>
      <c r="B808" s="158"/>
      <c r="C808" s="158"/>
      <c r="D808" s="158"/>
      <c r="E808" s="158"/>
      <c r="F808" s="483"/>
      <c r="G808" s="158"/>
      <c r="H808" s="158"/>
      <c r="I808" s="158"/>
      <c r="J808" s="158"/>
      <c r="K808" s="484"/>
      <c r="L808" s="483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</row>
    <row r="809" spans="1:28" ht="15.75" customHeight="1">
      <c r="A809" s="158"/>
      <c r="B809" s="158"/>
      <c r="C809" s="158"/>
      <c r="D809" s="158"/>
      <c r="E809" s="158"/>
      <c r="F809" s="483"/>
      <c r="G809" s="158"/>
      <c r="H809" s="158"/>
      <c r="I809" s="158"/>
      <c r="J809" s="158"/>
      <c r="K809" s="484"/>
      <c r="L809" s="483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</row>
    <row r="810" spans="1:28" ht="15.75" customHeight="1">
      <c r="A810" s="158"/>
      <c r="B810" s="158"/>
      <c r="C810" s="158"/>
      <c r="D810" s="158"/>
      <c r="E810" s="158"/>
      <c r="F810" s="483"/>
      <c r="G810" s="158"/>
      <c r="H810" s="158"/>
      <c r="I810" s="158"/>
      <c r="J810" s="158"/>
      <c r="K810" s="484"/>
      <c r="L810" s="483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</row>
    <row r="811" spans="1:28" ht="15.75" customHeight="1">
      <c r="A811" s="158"/>
      <c r="B811" s="158"/>
      <c r="C811" s="158"/>
      <c r="D811" s="158"/>
      <c r="E811" s="158"/>
      <c r="F811" s="483"/>
      <c r="G811" s="158"/>
      <c r="H811" s="158"/>
      <c r="I811" s="158"/>
      <c r="J811" s="158"/>
      <c r="K811" s="484"/>
      <c r="L811" s="483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</row>
    <row r="812" spans="1:28" ht="15.75" customHeight="1">
      <c r="A812" s="158"/>
      <c r="B812" s="158"/>
      <c r="C812" s="158"/>
      <c r="D812" s="158"/>
      <c r="E812" s="158"/>
      <c r="F812" s="483"/>
      <c r="G812" s="158"/>
      <c r="H812" s="158"/>
      <c r="I812" s="158"/>
      <c r="J812" s="158"/>
      <c r="K812" s="484"/>
      <c r="L812" s="483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</row>
    <row r="813" spans="1:28" ht="15.75" customHeight="1">
      <c r="A813" s="158"/>
      <c r="B813" s="158"/>
      <c r="C813" s="158"/>
      <c r="D813" s="158"/>
      <c r="E813" s="158"/>
      <c r="F813" s="483"/>
      <c r="G813" s="158"/>
      <c r="H813" s="158"/>
      <c r="I813" s="158"/>
      <c r="J813" s="158"/>
      <c r="K813" s="484"/>
      <c r="L813" s="483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</row>
    <row r="814" spans="1:28" ht="15.75" customHeight="1">
      <c r="A814" s="158"/>
      <c r="B814" s="158"/>
      <c r="C814" s="158"/>
      <c r="D814" s="158"/>
      <c r="E814" s="158"/>
      <c r="F814" s="483"/>
      <c r="G814" s="158"/>
      <c r="H814" s="158"/>
      <c r="I814" s="158"/>
      <c r="J814" s="158"/>
      <c r="K814" s="484"/>
      <c r="L814" s="483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</row>
    <row r="815" spans="1:28" ht="15.75" customHeight="1">
      <c r="A815" s="158"/>
      <c r="B815" s="158"/>
      <c r="C815" s="158"/>
      <c r="D815" s="158"/>
      <c r="E815" s="158"/>
      <c r="F815" s="483"/>
      <c r="G815" s="158"/>
      <c r="H815" s="158"/>
      <c r="I815" s="158"/>
      <c r="J815" s="158"/>
      <c r="K815" s="484"/>
      <c r="L815" s="483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</row>
    <row r="816" spans="1:28" ht="15.75" customHeight="1">
      <c r="A816" s="158"/>
      <c r="B816" s="158"/>
      <c r="C816" s="158"/>
      <c r="D816" s="158"/>
      <c r="E816" s="158"/>
      <c r="F816" s="483"/>
      <c r="G816" s="158"/>
      <c r="H816" s="158"/>
      <c r="I816" s="158"/>
      <c r="J816" s="158"/>
      <c r="K816" s="484"/>
      <c r="L816" s="483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</row>
    <row r="817" spans="1:28" ht="15.75" customHeight="1">
      <c r="A817" s="158"/>
      <c r="B817" s="158"/>
      <c r="C817" s="158"/>
      <c r="D817" s="158"/>
      <c r="E817" s="158"/>
      <c r="F817" s="483"/>
      <c r="G817" s="158"/>
      <c r="H817" s="158"/>
      <c r="I817" s="158"/>
      <c r="J817" s="158"/>
      <c r="K817" s="484"/>
      <c r="L817" s="483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</row>
    <row r="818" spans="1:28" ht="15.75" customHeight="1">
      <c r="A818" s="158"/>
      <c r="B818" s="158"/>
      <c r="C818" s="158"/>
      <c r="D818" s="158"/>
      <c r="E818" s="158"/>
      <c r="F818" s="483"/>
      <c r="G818" s="158"/>
      <c r="H818" s="158"/>
      <c r="I818" s="158"/>
      <c r="J818" s="158"/>
      <c r="K818" s="484"/>
      <c r="L818" s="483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</row>
    <row r="819" spans="1:28" ht="15.75" customHeight="1">
      <c r="A819" s="158"/>
      <c r="B819" s="158"/>
      <c r="C819" s="158"/>
      <c r="D819" s="158"/>
      <c r="E819" s="158"/>
      <c r="F819" s="483"/>
      <c r="G819" s="158"/>
      <c r="H819" s="158"/>
      <c r="I819" s="158"/>
      <c r="J819" s="158"/>
      <c r="K819" s="484"/>
      <c r="L819" s="483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</row>
    <row r="820" spans="1:28" ht="15.75" customHeight="1">
      <c r="A820" s="158"/>
      <c r="B820" s="158"/>
      <c r="C820" s="158"/>
      <c r="D820" s="158"/>
      <c r="E820" s="158"/>
      <c r="F820" s="483"/>
      <c r="G820" s="158"/>
      <c r="H820" s="158"/>
      <c r="I820" s="158"/>
      <c r="J820" s="158"/>
      <c r="K820" s="484"/>
      <c r="L820" s="483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</row>
    <row r="821" spans="1:28" ht="15.75" customHeight="1">
      <c r="A821" s="158"/>
      <c r="B821" s="158"/>
      <c r="C821" s="158"/>
      <c r="D821" s="158"/>
      <c r="E821" s="158"/>
      <c r="F821" s="483"/>
      <c r="G821" s="158"/>
      <c r="H821" s="158"/>
      <c r="I821" s="158"/>
      <c r="J821" s="158"/>
      <c r="K821" s="484"/>
      <c r="L821" s="483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</row>
    <row r="822" spans="1:28" ht="15.75" customHeight="1">
      <c r="A822" s="158"/>
      <c r="B822" s="158"/>
      <c r="C822" s="158"/>
      <c r="D822" s="158"/>
      <c r="E822" s="158"/>
      <c r="F822" s="483"/>
      <c r="G822" s="158"/>
      <c r="H822" s="158"/>
      <c r="I822" s="158"/>
      <c r="J822" s="158"/>
      <c r="K822" s="484"/>
      <c r="L822" s="483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</row>
    <row r="823" spans="1:28" ht="15.75" customHeight="1">
      <c r="A823" s="158"/>
      <c r="B823" s="158"/>
      <c r="C823" s="158"/>
      <c r="D823" s="158"/>
      <c r="E823" s="158"/>
      <c r="F823" s="483"/>
      <c r="G823" s="158"/>
      <c r="H823" s="158"/>
      <c r="I823" s="158"/>
      <c r="J823" s="158"/>
      <c r="K823" s="484"/>
      <c r="L823" s="483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</row>
    <row r="824" spans="1:28" ht="15.75" customHeight="1">
      <c r="A824" s="158"/>
      <c r="B824" s="158"/>
      <c r="C824" s="158"/>
      <c r="D824" s="158"/>
      <c r="E824" s="158"/>
      <c r="F824" s="483"/>
      <c r="G824" s="158"/>
      <c r="H824" s="158"/>
      <c r="I824" s="158"/>
      <c r="J824" s="158"/>
      <c r="K824" s="484"/>
      <c r="L824" s="483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</row>
    <row r="825" spans="1:28" ht="15.75" customHeight="1">
      <c r="A825" s="158"/>
      <c r="B825" s="158"/>
      <c r="C825" s="158"/>
      <c r="D825" s="158"/>
      <c r="E825" s="158"/>
      <c r="F825" s="483"/>
      <c r="G825" s="158"/>
      <c r="H825" s="158"/>
      <c r="I825" s="158"/>
      <c r="J825" s="158"/>
      <c r="K825" s="484"/>
      <c r="L825" s="483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</row>
    <row r="826" spans="1:28" ht="15.75" customHeight="1">
      <c r="A826" s="158"/>
      <c r="B826" s="158"/>
      <c r="C826" s="158"/>
      <c r="D826" s="158"/>
      <c r="E826" s="158"/>
      <c r="F826" s="483"/>
      <c r="G826" s="158"/>
      <c r="H826" s="158"/>
      <c r="I826" s="158"/>
      <c r="J826" s="158"/>
      <c r="K826" s="484"/>
      <c r="L826" s="483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</row>
    <row r="827" spans="1:28" ht="15.75" customHeight="1">
      <c r="A827" s="158"/>
      <c r="B827" s="158"/>
      <c r="C827" s="158"/>
      <c r="D827" s="158"/>
      <c r="E827" s="158"/>
      <c r="F827" s="483"/>
      <c r="G827" s="158"/>
      <c r="H827" s="158"/>
      <c r="I827" s="158"/>
      <c r="J827" s="158"/>
      <c r="K827" s="484"/>
      <c r="L827" s="483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</row>
    <row r="828" spans="1:28" ht="15.75" customHeight="1">
      <c r="A828" s="158"/>
      <c r="B828" s="158"/>
      <c r="C828" s="158"/>
      <c r="D828" s="158"/>
      <c r="E828" s="158"/>
      <c r="F828" s="483"/>
      <c r="G828" s="158"/>
      <c r="H828" s="158"/>
      <c r="I828" s="158"/>
      <c r="J828" s="158"/>
      <c r="K828" s="484"/>
      <c r="L828" s="483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</row>
    <row r="829" spans="1:28" ht="15.75" customHeight="1">
      <c r="A829" s="158"/>
      <c r="B829" s="158"/>
      <c r="C829" s="158"/>
      <c r="D829" s="158"/>
      <c r="E829" s="158"/>
      <c r="F829" s="483"/>
      <c r="G829" s="158"/>
      <c r="H829" s="158"/>
      <c r="I829" s="158"/>
      <c r="J829" s="158"/>
      <c r="K829" s="484"/>
      <c r="L829" s="483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</row>
    <row r="830" spans="1:28" ht="15.75" customHeight="1">
      <c r="A830" s="158"/>
      <c r="B830" s="158"/>
      <c r="C830" s="158"/>
      <c r="D830" s="158"/>
      <c r="E830" s="158"/>
      <c r="F830" s="483"/>
      <c r="G830" s="158"/>
      <c r="H830" s="158"/>
      <c r="I830" s="158"/>
      <c r="J830" s="158"/>
      <c r="K830" s="484"/>
      <c r="L830" s="483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</row>
    <row r="831" spans="1:28" ht="15.75" customHeight="1">
      <c r="A831" s="158"/>
      <c r="B831" s="158"/>
      <c r="C831" s="158"/>
      <c r="D831" s="158"/>
      <c r="E831" s="158"/>
      <c r="F831" s="483"/>
      <c r="G831" s="158"/>
      <c r="H831" s="158"/>
      <c r="I831" s="158"/>
      <c r="J831" s="158"/>
      <c r="K831" s="484"/>
      <c r="L831" s="483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</row>
    <row r="832" spans="1:28" ht="15.75" customHeight="1">
      <c r="A832" s="158"/>
      <c r="B832" s="158"/>
      <c r="C832" s="158"/>
      <c r="D832" s="158"/>
      <c r="E832" s="158"/>
      <c r="F832" s="483"/>
      <c r="G832" s="158"/>
      <c r="H832" s="158"/>
      <c r="I832" s="158"/>
      <c r="J832" s="158"/>
      <c r="K832" s="484"/>
      <c r="L832" s="483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</row>
    <row r="833" spans="1:28" ht="15.75" customHeight="1">
      <c r="A833" s="158"/>
      <c r="B833" s="158"/>
      <c r="C833" s="158"/>
      <c r="D833" s="158"/>
      <c r="E833" s="158"/>
      <c r="F833" s="483"/>
      <c r="G833" s="158"/>
      <c r="H833" s="158"/>
      <c r="I833" s="158"/>
      <c r="J833" s="158"/>
      <c r="K833" s="484"/>
      <c r="L833" s="483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</row>
    <row r="834" spans="1:28" ht="15.75" customHeight="1">
      <c r="A834" s="158"/>
      <c r="B834" s="158"/>
      <c r="C834" s="158"/>
      <c r="D834" s="158"/>
      <c r="E834" s="158"/>
      <c r="F834" s="483"/>
      <c r="G834" s="158"/>
      <c r="H834" s="158"/>
      <c r="I834" s="158"/>
      <c r="J834" s="158"/>
      <c r="K834" s="484"/>
      <c r="L834" s="483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</row>
    <row r="835" spans="1:28" ht="15.75" customHeight="1">
      <c r="A835" s="158"/>
      <c r="B835" s="158"/>
      <c r="C835" s="158"/>
      <c r="D835" s="158"/>
      <c r="E835" s="158"/>
      <c r="F835" s="483"/>
      <c r="G835" s="158"/>
      <c r="H835" s="158"/>
      <c r="I835" s="158"/>
      <c r="J835" s="158"/>
      <c r="K835" s="484"/>
      <c r="L835" s="483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</row>
    <row r="836" spans="1:28" ht="15.75" customHeight="1">
      <c r="A836" s="158"/>
      <c r="B836" s="158"/>
      <c r="C836" s="158"/>
      <c r="D836" s="158"/>
      <c r="E836" s="158"/>
      <c r="F836" s="483"/>
      <c r="G836" s="158"/>
      <c r="H836" s="158"/>
      <c r="I836" s="158"/>
      <c r="J836" s="158"/>
      <c r="K836" s="484"/>
      <c r="L836" s="483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</row>
    <row r="837" spans="1:28" ht="15.75" customHeight="1">
      <c r="A837" s="158"/>
      <c r="B837" s="158"/>
      <c r="C837" s="158"/>
      <c r="D837" s="158"/>
      <c r="E837" s="158"/>
      <c r="F837" s="483"/>
      <c r="G837" s="158"/>
      <c r="H837" s="158"/>
      <c r="I837" s="158"/>
      <c r="J837" s="158"/>
      <c r="K837" s="484"/>
      <c r="L837" s="483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</row>
    <row r="838" spans="1:28" ht="15.75" customHeight="1">
      <c r="A838" s="158"/>
      <c r="B838" s="158"/>
      <c r="C838" s="158"/>
      <c r="D838" s="158"/>
      <c r="E838" s="158"/>
      <c r="F838" s="483"/>
      <c r="G838" s="158"/>
      <c r="H838" s="158"/>
      <c r="I838" s="158"/>
      <c r="J838" s="158"/>
      <c r="K838" s="484"/>
      <c r="L838" s="483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</row>
    <row r="839" spans="1:28" ht="15.75" customHeight="1">
      <c r="A839" s="158"/>
      <c r="B839" s="158"/>
      <c r="C839" s="158"/>
      <c r="D839" s="158"/>
      <c r="E839" s="158"/>
      <c r="F839" s="483"/>
      <c r="G839" s="158"/>
      <c r="H839" s="158"/>
      <c r="I839" s="158"/>
      <c r="J839" s="158"/>
      <c r="K839" s="484"/>
      <c r="L839" s="483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</row>
    <row r="840" spans="1:28" ht="15.75" customHeight="1">
      <c r="A840" s="158"/>
      <c r="B840" s="158"/>
      <c r="C840" s="158"/>
      <c r="D840" s="158"/>
      <c r="E840" s="158"/>
      <c r="F840" s="483"/>
      <c r="G840" s="158"/>
      <c r="H840" s="158"/>
      <c r="I840" s="158"/>
      <c r="J840" s="158"/>
      <c r="K840" s="484"/>
      <c r="L840" s="483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</row>
    <row r="841" spans="1:28" ht="15.75" customHeight="1">
      <c r="A841" s="158"/>
      <c r="B841" s="158"/>
      <c r="C841" s="158"/>
      <c r="D841" s="158"/>
      <c r="E841" s="158"/>
      <c r="F841" s="483"/>
      <c r="G841" s="158"/>
      <c r="H841" s="158"/>
      <c r="I841" s="158"/>
      <c r="J841" s="158"/>
      <c r="K841" s="484"/>
      <c r="L841" s="483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</row>
    <row r="842" spans="1:28" ht="15.75" customHeight="1">
      <c r="A842" s="158"/>
      <c r="B842" s="158"/>
      <c r="C842" s="158"/>
      <c r="D842" s="158"/>
      <c r="E842" s="158"/>
      <c r="F842" s="483"/>
      <c r="G842" s="158"/>
      <c r="H842" s="158"/>
      <c r="I842" s="158"/>
      <c r="J842" s="158"/>
      <c r="K842" s="484"/>
      <c r="L842" s="483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</row>
    <row r="843" spans="1:28" ht="15.75" customHeight="1">
      <c r="A843" s="158"/>
      <c r="B843" s="158"/>
      <c r="C843" s="158"/>
      <c r="D843" s="158"/>
      <c r="E843" s="158"/>
      <c r="F843" s="483"/>
      <c r="G843" s="158"/>
      <c r="H843" s="158"/>
      <c r="I843" s="158"/>
      <c r="J843" s="158"/>
      <c r="K843" s="484"/>
      <c r="L843" s="483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</row>
    <row r="844" spans="1:28" ht="15.75" customHeight="1">
      <c r="A844" s="158"/>
      <c r="B844" s="158"/>
      <c r="C844" s="158"/>
      <c r="D844" s="158"/>
      <c r="E844" s="158"/>
      <c r="F844" s="483"/>
      <c r="G844" s="158"/>
      <c r="H844" s="158"/>
      <c r="I844" s="158"/>
      <c r="J844" s="158"/>
      <c r="K844" s="484"/>
      <c r="L844" s="483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</row>
    <row r="845" spans="1:28" ht="15.75" customHeight="1">
      <c r="A845" s="158"/>
      <c r="B845" s="158"/>
      <c r="C845" s="158"/>
      <c r="D845" s="158"/>
      <c r="E845" s="158"/>
      <c r="F845" s="483"/>
      <c r="G845" s="158"/>
      <c r="H845" s="158"/>
      <c r="I845" s="158"/>
      <c r="J845" s="158"/>
      <c r="K845" s="484"/>
      <c r="L845" s="483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</row>
    <row r="846" spans="1:28" ht="15.75" customHeight="1">
      <c r="A846" s="158"/>
      <c r="B846" s="158"/>
      <c r="C846" s="158"/>
      <c r="D846" s="158"/>
      <c r="E846" s="158"/>
      <c r="F846" s="483"/>
      <c r="G846" s="158"/>
      <c r="H846" s="158"/>
      <c r="I846" s="158"/>
      <c r="J846" s="158"/>
      <c r="K846" s="484"/>
      <c r="L846" s="483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</row>
    <row r="847" spans="1:28" ht="15.75" customHeight="1">
      <c r="A847" s="158"/>
      <c r="B847" s="158"/>
      <c r="C847" s="158"/>
      <c r="D847" s="158"/>
      <c r="E847" s="158"/>
      <c r="F847" s="483"/>
      <c r="G847" s="158"/>
      <c r="H847" s="158"/>
      <c r="I847" s="158"/>
      <c r="J847" s="158"/>
      <c r="K847" s="484"/>
      <c r="L847" s="483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</row>
    <row r="848" spans="1:28" ht="15.75" customHeight="1">
      <c r="A848" s="158"/>
      <c r="B848" s="158"/>
      <c r="C848" s="158"/>
      <c r="D848" s="158"/>
      <c r="E848" s="158"/>
      <c r="F848" s="483"/>
      <c r="G848" s="158"/>
      <c r="H848" s="158"/>
      <c r="I848" s="158"/>
      <c r="J848" s="158"/>
      <c r="K848" s="484"/>
      <c r="L848" s="483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</row>
    <row r="849" spans="1:28" ht="15.75" customHeight="1">
      <c r="A849" s="158"/>
      <c r="B849" s="158"/>
      <c r="C849" s="158"/>
      <c r="D849" s="158"/>
      <c r="E849" s="158"/>
      <c r="F849" s="483"/>
      <c r="G849" s="158"/>
      <c r="H849" s="158"/>
      <c r="I849" s="158"/>
      <c r="J849" s="158"/>
      <c r="K849" s="484"/>
      <c r="L849" s="483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</row>
    <row r="850" spans="1:28" ht="15.75" customHeight="1">
      <c r="A850" s="158"/>
      <c r="B850" s="158"/>
      <c r="C850" s="158"/>
      <c r="D850" s="158"/>
      <c r="E850" s="158"/>
      <c r="F850" s="483"/>
      <c r="G850" s="158"/>
      <c r="H850" s="158"/>
      <c r="I850" s="158"/>
      <c r="J850" s="158"/>
      <c r="K850" s="484"/>
      <c r="L850" s="483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</row>
    <row r="851" spans="1:28" ht="15.75" customHeight="1">
      <c r="A851" s="158"/>
      <c r="B851" s="158"/>
      <c r="C851" s="158"/>
      <c r="D851" s="158"/>
      <c r="E851" s="158"/>
      <c r="F851" s="483"/>
      <c r="G851" s="158"/>
      <c r="H851" s="158"/>
      <c r="I851" s="158"/>
      <c r="J851" s="158"/>
      <c r="K851" s="484"/>
      <c r="L851" s="483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</row>
    <row r="852" spans="1:28" ht="15.75" customHeight="1">
      <c r="A852" s="158"/>
      <c r="B852" s="158"/>
      <c r="C852" s="158"/>
      <c r="D852" s="158"/>
      <c r="E852" s="158"/>
      <c r="F852" s="483"/>
      <c r="G852" s="158"/>
      <c r="H852" s="158"/>
      <c r="I852" s="158"/>
      <c r="J852" s="158"/>
      <c r="K852" s="484"/>
      <c r="L852" s="483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</row>
    <row r="853" spans="1:28" ht="15.75" customHeight="1">
      <c r="A853" s="158"/>
      <c r="B853" s="158"/>
      <c r="C853" s="158"/>
      <c r="D853" s="158"/>
      <c r="E853" s="158"/>
      <c r="F853" s="483"/>
      <c r="G853" s="158"/>
      <c r="H853" s="158"/>
      <c r="I853" s="158"/>
      <c r="J853" s="158"/>
      <c r="K853" s="484"/>
      <c r="L853" s="483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</row>
    <row r="854" spans="1:28" ht="15.75" customHeight="1">
      <c r="A854" s="158"/>
      <c r="B854" s="158"/>
      <c r="C854" s="158"/>
      <c r="D854" s="158"/>
      <c r="E854" s="158"/>
      <c r="F854" s="483"/>
      <c r="G854" s="158"/>
      <c r="H854" s="158"/>
      <c r="I854" s="158"/>
      <c r="J854" s="158"/>
      <c r="K854" s="484"/>
      <c r="L854" s="483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</row>
    <row r="855" spans="1:28" ht="15.75" customHeight="1">
      <c r="A855" s="158"/>
      <c r="B855" s="158"/>
      <c r="C855" s="158"/>
      <c r="D855" s="158"/>
      <c r="E855" s="158"/>
      <c r="F855" s="483"/>
      <c r="G855" s="158"/>
      <c r="H855" s="158"/>
      <c r="I855" s="158"/>
      <c r="J855" s="158"/>
      <c r="K855" s="484"/>
      <c r="L855" s="483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</row>
    <row r="856" spans="1:28" ht="15.75" customHeight="1">
      <c r="A856" s="158"/>
      <c r="B856" s="158"/>
      <c r="C856" s="158"/>
      <c r="D856" s="158"/>
      <c r="E856" s="158"/>
      <c r="F856" s="483"/>
      <c r="G856" s="158"/>
      <c r="H856" s="158"/>
      <c r="I856" s="158"/>
      <c r="J856" s="158"/>
      <c r="K856" s="484"/>
      <c r="L856" s="483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</row>
    <row r="857" spans="1:28" ht="15.75" customHeight="1">
      <c r="A857" s="158"/>
      <c r="B857" s="158"/>
      <c r="C857" s="158"/>
      <c r="D857" s="158"/>
      <c r="E857" s="158"/>
      <c r="F857" s="483"/>
      <c r="G857" s="158"/>
      <c r="H857" s="158"/>
      <c r="I857" s="158"/>
      <c r="J857" s="158"/>
      <c r="K857" s="484"/>
      <c r="L857" s="483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</row>
    <row r="858" spans="1:28" ht="15.75" customHeight="1">
      <c r="A858" s="158"/>
      <c r="B858" s="158"/>
      <c r="C858" s="158"/>
      <c r="D858" s="158"/>
      <c r="E858" s="158"/>
      <c r="F858" s="483"/>
      <c r="G858" s="158"/>
      <c r="H858" s="158"/>
      <c r="I858" s="158"/>
      <c r="J858" s="158"/>
      <c r="K858" s="484"/>
      <c r="L858" s="483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</row>
    <row r="859" spans="1:28" ht="15.75" customHeight="1">
      <c r="A859" s="158"/>
      <c r="B859" s="158"/>
      <c r="C859" s="158"/>
      <c r="D859" s="158"/>
      <c r="E859" s="158"/>
      <c r="F859" s="483"/>
      <c r="G859" s="158"/>
      <c r="H859" s="158"/>
      <c r="I859" s="158"/>
      <c r="J859" s="158"/>
      <c r="K859" s="484"/>
      <c r="L859" s="483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</row>
    <row r="860" spans="1:28" ht="15.75" customHeight="1">
      <c r="A860" s="158"/>
      <c r="B860" s="158"/>
      <c r="C860" s="158"/>
      <c r="D860" s="158"/>
      <c r="E860" s="158"/>
      <c r="F860" s="483"/>
      <c r="G860" s="158"/>
      <c r="H860" s="158"/>
      <c r="I860" s="158"/>
      <c r="J860" s="158"/>
      <c r="K860" s="484"/>
      <c r="L860" s="483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</row>
    <row r="861" spans="1:28" ht="15.75" customHeight="1">
      <c r="A861" s="158"/>
      <c r="B861" s="158"/>
      <c r="C861" s="158"/>
      <c r="D861" s="158"/>
      <c r="E861" s="158"/>
      <c r="F861" s="483"/>
      <c r="G861" s="158"/>
      <c r="H861" s="158"/>
      <c r="I861" s="158"/>
      <c r="J861" s="158"/>
      <c r="K861" s="484"/>
      <c r="L861" s="483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</row>
    <row r="862" spans="1:28" ht="15.75" customHeight="1">
      <c r="A862" s="158"/>
      <c r="B862" s="158"/>
      <c r="C862" s="158"/>
      <c r="D862" s="158"/>
      <c r="E862" s="158"/>
      <c r="F862" s="483"/>
      <c r="G862" s="158"/>
      <c r="H862" s="158"/>
      <c r="I862" s="158"/>
      <c r="J862" s="158"/>
      <c r="K862" s="484"/>
      <c r="L862" s="483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</row>
    <row r="863" spans="1:28" ht="15.75" customHeight="1">
      <c r="A863" s="158"/>
      <c r="B863" s="158"/>
      <c r="C863" s="158"/>
      <c r="D863" s="158"/>
      <c r="E863" s="158"/>
      <c r="F863" s="483"/>
      <c r="G863" s="158"/>
      <c r="H863" s="158"/>
      <c r="I863" s="158"/>
      <c r="J863" s="158"/>
      <c r="K863" s="484"/>
      <c r="L863" s="483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</row>
    <row r="864" spans="1:28" ht="15.75" customHeight="1">
      <c r="A864" s="158"/>
      <c r="B864" s="158"/>
      <c r="C864" s="158"/>
      <c r="D864" s="158"/>
      <c r="E864" s="158"/>
      <c r="F864" s="483"/>
      <c r="G864" s="158"/>
      <c r="H864" s="158"/>
      <c r="I864" s="158"/>
      <c r="J864" s="158"/>
      <c r="K864" s="484"/>
      <c r="L864" s="483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</row>
    <row r="865" spans="1:28" ht="15.75" customHeight="1">
      <c r="A865" s="158"/>
      <c r="B865" s="158"/>
      <c r="C865" s="158"/>
      <c r="D865" s="158"/>
      <c r="E865" s="158"/>
      <c r="F865" s="483"/>
      <c r="G865" s="158"/>
      <c r="H865" s="158"/>
      <c r="I865" s="158"/>
      <c r="J865" s="158"/>
      <c r="K865" s="484"/>
      <c r="L865" s="483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</row>
    <row r="866" spans="1:28" ht="15.75" customHeight="1">
      <c r="A866" s="158"/>
      <c r="B866" s="158"/>
      <c r="C866" s="158"/>
      <c r="D866" s="158"/>
      <c r="E866" s="158"/>
      <c r="F866" s="483"/>
      <c r="G866" s="158"/>
      <c r="H866" s="158"/>
      <c r="I866" s="158"/>
      <c r="J866" s="158"/>
      <c r="K866" s="484"/>
      <c r="L866" s="483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</row>
    <row r="867" spans="1:28" ht="15.75" customHeight="1">
      <c r="A867" s="158"/>
      <c r="B867" s="158"/>
      <c r="C867" s="158"/>
      <c r="D867" s="158"/>
      <c r="E867" s="158"/>
      <c r="F867" s="483"/>
      <c r="G867" s="158"/>
      <c r="H867" s="158"/>
      <c r="I867" s="158"/>
      <c r="J867" s="158"/>
      <c r="K867" s="484"/>
      <c r="L867" s="483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</row>
    <row r="868" spans="1:28" ht="15.75" customHeight="1">
      <c r="A868" s="158"/>
      <c r="B868" s="158"/>
      <c r="C868" s="158"/>
      <c r="D868" s="158"/>
      <c r="E868" s="158"/>
      <c r="F868" s="483"/>
      <c r="G868" s="158"/>
      <c r="H868" s="158"/>
      <c r="I868" s="158"/>
      <c r="J868" s="158"/>
      <c r="K868" s="484"/>
      <c r="L868" s="483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</row>
    <row r="869" spans="1:28" ht="15.75" customHeight="1">
      <c r="A869" s="158"/>
      <c r="B869" s="158"/>
      <c r="C869" s="158"/>
      <c r="D869" s="158"/>
      <c r="E869" s="158"/>
      <c r="F869" s="483"/>
      <c r="G869" s="158"/>
      <c r="H869" s="158"/>
      <c r="I869" s="158"/>
      <c r="J869" s="158"/>
      <c r="K869" s="484"/>
      <c r="L869" s="483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</row>
    <row r="870" spans="1:28" ht="15.75" customHeight="1">
      <c r="A870" s="158"/>
      <c r="B870" s="158"/>
      <c r="C870" s="158"/>
      <c r="D870" s="158"/>
      <c r="E870" s="158"/>
      <c r="F870" s="483"/>
      <c r="G870" s="158"/>
      <c r="H870" s="158"/>
      <c r="I870" s="158"/>
      <c r="J870" s="158"/>
      <c r="K870" s="484"/>
      <c r="L870" s="483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</row>
    <row r="871" spans="1:28" ht="15.75" customHeight="1">
      <c r="A871" s="158"/>
      <c r="B871" s="158"/>
      <c r="C871" s="158"/>
      <c r="D871" s="158"/>
      <c r="E871" s="158"/>
      <c r="F871" s="483"/>
      <c r="G871" s="158"/>
      <c r="H871" s="158"/>
      <c r="I871" s="158"/>
      <c r="J871" s="158"/>
      <c r="K871" s="484"/>
      <c r="L871" s="483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</row>
    <row r="872" spans="1:28" ht="15.75" customHeight="1">
      <c r="A872" s="158"/>
      <c r="B872" s="158"/>
      <c r="C872" s="158"/>
      <c r="D872" s="158"/>
      <c r="E872" s="158"/>
      <c r="F872" s="483"/>
      <c r="G872" s="158"/>
      <c r="H872" s="158"/>
      <c r="I872" s="158"/>
      <c r="J872" s="158"/>
      <c r="K872" s="484"/>
      <c r="L872" s="483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</row>
    <row r="873" spans="1:28" ht="15.75" customHeight="1">
      <c r="A873" s="158"/>
      <c r="B873" s="158"/>
      <c r="C873" s="158"/>
      <c r="D873" s="158"/>
      <c r="E873" s="158"/>
      <c r="F873" s="483"/>
      <c r="G873" s="158"/>
      <c r="H873" s="158"/>
      <c r="I873" s="158"/>
      <c r="J873" s="158"/>
      <c r="K873" s="484"/>
      <c r="L873" s="483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</row>
    <row r="874" spans="1:28" ht="15.75" customHeight="1">
      <c r="A874" s="158"/>
      <c r="B874" s="158"/>
      <c r="C874" s="158"/>
      <c r="D874" s="158"/>
      <c r="E874" s="158"/>
      <c r="F874" s="483"/>
      <c r="G874" s="158"/>
      <c r="H874" s="158"/>
      <c r="I874" s="158"/>
      <c r="J874" s="158"/>
      <c r="K874" s="484"/>
      <c r="L874" s="483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</row>
    <row r="875" spans="1:28" ht="15.75" customHeight="1">
      <c r="A875" s="158"/>
      <c r="B875" s="158"/>
      <c r="C875" s="158"/>
      <c r="D875" s="158"/>
      <c r="E875" s="158"/>
      <c r="F875" s="483"/>
      <c r="G875" s="158"/>
      <c r="H875" s="158"/>
      <c r="I875" s="158"/>
      <c r="J875" s="158"/>
      <c r="K875" s="484"/>
      <c r="L875" s="483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</row>
    <row r="876" spans="1:28" ht="15.75" customHeight="1">
      <c r="A876" s="158"/>
      <c r="B876" s="158"/>
      <c r="C876" s="158"/>
      <c r="D876" s="158"/>
      <c r="E876" s="158"/>
      <c r="F876" s="483"/>
      <c r="G876" s="158"/>
      <c r="H876" s="158"/>
      <c r="I876" s="158"/>
      <c r="J876" s="158"/>
      <c r="K876" s="484"/>
      <c r="L876" s="483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</row>
    <row r="877" spans="1:28" ht="15.75" customHeight="1">
      <c r="A877" s="158"/>
      <c r="B877" s="158"/>
      <c r="C877" s="158"/>
      <c r="D877" s="158"/>
      <c r="E877" s="158"/>
      <c r="F877" s="483"/>
      <c r="G877" s="158"/>
      <c r="H877" s="158"/>
      <c r="I877" s="158"/>
      <c r="J877" s="158"/>
      <c r="K877" s="484"/>
      <c r="L877" s="483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</row>
    <row r="878" spans="1:28" ht="15.75" customHeight="1">
      <c r="A878" s="158"/>
      <c r="B878" s="158"/>
      <c r="C878" s="158"/>
      <c r="D878" s="158"/>
      <c r="E878" s="158"/>
      <c r="F878" s="483"/>
      <c r="G878" s="158"/>
      <c r="H878" s="158"/>
      <c r="I878" s="158"/>
      <c r="J878" s="158"/>
      <c r="K878" s="484"/>
      <c r="L878" s="483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</row>
    <row r="879" spans="1:28" ht="15.75" customHeight="1">
      <c r="A879" s="158"/>
      <c r="B879" s="158"/>
      <c r="C879" s="158"/>
      <c r="D879" s="158"/>
      <c r="E879" s="158"/>
      <c r="F879" s="483"/>
      <c r="G879" s="158"/>
      <c r="H879" s="158"/>
      <c r="I879" s="158"/>
      <c r="J879" s="158"/>
      <c r="K879" s="484"/>
      <c r="L879" s="483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</row>
    <row r="880" spans="1:28" ht="15.75" customHeight="1">
      <c r="A880" s="158"/>
      <c r="B880" s="158"/>
      <c r="C880" s="158"/>
      <c r="D880" s="158"/>
      <c r="E880" s="158"/>
      <c r="F880" s="483"/>
      <c r="G880" s="158"/>
      <c r="H880" s="158"/>
      <c r="I880" s="158"/>
      <c r="J880" s="158"/>
      <c r="K880" s="484"/>
      <c r="L880" s="483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</row>
    <row r="881" spans="1:28" ht="15.75" customHeight="1">
      <c r="A881" s="158"/>
      <c r="B881" s="158"/>
      <c r="C881" s="158"/>
      <c r="D881" s="158"/>
      <c r="E881" s="158"/>
      <c r="F881" s="483"/>
      <c r="G881" s="158"/>
      <c r="H881" s="158"/>
      <c r="I881" s="158"/>
      <c r="J881" s="158"/>
      <c r="K881" s="484"/>
      <c r="L881" s="483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</row>
    <row r="882" spans="1:28" ht="15.75" customHeight="1">
      <c r="A882" s="158"/>
      <c r="B882" s="158"/>
      <c r="C882" s="158"/>
      <c r="D882" s="158"/>
      <c r="E882" s="158"/>
      <c r="F882" s="483"/>
      <c r="G882" s="158"/>
      <c r="H882" s="158"/>
      <c r="I882" s="158"/>
      <c r="J882" s="158"/>
      <c r="K882" s="484"/>
      <c r="L882" s="483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</row>
    <row r="883" spans="1:28" ht="15.75" customHeight="1">
      <c r="A883" s="158"/>
      <c r="B883" s="158"/>
      <c r="C883" s="158"/>
      <c r="D883" s="158"/>
      <c r="E883" s="158"/>
      <c r="F883" s="483"/>
      <c r="G883" s="158"/>
      <c r="H883" s="158"/>
      <c r="I883" s="158"/>
      <c r="J883" s="158"/>
      <c r="K883" s="484"/>
      <c r="L883" s="483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</row>
    <row r="884" spans="1:28" ht="15.75" customHeight="1">
      <c r="A884" s="158"/>
      <c r="B884" s="158"/>
      <c r="C884" s="158"/>
      <c r="D884" s="158"/>
      <c r="E884" s="158"/>
      <c r="F884" s="483"/>
      <c r="G884" s="158"/>
      <c r="H884" s="158"/>
      <c r="I884" s="158"/>
      <c r="J884" s="158"/>
      <c r="K884" s="484"/>
      <c r="L884" s="483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</row>
    <row r="885" spans="1:28" ht="15.75" customHeight="1">
      <c r="A885" s="158"/>
      <c r="B885" s="158"/>
      <c r="C885" s="158"/>
      <c r="D885" s="158"/>
      <c r="E885" s="158"/>
      <c r="F885" s="483"/>
      <c r="G885" s="158"/>
      <c r="H885" s="158"/>
      <c r="I885" s="158"/>
      <c r="J885" s="158"/>
      <c r="K885" s="484"/>
      <c r="L885" s="483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</row>
    <row r="886" spans="1:28" ht="15.75" customHeight="1">
      <c r="A886" s="158"/>
      <c r="B886" s="158"/>
      <c r="C886" s="158"/>
      <c r="D886" s="158"/>
      <c r="E886" s="158"/>
      <c r="F886" s="483"/>
      <c r="G886" s="158"/>
      <c r="H886" s="158"/>
      <c r="I886" s="158"/>
      <c r="J886" s="158"/>
      <c r="K886" s="484"/>
      <c r="L886" s="483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</row>
    <row r="887" spans="1:28" ht="15.75" customHeight="1">
      <c r="A887" s="158"/>
      <c r="B887" s="158"/>
      <c r="C887" s="158"/>
      <c r="D887" s="158"/>
      <c r="E887" s="158"/>
      <c r="F887" s="483"/>
      <c r="G887" s="158"/>
      <c r="H887" s="158"/>
      <c r="I887" s="158"/>
      <c r="J887" s="158"/>
      <c r="K887" s="484"/>
      <c r="L887" s="483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</row>
    <row r="888" spans="1:28" ht="15.75" customHeight="1">
      <c r="A888" s="158"/>
      <c r="B888" s="158"/>
      <c r="C888" s="158"/>
      <c r="D888" s="158"/>
      <c r="E888" s="158"/>
      <c r="F888" s="483"/>
      <c r="G888" s="158"/>
      <c r="H888" s="158"/>
      <c r="I888" s="158"/>
      <c r="J888" s="158"/>
      <c r="K888" s="484"/>
      <c r="L888" s="483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</row>
    <row r="889" spans="1:28" ht="15.75" customHeight="1">
      <c r="A889" s="158"/>
      <c r="B889" s="158"/>
      <c r="C889" s="158"/>
      <c r="D889" s="158"/>
      <c r="E889" s="158"/>
      <c r="F889" s="483"/>
      <c r="G889" s="158"/>
      <c r="H889" s="158"/>
      <c r="I889" s="158"/>
      <c r="J889" s="158"/>
      <c r="K889" s="484"/>
      <c r="L889" s="483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</row>
    <row r="890" spans="1:28" ht="15.75" customHeight="1">
      <c r="A890" s="158"/>
      <c r="B890" s="158"/>
      <c r="C890" s="158"/>
      <c r="D890" s="158"/>
      <c r="E890" s="158"/>
      <c r="F890" s="483"/>
      <c r="G890" s="158"/>
      <c r="H890" s="158"/>
      <c r="I890" s="158"/>
      <c r="J890" s="158"/>
      <c r="K890" s="484"/>
      <c r="L890" s="483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</row>
    <row r="891" spans="1:28" ht="15.75" customHeight="1">
      <c r="A891" s="158"/>
      <c r="B891" s="158"/>
      <c r="C891" s="158"/>
      <c r="D891" s="158"/>
      <c r="E891" s="158"/>
      <c r="F891" s="483"/>
      <c r="G891" s="158"/>
      <c r="H891" s="158"/>
      <c r="I891" s="158"/>
      <c r="J891" s="158"/>
      <c r="K891" s="484"/>
      <c r="L891" s="483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</row>
    <row r="892" spans="1:28" ht="15.75" customHeight="1">
      <c r="A892" s="158"/>
      <c r="B892" s="158"/>
      <c r="C892" s="158"/>
      <c r="D892" s="158"/>
      <c r="E892" s="158"/>
      <c r="F892" s="483"/>
      <c r="G892" s="158"/>
      <c r="H892" s="158"/>
      <c r="I892" s="158"/>
      <c r="J892" s="158"/>
      <c r="K892" s="484"/>
      <c r="L892" s="483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</row>
    <row r="893" spans="1:28" ht="15.75" customHeight="1">
      <c r="A893" s="158"/>
      <c r="B893" s="158"/>
      <c r="C893" s="158"/>
      <c r="D893" s="158"/>
      <c r="E893" s="158"/>
      <c r="F893" s="483"/>
      <c r="G893" s="158"/>
      <c r="H893" s="158"/>
      <c r="I893" s="158"/>
      <c r="J893" s="158"/>
      <c r="K893" s="484"/>
      <c r="L893" s="483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</row>
    <row r="894" spans="1:28" ht="15.75" customHeight="1">
      <c r="A894" s="158"/>
      <c r="B894" s="158"/>
      <c r="C894" s="158"/>
      <c r="D894" s="158"/>
      <c r="E894" s="158"/>
      <c r="F894" s="483"/>
      <c r="G894" s="158"/>
      <c r="H894" s="158"/>
      <c r="I894" s="158"/>
      <c r="J894" s="158"/>
      <c r="K894" s="484"/>
      <c r="L894" s="483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</row>
    <row r="895" spans="1:28" ht="15.75" customHeight="1">
      <c r="A895" s="158"/>
      <c r="B895" s="158"/>
      <c r="C895" s="158"/>
      <c r="D895" s="158"/>
      <c r="E895" s="158"/>
      <c r="F895" s="483"/>
      <c r="G895" s="158"/>
      <c r="H895" s="158"/>
      <c r="I895" s="158"/>
      <c r="J895" s="158"/>
      <c r="K895" s="484"/>
      <c r="L895" s="483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</row>
    <row r="896" spans="1:28" ht="15.75" customHeight="1">
      <c r="A896" s="158"/>
      <c r="B896" s="158"/>
      <c r="C896" s="158"/>
      <c r="D896" s="158"/>
      <c r="E896" s="158"/>
      <c r="F896" s="483"/>
      <c r="G896" s="158"/>
      <c r="H896" s="158"/>
      <c r="I896" s="158"/>
      <c r="J896" s="158"/>
      <c r="K896" s="484"/>
      <c r="L896" s="483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</row>
    <row r="897" spans="1:28" ht="15.75" customHeight="1">
      <c r="A897" s="158"/>
      <c r="B897" s="158"/>
      <c r="C897" s="158"/>
      <c r="D897" s="158"/>
      <c r="E897" s="158"/>
      <c r="F897" s="483"/>
      <c r="G897" s="158"/>
      <c r="H897" s="158"/>
      <c r="I897" s="158"/>
      <c r="J897" s="158"/>
      <c r="K897" s="484"/>
      <c r="L897" s="483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</row>
    <row r="898" spans="1:28" ht="15.75" customHeight="1">
      <c r="A898" s="158"/>
      <c r="B898" s="158"/>
      <c r="C898" s="158"/>
      <c r="D898" s="158"/>
      <c r="E898" s="158"/>
      <c r="F898" s="483"/>
      <c r="G898" s="158"/>
      <c r="H898" s="158"/>
      <c r="I898" s="158"/>
      <c r="J898" s="158"/>
      <c r="K898" s="484"/>
      <c r="L898" s="483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</row>
    <row r="899" spans="1:28" ht="15.75" customHeight="1">
      <c r="A899" s="158"/>
      <c r="B899" s="158"/>
      <c r="C899" s="158"/>
      <c r="D899" s="158"/>
      <c r="E899" s="158"/>
      <c r="F899" s="483"/>
      <c r="G899" s="158"/>
      <c r="H899" s="158"/>
      <c r="I899" s="158"/>
      <c r="J899" s="158"/>
      <c r="K899" s="484"/>
      <c r="L899" s="483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</row>
    <row r="900" spans="1:28" ht="15.75" customHeight="1">
      <c r="A900" s="158"/>
      <c r="B900" s="158"/>
      <c r="C900" s="158"/>
      <c r="D900" s="158"/>
      <c r="E900" s="158"/>
      <c r="F900" s="483"/>
      <c r="G900" s="158"/>
      <c r="H900" s="158"/>
      <c r="I900" s="158"/>
      <c r="J900" s="158"/>
      <c r="K900" s="484"/>
      <c r="L900" s="483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</row>
    <row r="901" spans="1:28" ht="15.75" customHeight="1">
      <c r="A901" s="158"/>
      <c r="B901" s="158"/>
      <c r="C901" s="158"/>
      <c r="D901" s="158"/>
      <c r="E901" s="158"/>
      <c r="F901" s="483"/>
      <c r="G901" s="158"/>
      <c r="H901" s="158"/>
      <c r="I901" s="158"/>
      <c r="J901" s="158"/>
      <c r="K901" s="484"/>
      <c r="L901" s="483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</row>
    <row r="902" spans="1:28" ht="15.75" customHeight="1">
      <c r="A902" s="158"/>
      <c r="B902" s="158"/>
      <c r="C902" s="158"/>
      <c r="D902" s="158"/>
      <c r="E902" s="158"/>
      <c r="F902" s="483"/>
      <c r="G902" s="158"/>
      <c r="H902" s="158"/>
      <c r="I902" s="158"/>
      <c r="J902" s="158"/>
      <c r="K902" s="484"/>
      <c r="L902" s="483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</row>
    <row r="903" spans="1:28" ht="15.75" customHeight="1">
      <c r="A903" s="158"/>
      <c r="B903" s="158"/>
      <c r="C903" s="158"/>
      <c r="D903" s="158"/>
      <c r="E903" s="158"/>
      <c r="F903" s="483"/>
      <c r="G903" s="158"/>
      <c r="H903" s="158"/>
      <c r="I903" s="158"/>
      <c r="J903" s="158"/>
      <c r="K903" s="484"/>
      <c r="L903" s="483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</row>
    <row r="904" spans="1:28" ht="15.75" customHeight="1">
      <c r="A904" s="158"/>
      <c r="B904" s="158"/>
      <c r="C904" s="158"/>
      <c r="D904" s="158"/>
      <c r="E904" s="158"/>
      <c r="F904" s="483"/>
      <c r="G904" s="158"/>
      <c r="H904" s="158"/>
      <c r="I904" s="158"/>
      <c r="J904" s="158"/>
      <c r="K904" s="484"/>
      <c r="L904" s="483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</row>
    <row r="905" spans="1:28" ht="15.75" customHeight="1">
      <c r="A905" s="158"/>
      <c r="B905" s="158"/>
      <c r="C905" s="158"/>
      <c r="D905" s="158"/>
      <c r="E905" s="158"/>
      <c r="F905" s="483"/>
      <c r="G905" s="158"/>
      <c r="H905" s="158"/>
      <c r="I905" s="158"/>
      <c r="J905" s="158"/>
      <c r="K905" s="484"/>
      <c r="L905" s="483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</row>
    <row r="906" spans="1:28" ht="15.75" customHeight="1">
      <c r="A906" s="158"/>
      <c r="B906" s="158"/>
      <c r="C906" s="158"/>
      <c r="D906" s="158"/>
      <c r="E906" s="158"/>
      <c r="F906" s="483"/>
      <c r="G906" s="158"/>
      <c r="H906" s="158"/>
      <c r="I906" s="158"/>
      <c r="J906" s="158"/>
      <c r="K906" s="484"/>
      <c r="L906" s="483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</row>
    <row r="907" spans="1:28" ht="15.75" customHeight="1">
      <c r="A907" s="158"/>
      <c r="B907" s="158"/>
      <c r="C907" s="158"/>
      <c r="D907" s="158"/>
      <c r="E907" s="158"/>
      <c r="F907" s="483"/>
      <c r="G907" s="158"/>
      <c r="H907" s="158"/>
      <c r="I907" s="158"/>
      <c r="J907" s="158"/>
      <c r="K907" s="484"/>
      <c r="L907" s="483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</row>
    <row r="908" spans="1:28" ht="15.75" customHeight="1">
      <c r="A908" s="158"/>
      <c r="B908" s="158"/>
      <c r="C908" s="158"/>
      <c r="D908" s="158"/>
      <c r="E908" s="158"/>
      <c r="F908" s="483"/>
      <c r="G908" s="158"/>
      <c r="H908" s="158"/>
      <c r="I908" s="158"/>
      <c r="J908" s="158"/>
      <c r="K908" s="484"/>
      <c r="L908" s="483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</row>
    <row r="909" spans="1:28" ht="15.75" customHeight="1">
      <c r="A909" s="158"/>
      <c r="B909" s="158"/>
      <c r="C909" s="158"/>
      <c r="D909" s="158"/>
      <c r="E909" s="158"/>
      <c r="F909" s="483"/>
      <c r="G909" s="158"/>
      <c r="H909" s="158"/>
      <c r="I909" s="158"/>
      <c r="J909" s="158"/>
      <c r="K909" s="484"/>
      <c r="L909" s="483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</row>
    <row r="910" spans="1:28" ht="15.75" customHeight="1">
      <c r="A910" s="158"/>
      <c r="B910" s="158"/>
      <c r="C910" s="158"/>
      <c r="D910" s="158"/>
      <c r="E910" s="158"/>
      <c r="F910" s="483"/>
      <c r="G910" s="158"/>
      <c r="H910" s="158"/>
      <c r="I910" s="158"/>
      <c r="J910" s="158"/>
      <c r="K910" s="484"/>
      <c r="L910" s="483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</row>
    <row r="911" spans="1:28" ht="15.75" customHeight="1">
      <c r="A911" s="158"/>
      <c r="B911" s="158"/>
      <c r="C911" s="158"/>
      <c r="D911" s="158"/>
      <c r="E911" s="158"/>
      <c r="F911" s="483"/>
      <c r="G911" s="158"/>
      <c r="H911" s="158"/>
      <c r="I911" s="158"/>
      <c r="J911" s="158"/>
      <c r="K911" s="484"/>
      <c r="L911" s="483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</row>
    <row r="912" spans="1:28" ht="15.75" customHeight="1">
      <c r="A912" s="158"/>
      <c r="B912" s="158"/>
      <c r="C912" s="158"/>
      <c r="D912" s="158"/>
      <c r="E912" s="158"/>
      <c r="F912" s="483"/>
      <c r="G912" s="158"/>
      <c r="H912" s="158"/>
      <c r="I912" s="158"/>
      <c r="J912" s="158"/>
      <c r="K912" s="484"/>
      <c r="L912" s="483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</row>
    <row r="913" spans="1:28" ht="15.75" customHeight="1">
      <c r="A913" s="158"/>
      <c r="B913" s="158"/>
      <c r="C913" s="158"/>
      <c r="D913" s="158"/>
      <c r="E913" s="158"/>
      <c r="F913" s="483"/>
      <c r="G913" s="158"/>
      <c r="H913" s="158"/>
      <c r="I913" s="158"/>
      <c r="J913" s="158"/>
      <c r="K913" s="484"/>
      <c r="L913" s="483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</row>
    <row r="914" spans="1:28" ht="15.75" customHeight="1">
      <c r="A914" s="158"/>
      <c r="B914" s="158"/>
      <c r="C914" s="158"/>
      <c r="D914" s="158"/>
      <c r="E914" s="158"/>
      <c r="F914" s="483"/>
      <c r="G914" s="158"/>
      <c r="H914" s="158"/>
      <c r="I914" s="158"/>
      <c r="J914" s="158"/>
      <c r="K914" s="484"/>
      <c r="L914" s="483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</row>
    <row r="915" spans="1:28" ht="15.75" customHeight="1">
      <c r="A915" s="158"/>
      <c r="B915" s="158"/>
      <c r="C915" s="158"/>
      <c r="D915" s="158"/>
      <c r="E915" s="158"/>
      <c r="F915" s="483"/>
      <c r="G915" s="158"/>
      <c r="H915" s="158"/>
      <c r="I915" s="158"/>
      <c r="J915" s="158"/>
      <c r="K915" s="484"/>
      <c r="L915" s="483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</row>
    <row r="916" spans="1:28" ht="15.75" customHeight="1">
      <c r="A916" s="158"/>
      <c r="B916" s="158"/>
      <c r="C916" s="158"/>
      <c r="D916" s="158"/>
      <c r="E916" s="158"/>
      <c r="F916" s="483"/>
      <c r="G916" s="158"/>
      <c r="H916" s="158"/>
      <c r="I916" s="158"/>
      <c r="J916" s="158"/>
      <c r="K916" s="484"/>
      <c r="L916" s="483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</row>
    <row r="917" spans="1:28" ht="15.75" customHeight="1">
      <c r="A917" s="158"/>
      <c r="B917" s="158"/>
      <c r="C917" s="158"/>
      <c r="D917" s="158"/>
      <c r="E917" s="158"/>
      <c r="F917" s="483"/>
      <c r="G917" s="158"/>
      <c r="H917" s="158"/>
      <c r="I917" s="158"/>
      <c r="J917" s="158"/>
      <c r="K917" s="484"/>
      <c r="L917" s="483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</row>
    <row r="918" spans="1:28" ht="15.75" customHeight="1">
      <c r="A918" s="158"/>
      <c r="B918" s="158"/>
      <c r="C918" s="158"/>
      <c r="D918" s="158"/>
      <c r="E918" s="158"/>
      <c r="F918" s="483"/>
      <c r="G918" s="158"/>
      <c r="H918" s="158"/>
      <c r="I918" s="158"/>
      <c r="J918" s="158"/>
      <c r="K918" s="484"/>
      <c r="L918" s="483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</row>
    <row r="919" spans="1:28" ht="15.75" customHeight="1">
      <c r="A919" s="158"/>
      <c r="B919" s="158"/>
      <c r="C919" s="158"/>
      <c r="D919" s="158"/>
      <c r="E919" s="158"/>
      <c r="F919" s="483"/>
      <c r="G919" s="158"/>
      <c r="H919" s="158"/>
      <c r="I919" s="158"/>
      <c r="J919" s="158"/>
      <c r="K919" s="484"/>
      <c r="L919" s="483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</row>
    <row r="920" spans="1:28" ht="15.75" customHeight="1">
      <c r="A920" s="158"/>
      <c r="B920" s="158"/>
      <c r="C920" s="158"/>
      <c r="D920" s="158"/>
      <c r="E920" s="158"/>
      <c r="F920" s="483"/>
      <c r="G920" s="158"/>
      <c r="H920" s="158"/>
      <c r="I920" s="158"/>
      <c r="J920" s="158"/>
      <c r="K920" s="484"/>
      <c r="L920" s="483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</row>
    <row r="921" spans="1:28" ht="15.75" customHeight="1">
      <c r="A921" s="158"/>
      <c r="B921" s="158"/>
      <c r="C921" s="158"/>
      <c r="D921" s="158"/>
      <c r="E921" s="158"/>
      <c r="F921" s="483"/>
      <c r="G921" s="158"/>
      <c r="H921" s="158"/>
      <c r="I921" s="158"/>
      <c r="J921" s="158"/>
      <c r="K921" s="484"/>
      <c r="L921" s="483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</row>
    <row r="922" spans="1:28" ht="15.75" customHeight="1">
      <c r="A922" s="158"/>
      <c r="B922" s="158"/>
      <c r="C922" s="158"/>
      <c r="D922" s="158"/>
      <c r="E922" s="158"/>
      <c r="F922" s="483"/>
      <c r="G922" s="158"/>
      <c r="H922" s="158"/>
      <c r="I922" s="158"/>
      <c r="J922" s="158"/>
      <c r="K922" s="484"/>
      <c r="L922" s="483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</row>
    <row r="923" spans="1:28" ht="15.75" customHeight="1">
      <c r="A923" s="158"/>
      <c r="B923" s="158"/>
      <c r="C923" s="158"/>
      <c r="D923" s="158"/>
      <c r="E923" s="158"/>
      <c r="F923" s="483"/>
      <c r="G923" s="158"/>
      <c r="H923" s="158"/>
      <c r="I923" s="158"/>
      <c r="J923" s="158"/>
      <c r="K923" s="484"/>
      <c r="L923" s="483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</row>
    <row r="924" spans="1:28" ht="15.75" customHeight="1">
      <c r="A924" s="158"/>
      <c r="B924" s="158"/>
      <c r="C924" s="158"/>
      <c r="D924" s="158"/>
      <c r="E924" s="158"/>
      <c r="F924" s="483"/>
      <c r="G924" s="158"/>
      <c r="H924" s="158"/>
      <c r="I924" s="158"/>
      <c r="J924" s="158"/>
      <c r="K924" s="484"/>
      <c r="L924" s="483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</row>
    <row r="925" spans="1:28" ht="15.75" customHeight="1">
      <c r="A925" s="158"/>
      <c r="B925" s="158"/>
      <c r="C925" s="158"/>
      <c r="D925" s="158"/>
      <c r="E925" s="158"/>
      <c r="F925" s="483"/>
      <c r="G925" s="158"/>
      <c r="H925" s="158"/>
      <c r="I925" s="158"/>
      <c r="J925" s="158"/>
      <c r="K925" s="484"/>
      <c r="L925" s="483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</row>
    <row r="926" spans="1:28" ht="15.75" customHeight="1">
      <c r="A926" s="158"/>
      <c r="B926" s="158"/>
      <c r="C926" s="158"/>
      <c r="D926" s="158"/>
      <c r="E926" s="158"/>
      <c r="F926" s="483"/>
      <c r="G926" s="158"/>
      <c r="H926" s="158"/>
      <c r="I926" s="158"/>
      <c r="J926" s="158"/>
      <c r="K926" s="484"/>
      <c r="L926" s="483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</row>
    <row r="927" spans="1:28" ht="15.75" customHeight="1">
      <c r="A927" s="158"/>
      <c r="B927" s="158"/>
      <c r="C927" s="158"/>
      <c r="D927" s="158"/>
      <c r="E927" s="158"/>
      <c r="F927" s="483"/>
      <c r="G927" s="158"/>
      <c r="H927" s="158"/>
      <c r="I927" s="158"/>
      <c r="J927" s="158"/>
      <c r="K927" s="484"/>
      <c r="L927" s="483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</row>
    <row r="928" spans="1:28" ht="15.75" customHeight="1">
      <c r="A928" s="158"/>
      <c r="B928" s="158"/>
      <c r="C928" s="158"/>
      <c r="D928" s="158"/>
      <c r="E928" s="158"/>
      <c r="F928" s="483"/>
      <c r="G928" s="158"/>
      <c r="H928" s="158"/>
      <c r="I928" s="158"/>
      <c r="J928" s="158"/>
      <c r="K928" s="484"/>
      <c r="L928" s="483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</row>
    <row r="929" spans="1:28" ht="15.75" customHeight="1">
      <c r="A929" s="158"/>
      <c r="B929" s="158"/>
      <c r="C929" s="158"/>
      <c r="D929" s="158"/>
      <c r="E929" s="158"/>
      <c r="F929" s="483"/>
      <c r="G929" s="158"/>
      <c r="H929" s="158"/>
      <c r="I929" s="158"/>
      <c r="J929" s="158"/>
      <c r="K929" s="484"/>
      <c r="L929" s="483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</row>
    <row r="930" spans="1:28" ht="15.75" customHeight="1">
      <c r="A930" s="158"/>
      <c r="B930" s="158"/>
      <c r="C930" s="158"/>
      <c r="D930" s="158"/>
      <c r="E930" s="158"/>
      <c r="F930" s="483"/>
      <c r="G930" s="158"/>
      <c r="H930" s="158"/>
      <c r="I930" s="158"/>
      <c r="J930" s="158"/>
      <c r="K930" s="484"/>
      <c r="L930" s="483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</row>
    <row r="931" spans="1:28" ht="15.75" customHeight="1">
      <c r="A931" s="158"/>
      <c r="B931" s="158"/>
      <c r="C931" s="158"/>
      <c r="D931" s="158"/>
      <c r="E931" s="158"/>
      <c r="F931" s="483"/>
      <c r="G931" s="158"/>
      <c r="H931" s="158"/>
      <c r="I931" s="158"/>
      <c r="J931" s="158"/>
      <c r="K931" s="484"/>
      <c r="L931" s="483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</row>
    <row r="932" spans="1:28" ht="15.75" customHeight="1">
      <c r="A932" s="158"/>
      <c r="B932" s="158"/>
      <c r="C932" s="158"/>
      <c r="D932" s="158"/>
      <c r="E932" s="158"/>
      <c r="F932" s="483"/>
      <c r="G932" s="158"/>
      <c r="H932" s="158"/>
      <c r="I932" s="158"/>
      <c r="J932" s="158"/>
      <c r="K932" s="484"/>
      <c r="L932" s="483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</row>
    <row r="933" spans="1:28" ht="15.75" customHeight="1">
      <c r="A933" s="158"/>
      <c r="B933" s="158"/>
      <c r="C933" s="158"/>
      <c r="D933" s="158"/>
      <c r="E933" s="158"/>
      <c r="F933" s="483"/>
      <c r="G933" s="158"/>
      <c r="H933" s="158"/>
      <c r="I933" s="158"/>
      <c r="J933" s="158"/>
      <c r="K933" s="484"/>
      <c r="L933" s="483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</row>
    <row r="934" spans="1:28" ht="15.75" customHeight="1">
      <c r="A934" s="158"/>
      <c r="B934" s="158"/>
      <c r="C934" s="158"/>
      <c r="D934" s="158"/>
      <c r="E934" s="158"/>
      <c r="F934" s="483"/>
      <c r="G934" s="158"/>
      <c r="H934" s="158"/>
      <c r="I934" s="158"/>
      <c r="J934" s="158"/>
      <c r="K934" s="484"/>
      <c r="L934" s="483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</row>
    <row r="935" spans="1:28" ht="15.75" customHeight="1">
      <c r="A935" s="158"/>
      <c r="B935" s="158"/>
      <c r="C935" s="158"/>
      <c r="D935" s="158"/>
      <c r="E935" s="158"/>
      <c r="F935" s="483"/>
      <c r="G935" s="158"/>
      <c r="H935" s="158"/>
      <c r="I935" s="158"/>
      <c r="J935" s="158"/>
      <c r="K935" s="484"/>
      <c r="L935" s="483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</row>
    <row r="936" spans="1:28" ht="15.75" customHeight="1">
      <c r="A936" s="158"/>
      <c r="B936" s="158"/>
      <c r="C936" s="158"/>
      <c r="D936" s="158"/>
      <c r="E936" s="158"/>
      <c r="F936" s="483"/>
      <c r="G936" s="158"/>
      <c r="H936" s="158"/>
      <c r="I936" s="158"/>
      <c r="J936" s="158"/>
      <c r="K936" s="484"/>
      <c r="L936" s="483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</row>
    <row r="937" spans="1:28" ht="15.75" customHeight="1">
      <c r="A937" s="158"/>
      <c r="B937" s="158"/>
      <c r="C937" s="158"/>
      <c r="D937" s="158"/>
      <c r="E937" s="158"/>
      <c r="F937" s="483"/>
      <c r="G937" s="158"/>
      <c r="H937" s="158"/>
      <c r="I937" s="158"/>
      <c r="J937" s="158"/>
      <c r="K937" s="484"/>
      <c r="L937" s="483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</row>
    <row r="938" spans="1:28" ht="15.75" customHeight="1">
      <c r="A938" s="158"/>
      <c r="B938" s="158"/>
      <c r="C938" s="158"/>
      <c r="D938" s="158"/>
      <c r="E938" s="158"/>
      <c r="F938" s="483"/>
      <c r="G938" s="158"/>
      <c r="H938" s="158"/>
      <c r="I938" s="158"/>
      <c r="J938" s="158"/>
      <c r="K938" s="484"/>
      <c r="L938" s="483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</row>
    <row r="939" spans="1:28" ht="15.75" customHeight="1">
      <c r="A939" s="158"/>
      <c r="B939" s="158"/>
      <c r="C939" s="158"/>
      <c r="D939" s="158"/>
      <c r="E939" s="158"/>
      <c r="F939" s="483"/>
      <c r="G939" s="158"/>
      <c r="H939" s="158"/>
      <c r="I939" s="158"/>
      <c r="J939" s="158"/>
      <c r="K939" s="484"/>
      <c r="L939" s="483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</row>
    <row r="940" spans="1:28" ht="15.75" customHeight="1">
      <c r="A940" s="158"/>
      <c r="B940" s="158"/>
      <c r="C940" s="158"/>
      <c r="D940" s="158"/>
      <c r="E940" s="158"/>
      <c r="F940" s="483"/>
      <c r="G940" s="158"/>
      <c r="H940" s="158"/>
      <c r="I940" s="158"/>
      <c r="J940" s="158"/>
      <c r="K940" s="484"/>
      <c r="L940" s="483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</row>
    <row r="941" spans="1:28" ht="15.75" customHeight="1">
      <c r="A941" s="158"/>
      <c r="B941" s="158"/>
      <c r="C941" s="158"/>
      <c r="D941" s="158"/>
      <c r="E941" s="158"/>
      <c r="F941" s="483"/>
      <c r="G941" s="158"/>
      <c r="H941" s="158"/>
      <c r="I941" s="158"/>
      <c r="J941" s="158"/>
      <c r="K941" s="484"/>
      <c r="L941" s="483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</row>
    <row r="942" spans="1:28" ht="15.75" customHeight="1">
      <c r="A942" s="158"/>
      <c r="B942" s="158"/>
      <c r="C942" s="158"/>
      <c r="D942" s="158"/>
      <c r="E942" s="158"/>
      <c r="F942" s="483"/>
      <c r="G942" s="158"/>
      <c r="H942" s="158"/>
      <c r="I942" s="158"/>
      <c r="J942" s="158"/>
      <c r="K942" s="484"/>
      <c r="L942" s="483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</row>
    <row r="943" spans="1:28" ht="15.75" customHeight="1">
      <c r="A943" s="158"/>
      <c r="B943" s="158"/>
      <c r="C943" s="158"/>
      <c r="D943" s="158"/>
      <c r="E943" s="158"/>
      <c r="F943" s="483"/>
      <c r="G943" s="158"/>
      <c r="H943" s="158"/>
      <c r="I943" s="158"/>
      <c r="J943" s="158"/>
      <c r="K943" s="484"/>
      <c r="L943" s="483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</row>
    <row r="944" spans="1:28" ht="15.75" customHeight="1">
      <c r="A944" s="158"/>
      <c r="B944" s="158"/>
      <c r="C944" s="158"/>
      <c r="D944" s="158"/>
      <c r="E944" s="158"/>
      <c r="F944" s="483"/>
      <c r="G944" s="158"/>
      <c r="H944" s="158"/>
      <c r="I944" s="158"/>
      <c r="J944" s="158"/>
      <c r="K944" s="484"/>
      <c r="L944" s="483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</row>
    <row r="945" spans="1:28" ht="15.75" customHeight="1">
      <c r="A945" s="158"/>
      <c r="B945" s="158"/>
      <c r="C945" s="158"/>
      <c r="D945" s="158"/>
      <c r="E945" s="158"/>
      <c r="F945" s="483"/>
      <c r="G945" s="158"/>
      <c r="H945" s="158"/>
      <c r="I945" s="158"/>
      <c r="J945" s="158"/>
      <c r="K945" s="484"/>
      <c r="L945" s="483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</row>
    <row r="946" spans="1:28" ht="15.75" customHeight="1">
      <c r="A946" s="158"/>
      <c r="B946" s="158"/>
      <c r="C946" s="158"/>
      <c r="D946" s="158"/>
      <c r="E946" s="158"/>
      <c r="F946" s="483"/>
      <c r="G946" s="158"/>
      <c r="H946" s="158"/>
      <c r="I946" s="158"/>
      <c r="J946" s="158"/>
      <c r="K946" s="484"/>
      <c r="L946" s="483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</row>
    <row r="947" spans="1:28" ht="15.75" customHeight="1">
      <c r="A947" s="158"/>
      <c r="B947" s="158"/>
      <c r="C947" s="158"/>
      <c r="D947" s="158"/>
      <c r="E947" s="158"/>
      <c r="F947" s="483"/>
      <c r="G947" s="158"/>
      <c r="H947" s="158"/>
      <c r="I947" s="158"/>
      <c r="J947" s="158"/>
      <c r="K947" s="484"/>
      <c r="L947" s="483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</row>
    <row r="948" spans="1:28" ht="15.75" customHeight="1">
      <c r="A948" s="158"/>
      <c r="B948" s="158"/>
      <c r="C948" s="158"/>
      <c r="D948" s="158"/>
      <c r="E948" s="158"/>
      <c r="F948" s="483"/>
      <c r="G948" s="158"/>
      <c r="H948" s="158"/>
      <c r="I948" s="158"/>
      <c r="J948" s="158"/>
      <c r="K948" s="484"/>
      <c r="L948" s="483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</row>
    <row r="949" spans="1:28" ht="15.75" customHeight="1">
      <c r="A949" s="158"/>
      <c r="B949" s="158"/>
      <c r="C949" s="158"/>
      <c r="D949" s="158"/>
      <c r="E949" s="158"/>
      <c r="F949" s="483"/>
      <c r="G949" s="158"/>
      <c r="H949" s="158"/>
      <c r="I949" s="158"/>
      <c r="J949" s="158"/>
      <c r="K949" s="484"/>
      <c r="L949" s="483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</row>
    <row r="950" spans="1:28" ht="15.75" customHeight="1">
      <c r="A950" s="158"/>
      <c r="B950" s="158"/>
      <c r="C950" s="158"/>
      <c r="D950" s="158"/>
      <c r="E950" s="158"/>
      <c r="F950" s="483"/>
      <c r="G950" s="158"/>
      <c r="H950" s="158"/>
      <c r="I950" s="158"/>
      <c r="J950" s="158"/>
      <c r="K950" s="484"/>
      <c r="L950" s="483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</row>
    <row r="951" spans="1:28" ht="15.75" customHeight="1">
      <c r="A951" s="158"/>
      <c r="B951" s="158"/>
      <c r="C951" s="158"/>
      <c r="D951" s="158"/>
      <c r="E951" s="158"/>
      <c r="F951" s="483"/>
      <c r="G951" s="158"/>
      <c r="H951" s="158"/>
      <c r="I951" s="158"/>
      <c r="J951" s="158"/>
      <c r="K951" s="484"/>
      <c r="L951" s="483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</row>
    <row r="952" spans="1:28" ht="15.75" customHeight="1">
      <c r="A952" s="158"/>
      <c r="B952" s="158"/>
      <c r="C952" s="158"/>
      <c r="D952" s="158"/>
      <c r="E952" s="158"/>
      <c r="F952" s="483"/>
      <c r="G952" s="158"/>
      <c r="H952" s="158"/>
      <c r="I952" s="158"/>
      <c r="J952" s="158"/>
      <c r="K952" s="484"/>
      <c r="L952" s="483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</row>
    <row r="953" spans="1:28" ht="15.75" customHeight="1">
      <c r="A953" s="158"/>
      <c r="B953" s="158"/>
      <c r="C953" s="158"/>
      <c r="D953" s="158"/>
      <c r="E953" s="158"/>
      <c r="F953" s="483"/>
      <c r="G953" s="158"/>
      <c r="H953" s="158"/>
      <c r="I953" s="158"/>
      <c r="J953" s="158"/>
      <c r="K953" s="484"/>
      <c r="L953" s="483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</row>
    <row r="954" spans="1:28" ht="15.75" customHeight="1">
      <c r="A954" s="158"/>
      <c r="B954" s="158"/>
      <c r="C954" s="158"/>
      <c r="D954" s="158"/>
      <c r="E954" s="158"/>
      <c r="F954" s="483"/>
      <c r="G954" s="158"/>
      <c r="H954" s="158"/>
      <c r="I954" s="158"/>
      <c r="J954" s="158"/>
      <c r="K954" s="484"/>
      <c r="L954" s="483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</row>
    <row r="955" spans="1:28" ht="15.75" customHeight="1">
      <c r="A955" s="158"/>
      <c r="B955" s="158"/>
      <c r="C955" s="158"/>
      <c r="D955" s="158"/>
      <c r="E955" s="158"/>
      <c r="F955" s="483"/>
      <c r="G955" s="158"/>
      <c r="H955" s="158"/>
      <c r="I955" s="158"/>
      <c r="J955" s="158"/>
      <c r="K955" s="484"/>
      <c r="L955" s="483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</row>
    <row r="956" spans="1:28" ht="15.75" customHeight="1">
      <c r="A956" s="158"/>
      <c r="B956" s="158"/>
      <c r="C956" s="158"/>
      <c r="D956" s="158"/>
      <c r="E956" s="158"/>
      <c r="F956" s="483"/>
      <c r="G956" s="158"/>
      <c r="H956" s="158"/>
      <c r="I956" s="158"/>
      <c r="J956" s="158"/>
      <c r="K956" s="484"/>
      <c r="L956" s="483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</row>
    <row r="957" spans="1:28" ht="15.75" customHeight="1">
      <c r="A957" s="158"/>
      <c r="B957" s="158"/>
      <c r="C957" s="158"/>
      <c r="D957" s="158"/>
      <c r="E957" s="158"/>
      <c r="F957" s="483"/>
      <c r="G957" s="158"/>
      <c r="H957" s="158"/>
      <c r="I957" s="158"/>
      <c r="J957" s="158"/>
      <c r="K957" s="484"/>
      <c r="L957" s="483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</row>
    <row r="958" spans="1:28" ht="15.75" customHeight="1">
      <c r="A958" s="158"/>
      <c r="B958" s="158"/>
      <c r="C958" s="158"/>
      <c r="D958" s="158"/>
      <c r="E958" s="158"/>
      <c r="F958" s="483"/>
      <c r="G958" s="158"/>
      <c r="H958" s="158"/>
      <c r="I958" s="158"/>
      <c r="J958" s="158"/>
      <c r="K958" s="484"/>
      <c r="L958" s="483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</row>
    <row r="959" spans="1:28" ht="15.75" customHeight="1">
      <c r="A959" s="158"/>
      <c r="B959" s="158"/>
      <c r="C959" s="158"/>
      <c r="D959" s="158"/>
      <c r="E959" s="158"/>
      <c r="F959" s="483"/>
      <c r="G959" s="158"/>
      <c r="H959" s="158"/>
      <c r="I959" s="158"/>
      <c r="J959" s="158"/>
      <c r="K959" s="484"/>
      <c r="L959" s="483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</row>
    <row r="960" spans="1:28" ht="15.75" customHeight="1">
      <c r="A960" s="158"/>
      <c r="B960" s="158"/>
      <c r="C960" s="158"/>
      <c r="D960" s="158"/>
      <c r="E960" s="158"/>
      <c r="F960" s="483"/>
      <c r="G960" s="158"/>
      <c r="H960" s="158"/>
      <c r="I960" s="158"/>
      <c r="J960" s="158"/>
      <c r="K960" s="484"/>
      <c r="L960" s="483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</row>
    <row r="961" spans="1:28" ht="15.75" customHeight="1">
      <c r="A961" s="158"/>
      <c r="B961" s="158"/>
      <c r="C961" s="158"/>
      <c r="D961" s="158"/>
      <c r="E961" s="158"/>
      <c r="F961" s="483"/>
      <c r="G961" s="158"/>
      <c r="H961" s="158"/>
      <c r="I961" s="158"/>
      <c r="J961" s="158"/>
      <c r="K961" s="484"/>
      <c r="L961" s="483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</row>
    <row r="962" spans="1:28" ht="15.75" customHeight="1">
      <c r="A962" s="158"/>
      <c r="B962" s="158"/>
      <c r="C962" s="158"/>
      <c r="D962" s="158"/>
      <c r="E962" s="158"/>
      <c r="F962" s="483"/>
      <c r="G962" s="158"/>
      <c r="H962" s="158"/>
      <c r="I962" s="158"/>
      <c r="J962" s="158"/>
      <c r="K962" s="484"/>
      <c r="L962" s="483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</row>
    <row r="963" spans="1:28" ht="15.75" customHeight="1">
      <c r="A963" s="158"/>
      <c r="B963" s="158"/>
      <c r="C963" s="158"/>
      <c r="D963" s="158"/>
      <c r="E963" s="158"/>
      <c r="F963" s="483"/>
      <c r="G963" s="158"/>
      <c r="H963" s="158"/>
      <c r="I963" s="158"/>
      <c r="J963" s="158"/>
      <c r="K963" s="484"/>
      <c r="L963" s="483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</row>
    <row r="964" spans="1:28" ht="15.75" customHeight="1">
      <c r="A964" s="158"/>
      <c r="B964" s="158"/>
      <c r="C964" s="158"/>
      <c r="D964" s="158"/>
      <c r="E964" s="158"/>
      <c r="F964" s="483"/>
      <c r="G964" s="158"/>
      <c r="H964" s="158"/>
      <c r="I964" s="158"/>
      <c r="J964" s="158"/>
      <c r="K964" s="484"/>
      <c r="L964" s="483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</row>
    <row r="965" spans="1:28" ht="15.75" customHeight="1">
      <c r="A965" s="158"/>
      <c r="B965" s="158"/>
      <c r="C965" s="158"/>
      <c r="D965" s="158"/>
      <c r="E965" s="158"/>
      <c r="F965" s="483"/>
      <c r="G965" s="158"/>
      <c r="H965" s="158"/>
      <c r="I965" s="158"/>
      <c r="J965" s="158"/>
      <c r="K965" s="484"/>
      <c r="L965" s="483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</row>
    <row r="966" spans="1:28" ht="15.75" customHeight="1">
      <c r="A966" s="158"/>
      <c r="B966" s="158"/>
      <c r="C966" s="158"/>
      <c r="D966" s="158"/>
      <c r="E966" s="158"/>
      <c r="F966" s="483"/>
      <c r="G966" s="158"/>
      <c r="H966" s="158"/>
      <c r="I966" s="158"/>
      <c r="J966" s="158"/>
      <c r="K966" s="484"/>
      <c r="L966" s="483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</row>
    <row r="967" spans="1:28" ht="15.75" customHeight="1">
      <c r="A967" s="158"/>
      <c r="B967" s="158"/>
      <c r="C967" s="158"/>
      <c r="D967" s="158"/>
      <c r="E967" s="158"/>
      <c r="F967" s="483"/>
      <c r="G967" s="158"/>
      <c r="H967" s="158"/>
      <c r="I967" s="158"/>
      <c r="J967" s="158"/>
      <c r="K967" s="484"/>
      <c r="L967" s="483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</row>
    <row r="968" spans="1:28" ht="15.75" customHeight="1">
      <c r="A968" s="158"/>
      <c r="B968" s="158"/>
      <c r="C968" s="158"/>
      <c r="D968" s="158"/>
      <c r="E968" s="158"/>
      <c r="F968" s="483"/>
      <c r="G968" s="158"/>
      <c r="H968" s="158"/>
      <c r="I968" s="158"/>
      <c r="J968" s="158"/>
      <c r="K968" s="484"/>
      <c r="L968" s="483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</row>
    <row r="969" spans="1:28" ht="15.75" customHeight="1">
      <c r="A969" s="158"/>
      <c r="B969" s="158"/>
      <c r="C969" s="158"/>
      <c r="D969" s="158"/>
      <c r="E969" s="158"/>
      <c r="F969" s="483"/>
      <c r="G969" s="158"/>
      <c r="H969" s="158"/>
      <c r="I969" s="158"/>
      <c r="J969" s="158"/>
      <c r="K969" s="484"/>
      <c r="L969" s="483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</row>
    <row r="970" spans="1:28" ht="15.75" customHeight="1">
      <c r="A970" s="158"/>
      <c r="B970" s="158"/>
      <c r="C970" s="158"/>
      <c r="D970" s="158"/>
      <c r="E970" s="158"/>
      <c r="F970" s="483"/>
      <c r="G970" s="158"/>
      <c r="H970" s="158"/>
      <c r="I970" s="158"/>
      <c r="J970" s="158"/>
      <c r="K970" s="484"/>
      <c r="L970" s="483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</row>
    <row r="971" spans="1:28" ht="15.75" customHeight="1">
      <c r="A971" s="158"/>
      <c r="B971" s="158"/>
      <c r="C971" s="158"/>
      <c r="D971" s="158"/>
      <c r="E971" s="158"/>
      <c r="F971" s="483"/>
      <c r="G971" s="158"/>
      <c r="H971" s="158"/>
      <c r="I971" s="158"/>
      <c r="J971" s="158"/>
      <c r="K971" s="484"/>
      <c r="L971" s="483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</row>
    <row r="972" spans="1:28" ht="15.75" customHeight="1">
      <c r="A972" s="158"/>
      <c r="B972" s="158"/>
      <c r="C972" s="158"/>
      <c r="D972" s="158"/>
      <c r="E972" s="158"/>
      <c r="F972" s="483"/>
      <c r="G972" s="158"/>
      <c r="H972" s="158"/>
      <c r="I972" s="158"/>
      <c r="J972" s="158"/>
      <c r="K972" s="484"/>
      <c r="L972" s="483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</row>
    <row r="973" spans="1:28" ht="15.75" customHeight="1">
      <c r="A973" s="158"/>
      <c r="B973" s="158"/>
      <c r="C973" s="158"/>
      <c r="D973" s="158"/>
      <c r="E973" s="158"/>
      <c r="F973" s="483"/>
      <c r="G973" s="158"/>
      <c r="H973" s="158"/>
      <c r="I973" s="158"/>
      <c r="J973" s="158"/>
      <c r="K973" s="484"/>
      <c r="L973" s="483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</row>
    <row r="974" spans="1:28" ht="15.75" customHeight="1">
      <c r="A974" s="158"/>
      <c r="B974" s="158"/>
      <c r="C974" s="158"/>
      <c r="D974" s="158"/>
      <c r="E974" s="158"/>
      <c r="F974" s="483"/>
      <c r="G974" s="158"/>
      <c r="H974" s="158"/>
      <c r="I974" s="158"/>
      <c r="J974" s="158"/>
      <c r="K974" s="484"/>
      <c r="L974" s="483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</row>
    <row r="975" spans="1:28" ht="15.75" customHeight="1">
      <c r="A975" s="158"/>
      <c r="B975" s="158"/>
      <c r="C975" s="158"/>
      <c r="D975" s="158"/>
      <c r="E975" s="158"/>
      <c r="F975" s="483"/>
      <c r="G975" s="158"/>
      <c r="H975" s="158"/>
      <c r="I975" s="158"/>
      <c r="J975" s="158"/>
      <c r="K975" s="484"/>
      <c r="L975" s="483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</row>
    <row r="976" spans="1:28" ht="15.75" customHeight="1">
      <c r="A976" s="158"/>
      <c r="B976" s="158"/>
      <c r="C976" s="158"/>
      <c r="D976" s="158"/>
      <c r="E976" s="158"/>
      <c r="F976" s="483"/>
      <c r="G976" s="158"/>
      <c r="H976" s="158"/>
      <c r="I976" s="158"/>
      <c r="J976" s="158"/>
      <c r="K976" s="484"/>
      <c r="L976" s="483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</row>
    <row r="977" spans="1:28" ht="15.75" customHeight="1">
      <c r="A977" s="158"/>
      <c r="B977" s="158"/>
      <c r="C977" s="158"/>
      <c r="D977" s="158"/>
      <c r="E977" s="158"/>
      <c r="F977" s="483"/>
      <c r="G977" s="158"/>
      <c r="H977" s="158"/>
      <c r="I977" s="158"/>
      <c r="J977" s="158"/>
      <c r="K977" s="484"/>
      <c r="L977" s="483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</row>
  </sheetData>
  <pageMargins left="0.70866141732283472" right="0.31496062992125984" top="0.74803149606299213" bottom="0.74803149606299213" header="0" footer="0"/>
  <pageSetup paperSize="14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F951"/>
  <sheetViews>
    <sheetView workbookViewId="0"/>
  </sheetViews>
  <sheetFormatPr defaultColWidth="14.44140625" defaultRowHeight="15" customHeight="1"/>
  <cols>
    <col min="1" max="1" width="4.6640625" customWidth="1"/>
    <col min="2" max="2" width="20.6640625" customWidth="1"/>
    <col min="3" max="3" width="15.5546875" hidden="1" customWidth="1"/>
    <col min="4" max="4" width="45.6640625" customWidth="1"/>
    <col min="5" max="5" width="10.109375" hidden="1" customWidth="1"/>
    <col min="6" max="6" width="17.33203125" hidden="1" customWidth="1"/>
    <col min="7" max="7" width="15.88671875" hidden="1" customWidth="1"/>
    <col min="8" max="8" width="22.88671875" hidden="1" customWidth="1"/>
    <col min="9" max="9" width="23.33203125" hidden="1" customWidth="1"/>
    <col min="10" max="10" width="40.109375" hidden="1" customWidth="1"/>
    <col min="11" max="11" width="21.5546875" hidden="1" customWidth="1"/>
    <col min="12" max="12" width="104.6640625" customWidth="1"/>
    <col min="13" max="13" width="73.33203125" customWidth="1"/>
    <col min="14" max="14" width="30.33203125" customWidth="1"/>
    <col min="15" max="15" width="13.5546875" customWidth="1"/>
    <col min="16" max="16" width="46.109375" customWidth="1"/>
    <col min="17" max="17" width="54.6640625" customWidth="1"/>
    <col min="18" max="32" width="8.6640625" customWidth="1"/>
  </cols>
  <sheetData>
    <row r="1" spans="1:32" ht="14.4">
      <c r="A1" s="155" t="s">
        <v>930</v>
      </c>
      <c r="B1" s="155"/>
      <c r="C1" s="155"/>
      <c r="D1" s="155"/>
      <c r="E1" s="155"/>
      <c r="F1" s="485"/>
      <c r="G1" s="48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</row>
    <row r="2" spans="1:32" ht="14.4">
      <c r="A2" s="155"/>
      <c r="B2" s="155"/>
      <c r="C2" s="155"/>
      <c r="D2" s="155"/>
      <c r="E2" s="155"/>
      <c r="F2" s="485"/>
      <c r="G2" s="48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</row>
    <row r="3" spans="1:32" ht="14.4">
      <c r="A3" s="155"/>
      <c r="B3" s="155"/>
      <c r="C3" s="155"/>
      <c r="D3" s="155"/>
      <c r="E3" s="155"/>
      <c r="F3" s="485"/>
      <c r="G3" s="48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</row>
    <row r="4" spans="1:32" ht="23.4">
      <c r="A4" s="159"/>
      <c r="B4" s="159"/>
      <c r="C4" s="159"/>
      <c r="D4" s="159"/>
      <c r="E4" s="159"/>
      <c r="F4" s="486"/>
      <c r="G4" s="486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</row>
    <row r="5" spans="1:32" ht="23.4">
      <c r="A5" s="159"/>
      <c r="B5" s="159"/>
      <c r="C5" s="159"/>
      <c r="D5" s="159"/>
      <c r="E5" s="159"/>
      <c r="F5" s="486"/>
      <c r="G5" s="486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</row>
    <row r="6" spans="1:32" ht="23.4">
      <c r="A6" s="159"/>
      <c r="B6" s="159"/>
      <c r="C6" s="159"/>
      <c r="D6" s="159"/>
      <c r="E6" s="159"/>
      <c r="F6" s="486"/>
      <c r="G6" s="486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</row>
    <row r="7" spans="1:32" ht="28.8">
      <c r="A7" s="158"/>
      <c r="B7" s="158"/>
      <c r="C7" s="158"/>
      <c r="D7" s="158"/>
      <c r="E7" s="422" t="s">
        <v>539</v>
      </c>
      <c r="F7" s="487"/>
      <c r="G7" s="487"/>
      <c r="H7" s="422"/>
      <c r="I7" s="422"/>
      <c r="J7" s="422"/>
      <c r="K7" s="422"/>
      <c r="L7" s="422"/>
      <c r="M7" s="422"/>
      <c r="N7" s="422"/>
      <c r="O7" s="422"/>
      <c r="P7" s="422"/>
      <c r="Q7" s="422"/>
      <c r="R7" s="159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</row>
    <row r="8" spans="1:32" ht="14.4">
      <c r="A8" s="155"/>
      <c r="B8" s="155"/>
      <c r="C8" s="155"/>
      <c r="D8" s="155"/>
      <c r="E8" s="155"/>
      <c r="F8" s="485"/>
      <c r="G8" s="48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</row>
    <row r="9" spans="1:32" ht="22.2">
      <c r="A9" s="163"/>
      <c r="B9" s="164" t="s">
        <v>48</v>
      </c>
      <c r="C9" s="714" t="s">
        <v>540</v>
      </c>
      <c r="D9" s="164" t="s">
        <v>41</v>
      </c>
      <c r="E9" s="426" t="s">
        <v>42</v>
      </c>
      <c r="F9" s="488" t="s">
        <v>541</v>
      </c>
      <c r="G9" s="489" t="s">
        <v>542</v>
      </c>
      <c r="H9" s="164" t="s">
        <v>543</v>
      </c>
      <c r="I9" s="164" t="s">
        <v>53</v>
      </c>
      <c r="J9" s="164" t="s">
        <v>54</v>
      </c>
      <c r="K9" s="164" t="s">
        <v>55</v>
      </c>
      <c r="L9" s="164"/>
      <c r="M9" s="164"/>
      <c r="N9" s="714" t="s">
        <v>46</v>
      </c>
      <c r="O9" s="164" t="s">
        <v>45</v>
      </c>
      <c r="P9" s="164" t="s">
        <v>47</v>
      </c>
      <c r="Q9" s="164" t="s">
        <v>544</v>
      </c>
      <c r="R9" s="155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</row>
    <row r="10" spans="1:32" ht="21">
      <c r="A10" s="168"/>
      <c r="B10" s="169"/>
      <c r="C10" s="646"/>
      <c r="D10" s="168"/>
      <c r="E10" s="168"/>
      <c r="F10" s="490"/>
      <c r="G10" s="490"/>
      <c r="H10" s="168"/>
      <c r="I10" s="168"/>
      <c r="J10" s="168"/>
      <c r="K10" s="168"/>
      <c r="L10" s="168"/>
      <c r="M10" s="168"/>
      <c r="N10" s="646"/>
      <c r="O10" s="168"/>
      <c r="P10" s="168"/>
      <c r="Q10" s="168"/>
      <c r="R10" s="155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</row>
    <row r="11" spans="1:32" ht="24.6">
      <c r="A11" s="172">
        <v>1</v>
      </c>
      <c r="B11" s="661"/>
      <c r="C11" s="491" t="s">
        <v>545</v>
      </c>
      <c r="D11" s="444" t="s">
        <v>520</v>
      </c>
      <c r="E11" s="458">
        <v>11</v>
      </c>
      <c r="F11" s="492">
        <v>22316</v>
      </c>
      <c r="G11" s="492">
        <f t="shared" ref="G11:G30" si="0">F11*0.2</f>
        <v>4463.2</v>
      </c>
      <c r="H11" s="492">
        <f t="shared" ref="H11:H30" si="1">F11+G11</f>
        <v>26779.200000000001</v>
      </c>
      <c r="I11" s="444" t="s">
        <v>363</v>
      </c>
      <c r="J11" s="444" t="s">
        <v>364</v>
      </c>
      <c r="K11" s="444" t="s">
        <v>365</v>
      </c>
      <c r="L11" s="493" t="s">
        <v>546</v>
      </c>
      <c r="M11" s="173"/>
      <c r="N11" s="494">
        <v>32384</v>
      </c>
      <c r="O11" s="173" t="s">
        <v>64</v>
      </c>
      <c r="P11" s="443" t="s">
        <v>547</v>
      </c>
      <c r="Q11" s="468" t="s">
        <v>26</v>
      </c>
      <c r="R11" s="155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</row>
    <row r="12" spans="1:32" ht="24.6">
      <c r="A12" s="172">
        <v>2</v>
      </c>
      <c r="B12" s="646"/>
      <c r="C12" s="495" t="s">
        <v>545</v>
      </c>
      <c r="D12" s="496" t="s">
        <v>520</v>
      </c>
      <c r="E12" s="497">
        <v>11</v>
      </c>
      <c r="F12" s="498">
        <v>22316</v>
      </c>
      <c r="G12" s="498">
        <f t="shared" si="0"/>
        <v>4463.2</v>
      </c>
      <c r="H12" s="498">
        <f t="shared" si="1"/>
        <v>26779.200000000001</v>
      </c>
      <c r="I12" s="499" t="s">
        <v>63</v>
      </c>
      <c r="J12" s="499" t="s">
        <v>230</v>
      </c>
      <c r="K12" s="499" t="s">
        <v>517</v>
      </c>
      <c r="L12" s="500" t="s">
        <v>647</v>
      </c>
      <c r="M12" s="501"/>
      <c r="N12" s="502">
        <v>34694</v>
      </c>
      <c r="O12" s="501" t="s">
        <v>85</v>
      </c>
      <c r="P12" s="503" t="s">
        <v>232</v>
      </c>
      <c r="Q12" s="496" t="s">
        <v>233</v>
      </c>
      <c r="R12" s="155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</row>
    <row r="13" spans="1:32" ht="24.6">
      <c r="A13" s="189">
        <v>3</v>
      </c>
      <c r="B13" s="173" t="s">
        <v>455</v>
      </c>
      <c r="C13" s="504" t="s">
        <v>545</v>
      </c>
      <c r="D13" s="438" t="s">
        <v>518</v>
      </c>
      <c r="E13" s="458">
        <v>15</v>
      </c>
      <c r="F13" s="505">
        <v>32053</v>
      </c>
      <c r="G13" s="492">
        <f t="shared" si="0"/>
        <v>6410.6</v>
      </c>
      <c r="H13" s="492">
        <f t="shared" si="1"/>
        <v>38463.599999999999</v>
      </c>
      <c r="I13" s="439" t="s">
        <v>141</v>
      </c>
      <c r="J13" s="439" t="s">
        <v>142</v>
      </c>
      <c r="K13" s="439" t="s">
        <v>143</v>
      </c>
      <c r="L13" s="493" t="s">
        <v>548</v>
      </c>
      <c r="M13" s="173"/>
      <c r="N13" s="506">
        <v>34927</v>
      </c>
      <c r="O13" s="173" t="s">
        <v>85</v>
      </c>
      <c r="P13" s="449" t="s">
        <v>549</v>
      </c>
      <c r="Q13" s="444" t="s">
        <v>27</v>
      </c>
      <c r="R13" s="155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</row>
    <row r="14" spans="1:32" ht="24.6">
      <c r="A14" s="172">
        <v>4</v>
      </c>
      <c r="B14" s="173" t="s">
        <v>299</v>
      </c>
      <c r="C14" s="504" t="s">
        <v>545</v>
      </c>
      <c r="D14" s="446" t="s">
        <v>550</v>
      </c>
      <c r="E14" s="458">
        <v>11</v>
      </c>
      <c r="F14" s="492">
        <v>22316</v>
      </c>
      <c r="G14" s="492">
        <f t="shared" si="0"/>
        <v>4463.2</v>
      </c>
      <c r="H14" s="492">
        <f t="shared" si="1"/>
        <v>26779.200000000001</v>
      </c>
      <c r="I14" s="444" t="s">
        <v>296</v>
      </c>
      <c r="J14" s="444" t="s">
        <v>297</v>
      </c>
      <c r="K14" s="444" t="s">
        <v>298</v>
      </c>
      <c r="L14" s="493" t="s">
        <v>551</v>
      </c>
      <c r="M14" s="173"/>
      <c r="N14" s="506">
        <v>35555</v>
      </c>
      <c r="O14" s="173" t="s">
        <v>64</v>
      </c>
      <c r="P14" s="443" t="s">
        <v>552</v>
      </c>
      <c r="Q14" s="444" t="s">
        <v>28</v>
      </c>
      <c r="R14" s="155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</row>
    <row r="15" spans="1:32" ht="24.6">
      <c r="A15" s="172">
        <v>5</v>
      </c>
      <c r="B15" s="188" t="s">
        <v>558</v>
      </c>
      <c r="C15" s="507" t="s">
        <v>545</v>
      </c>
      <c r="D15" s="198" t="s">
        <v>519</v>
      </c>
      <c r="E15" s="458">
        <v>15</v>
      </c>
      <c r="F15" s="505">
        <v>32053</v>
      </c>
      <c r="G15" s="492">
        <f t="shared" si="0"/>
        <v>6410.6</v>
      </c>
      <c r="H15" s="492">
        <f t="shared" si="1"/>
        <v>38463.599999999999</v>
      </c>
      <c r="I15" s="198" t="s">
        <v>128</v>
      </c>
      <c r="J15" s="198" t="s">
        <v>129</v>
      </c>
      <c r="K15" s="198" t="s">
        <v>130</v>
      </c>
      <c r="L15" s="493" t="s">
        <v>559</v>
      </c>
      <c r="M15" s="173"/>
      <c r="N15" s="508">
        <v>45114</v>
      </c>
      <c r="O15" s="173" t="s">
        <v>85</v>
      </c>
      <c r="P15" s="475">
        <v>9060069530</v>
      </c>
      <c r="Q15" s="198" t="s">
        <v>29</v>
      </c>
      <c r="R15" s="155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</row>
    <row r="16" spans="1:32" ht="15.75" customHeight="1">
      <c r="A16" s="189">
        <v>6</v>
      </c>
      <c r="B16" s="173" t="s">
        <v>379</v>
      </c>
      <c r="C16" s="504" t="s">
        <v>545</v>
      </c>
      <c r="D16" s="444" t="s">
        <v>520</v>
      </c>
      <c r="E16" s="458">
        <v>11</v>
      </c>
      <c r="F16" s="492">
        <v>22316</v>
      </c>
      <c r="G16" s="492">
        <f t="shared" si="0"/>
        <v>4463.2</v>
      </c>
      <c r="H16" s="492">
        <f t="shared" si="1"/>
        <v>26779.200000000001</v>
      </c>
      <c r="I16" s="444" t="s">
        <v>560</v>
      </c>
      <c r="J16" s="444" t="s">
        <v>561</v>
      </c>
      <c r="K16" s="444" t="s">
        <v>562</v>
      </c>
      <c r="L16" s="493" t="s">
        <v>563</v>
      </c>
      <c r="M16" s="173"/>
      <c r="N16" s="506">
        <v>36349</v>
      </c>
      <c r="O16" s="173" t="s">
        <v>64</v>
      </c>
      <c r="P16" s="463">
        <v>9399088644</v>
      </c>
      <c r="Q16" s="198" t="s">
        <v>30</v>
      </c>
      <c r="R16" s="155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</row>
    <row r="17" spans="1:32" ht="15.75" customHeight="1">
      <c r="A17" s="172">
        <v>7</v>
      </c>
      <c r="B17" s="173" t="s">
        <v>567</v>
      </c>
      <c r="C17" s="504" t="s">
        <v>545</v>
      </c>
      <c r="D17" s="438" t="s">
        <v>274</v>
      </c>
      <c r="E17" s="458">
        <v>16</v>
      </c>
      <c r="F17" s="505">
        <v>35106</v>
      </c>
      <c r="G17" s="492">
        <f t="shared" si="0"/>
        <v>7021.2000000000007</v>
      </c>
      <c r="H17" s="492">
        <f t="shared" si="1"/>
        <v>42127.199999999997</v>
      </c>
      <c r="I17" s="439" t="s">
        <v>111</v>
      </c>
      <c r="J17" s="439" t="s">
        <v>112</v>
      </c>
      <c r="K17" s="439" t="s">
        <v>101</v>
      </c>
      <c r="L17" s="493" t="s">
        <v>568</v>
      </c>
      <c r="M17" s="173"/>
      <c r="N17" s="506">
        <v>33434</v>
      </c>
      <c r="O17" s="173" t="s">
        <v>85</v>
      </c>
      <c r="P17" s="449" t="s">
        <v>569</v>
      </c>
      <c r="Q17" s="444" t="s">
        <v>31</v>
      </c>
      <c r="R17" s="155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</row>
    <row r="18" spans="1:32" ht="15.75" customHeight="1">
      <c r="A18" s="172">
        <v>8</v>
      </c>
      <c r="B18" s="661" t="s">
        <v>320</v>
      </c>
      <c r="C18" s="504" t="s">
        <v>545</v>
      </c>
      <c r="D18" s="198" t="s">
        <v>519</v>
      </c>
      <c r="E18" s="458">
        <v>15</v>
      </c>
      <c r="F18" s="509">
        <v>32053</v>
      </c>
      <c r="G18" s="492">
        <f t="shared" si="0"/>
        <v>6410.6</v>
      </c>
      <c r="H18" s="492">
        <f t="shared" si="1"/>
        <v>38463.599999999999</v>
      </c>
      <c r="I18" s="444" t="s">
        <v>276</v>
      </c>
      <c r="J18" s="444" t="s">
        <v>277</v>
      </c>
      <c r="K18" s="444" t="s">
        <v>278</v>
      </c>
      <c r="L18" s="493" t="s">
        <v>570</v>
      </c>
      <c r="M18" s="458" t="s">
        <v>571</v>
      </c>
      <c r="N18" s="510">
        <v>33426</v>
      </c>
      <c r="O18" s="173" t="s">
        <v>85</v>
      </c>
      <c r="P18" s="443" t="s">
        <v>572</v>
      </c>
      <c r="Q18" s="444" t="s">
        <v>34</v>
      </c>
      <c r="R18" s="155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</row>
    <row r="19" spans="1:32" ht="15.75" customHeight="1">
      <c r="A19" s="189">
        <v>9</v>
      </c>
      <c r="B19" s="662"/>
      <c r="C19" s="504" t="s">
        <v>545</v>
      </c>
      <c r="D19" s="438" t="s">
        <v>245</v>
      </c>
      <c r="E19" s="458">
        <v>19</v>
      </c>
      <c r="F19" s="505">
        <v>46791</v>
      </c>
      <c r="G19" s="492">
        <f t="shared" si="0"/>
        <v>9358.2000000000007</v>
      </c>
      <c r="H19" s="492">
        <f t="shared" si="1"/>
        <v>56149.2</v>
      </c>
      <c r="I19" s="439" t="s">
        <v>114</v>
      </c>
      <c r="J19" s="439" t="s">
        <v>115</v>
      </c>
      <c r="K19" s="439" t="s">
        <v>116</v>
      </c>
      <c r="L19" s="493" t="s">
        <v>573</v>
      </c>
      <c r="M19" s="458" t="s">
        <v>574</v>
      </c>
      <c r="N19" s="506">
        <v>34086</v>
      </c>
      <c r="O19" s="173" t="s">
        <v>85</v>
      </c>
      <c r="P19" s="449" t="s">
        <v>117</v>
      </c>
      <c r="Q19" s="444" t="s">
        <v>33</v>
      </c>
      <c r="R19" s="155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</row>
    <row r="20" spans="1:32" ht="15.75" customHeight="1">
      <c r="A20" s="172">
        <v>10</v>
      </c>
      <c r="B20" s="662"/>
      <c r="C20" s="504" t="s">
        <v>545</v>
      </c>
      <c r="D20" s="444" t="s">
        <v>575</v>
      </c>
      <c r="E20" s="458">
        <v>15</v>
      </c>
      <c r="F20" s="505">
        <v>32053</v>
      </c>
      <c r="G20" s="492">
        <f t="shared" si="0"/>
        <v>6410.6</v>
      </c>
      <c r="H20" s="492">
        <f t="shared" si="1"/>
        <v>38463.599999999999</v>
      </c>
      <c r="I20" s="463" t="s">
        <v>514</v>
      </c>
      <c r="J20" s="463" t="s">
        <v>515</v>
      </c>
      <c r="K20" s="463" t="s">
        <v>516</v>
      </c>
      <c r="L20" s="493" t="s">
        <v>576</v>
      </c>
      <c r="M20" s="458" t="s">
        <v>577</v>
      </c>
      <c r="N20" s="506">
        <v>33856</v>
      </c>
      <c r="O20" s="173" t="s">
        <v>85</v>
      </c>
      <c r="P20" s="443" t="s">
        <v>578</v>
      </c>
      <c r="Q20" s="444" t="s">
        <v>36</v>
      </c>
      <c r="R20" s="155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</row>
    <row r="21" spans="1:32" ht="15.75" customHeight="1">
      <c r="A21" s="172">
        <v>11</v>
      </c>
      <c r="B21" s="662"/>
      <c r="C21" s="504" t="s">
        <v>545</v>
      </c>
      <c r="D21" s="438" t="s">
        <v>274</v>
      </c>
      <c r="E21" s="458">
        <v>16</v>
      </c>
      <c r="F21" s="505">
        <v>35106</v>
      </c>
      <c r="G21" s="492">
        <f t="shared" si="0"/>
        <v>7021.2000000000007</v>
      </c>
      <c r="H21" s="492">
        <f t="shared" si="1"/>
        <v>42127.199999999997</v>
      </c>
      <c r="I21" s="439" t="s">
        <v>579</v>
      </c>
      <c r="J21" s="439" t="s">
        <v>580</v>
      </c>
      <c r="K21" s="439" t="s">
        <v>581</v>
      </c>
      <c r="L21" s="493" t="s">
        <v>582</v>
      </c>
      <c r="M21" s="458" t="s">
        <v>583</v>
      </c>
      <c r="N21" s="506">
        <v>32673</v>
      </c>
      <c r="O21" s="173" t="s">
        <v>85</v>
      </c>
      <c r="P21" s="449" t="s">
        <v>584</v>
      </c>
      <c r="Q21" s="444" t="s">
        <v>920</v>
      </c>
      <c r="R21" s="155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</row>
    <row r="22" spans="1:32" ht="15.75" customHeight="1">
      <c r="A22" s="189">
        <v>12</v>
      </c>
      <c r="B22" s="662"/>
      <c r="C22" s="504" t="s">
        <v>545</v>
      </c>
      <c r="D22" s="444" t="s">
        <v>575</v>
      </c>
      <c r="E22" s="458">
        <v>15</v>
      </c>
      <c r="F22" s="505">
        <v>32053</v>
      </c>
      <c r="G22" s="492">
        <f t="shared" si="0"/>
        <v>6410.6</v>
      </c>
      <c r="H22" s="492">
        <f t="shared" si="1"/>
        <v>38463.599999999999</v>
      </c>
      <c r="I22" s="444" t="s">
        <v>585</v>
      </c>
      <c r="J22" s="444" t="s">
        <v>586</v>
      </c>
      <c r="K22" s="444" t="s">
        <v>587</v>
      </c>
      <c r="L22" s="493" t="s">
        <v>588</v>
      </c>
      <c r="M22" s="458" t="s">
        <v>589</v>
      </c>
      <c r="N22" s="506">
        <v>34639</v>
      </c>
      <c r="O22" s="173" t="s">
        <v>85</v>
      </c>
      <c r="P22" s="443" t="s">
        <v>590</v>
      </c>
      <c r="Q22" s="444" t="s">
        <v>913</v>
      </c>
      <c r="R22" s="155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</row>
    <row r="23" spans="1:32" ht="15.75" customHeight="1">
      <c r="A23" s="172">
        <v>13</v>
      </c>
      <c r="B23" s="662"/>
      <c r="C23" s="504" t="s">
        <v>545</v>
      </c>
      <c r="D23" s="198" t="s">
        <v>519</v>
      </c>
      <c r="E23" s="458">
        <v>15</v>
      </c>
      <c r="F23" s="505">
        <v>32053</v>
      </c>
      <c r="G23" s="492">
        <f t="shared" si="0"/>
        <v>6410.6</v>
      </c>
      <c r="H23" s="492">
        <f t="shared" si="1"/>
        <v>38463.599999999999</v>
      </c>
      <c r="I23" s="444" t="s">
        <v>300</v>
      </c>
      <c r="J23" s="444" t="s">
        <v>301</v>
      </c>
      <c r="K23" s="444" t="s">
        <v>302</v>
      </c>
      <c r="L23" s="493" t="s">
        <v>591</v>
      </c>
      <c r="M23" s="458" t="s">
        <v>592</v>
      </c>
      <c r="N23" s="506">
        <v>34771</v>
      </c>
      <c r="O23" s="173" t="s">
        <v>85</v>
      </c>
      <c r="P23" s="449" t="s">
        <v>593</v>
      </c>
      <c r="Q23" s="444" t="s">
        <v>35</v>
      </c>
      <c r="R23" s="155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</row>
    <row r="24" spans="1:32" ht="15.75" customHeight="1">
      <c r="A24" s="172">
        <v>14</v>
      </c>
      <c r="B24" s="662"/>
      <c r="C24" s="511" t="s">
        <v>545</v>
      </c>
      <c r="D24" s="446" t="s">
        <v>461</v>
      </c>
      <c r="E24" s="458">
        <v>12</v>
      </c>
      <c r="F24" s="505">
        <v>24495</v>
      </c>
      <c r="G24" s="492">
        <f t="shared" si="0"/>
        <v>4899</v>
      </c>
      <c r="H24" s="492">
        <f t="shared" si="1"/>
        <v>29394</v>
      </c>
      <c r="I24" s="446" t="s">
        <v>291</v>
      </c>
      <c r="J24" s="446" t="s">
        <v>292</v>
      </c>
      <c r="K24" s="446" t="s">
        <v>293</v>
      </c>
      <c r="L24" s="493" t="s">
        <v>594</v>
      </c>
      <c r="M24" s="458" t="s">
        <v>595</v>
      </c>
      <c r="N24" s="512">
        <v>35819</v>
      </c>
      <c r="O24" s="461" t="s">
        <v>85</v>
      </c>
      <c r="P24" s="443" t="s">
        <v>596</v>
      </c>
      <c r="Q24" s="444" t="s">
        <v>32</v>
      </c>
      <c r="R24" s="155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</row>
    <row r="25" spans="1:32" ht="15.75" customHeight="1">
      <c r="A25" s="189">
        <v>15</v>
      </c>
      <c r="B25" s="662"/>
      <c r="C25" s="504" t="s">
        <v>545</v>
      </c>
      <c r="D25" s="446" t="s">
        <v>597</v>
      </c>
      <c r="E25" s="458">
        <v>11</v>
      </c>
      <c r="F25" s="492">
        <v>22316</v>
      </c>
      <c r="G25" s="492">
        <f t="shared" si="0"/>
        <v>4463.2</v>
      </c>
      <c r="H25" s="492">
        <f t="shared" si="1"/>
        <v>26779.200000000001</v>
      </c>
      <c r="I25" s="444" t="s">
        <v>598</v>
      </c>
      <c r="J25" s="444" t="s">
        <v>599</v>
      </c>
      <c r="K25" s="444" t="s">
        <v>600</v>
      </c>
      <c r="L25" s="493" t="s">
        <v>601</v>
      </c>
      <c r="M25" s="458" t="s">
        <v>602</v>
      </c>
      <c r="N25" s="513">
        <v>33989</v>
      </c>
      <c r="O25" s="173" t="s">
        <v>85</v>
      </c>
      <c r="P25" s="443" t="s">
        <v>603</v>
      </c>
      <c r="Q25" s="444" t="s">
        <v>604</v>
      </c>
      <c r="R25" s="155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</row>
    <row r="26" spans="1:32" ht="27" customHeight="1">
      <c r="A26" s="172">
        <v>16</v>
      </c>
      <c r="B26" s="646"/>
      <c r="C26" s="504" t="s">
        <v>545</v>
      </c>
      <c r="D26" s="446" t="s">
        <v>597</v>
      </c>
      <c r="E26" s="458">
        <v>12</v>
      </c>
      <c r="F26" s="505">
        <v>24495</v>
      </c>
      <c r="G26" s="492">
        <f t="shared" si="0"/>
        <v>4899</v>
      </c>
      <c r="H26" s="492">
        <f t="shared" si="1"/>
        <v>29394</v>
      </c>
      <c r="I26" s="444" t="s">
        <v>282</v>
      </c>
      <c r="J26" s="444" t="s">
        <v>283</v>
      </c>
      <c r="K26" s="444" t="s">
        <v>199</v>
      </c>
      <c r="L26" s="493" t="s">
        <v>618</v>
      </c>
      <c r="M26" s="173" t="str">
        <f t="shared" ref="M26:M30" si="2">CONCATENATE(I26, ", ", J26," ",K26)</f>
        <v>LANGCAY, MICHAEL ANGELO ROBLES</v>
      </c>
      <c r="N26" s="514">
        <v>33544</v>
      </c>
      <c r="O26" s="173" t="s">
        <v>85</v>
      </c>
      <c r="P26" s="443" t="s">
        <v>619</v>
      </c>
      <c r="Q26" s="444" t="s">
        <v>37</v>
      </c>
      <c r="R26" s="155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</row>
    <row r="27" spans="1:32" ht="15.75" customHeight="1">
      <c r="A27" s="172">
        <v>17</v>
      </c>
      <c r="B27" s="661" t="s">
        <v>620</v>
      </c>
      <c r="C27" s="504" t="s">
        <v>545</v>
      </c>
      <c r="D27" s="438" t="s">
        <v>621</v>
      </c>
      <c r="E27" s="458">
        <v>16</v>
      </c>
      <c r="F27" s="505">
        <v>35106</v>
      </c>
      <c r="G27" s="492">
        <f t="shared" si="0"/>
        <v>7021.2000000000007</v>
      </c>
      <c r="H27" s="492">
        <f t="shared" si="1"/>
        <v>42127.199999999997</v>
      </c>
      <c r="I27" s="439" t="s">
        <v>622</v>
      </c>
      <c r="J27" s="439" t="s">
        <v>623</v>
      </c>
      <c r="K27" s="439" t="s">
        <v>624</v>
      </c>
      <c r="L27" s="493" t="s">
        <v>625</v>
      </c>
      <c r="M27" s="173" t="str">
        <f t="shared" si="2"/>
        <v>BAGUILAT, EVENCE MICHAEL CANDELARIA</v>
      </c>
      <c r="N27" s="515">
        <v>29591</v>
      </c>
      <c r="O27" s="173" t="s">
        <v>85</v>
      </c>
      <c r="P27" s="449" t="s">
        <v>626</v>
      </c>
      <c r="Q27" s="444" t="s">
        <v>40</v>
      </c>
      <c r="R27" s="155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</row>
    <row r="28" spans="1:32" ht="15.75" customHeight="1">
      <c r="A28" s="189">
        <v>18</v>
      </c>
      <c r="B28" s="662"/>
      <c r="C28" s="504" t="s">
        <v>545</v>
      </c>
      <c r="D28" s="438" t="s">
        <v>139</v>
      </c>
      <c r="E28" s="458">
        <v>12</v>
      </c>
      <c r="F28" s="505">
        <v>24495</v>
      </c>
      <c r="G28" s="492">
        <f t="shared" si="0"/>
        <v>4899</v>
      </c>
      <c r="H28" s="492">
        <f t="shared" si="1"/>
        <v>29394</v>
      </c>
      <c r="I28" s="439" t="s">
        <v>473</v>
      </c>
      <c r="J28" s="439" t="s">
        <v>627</v>
      </c>
      <c r="K28" s="439" t="s">
        <v>628</v>
      </c>
      <c r="L28" s="493" t="s">
        <v>629</v>
      </c>
      <c r="M28" s="173" t="str">
        <f t="shared" si="2"/>
        <v>CARONAN, ELPIDIO JR DAUAG</v>
      </c>
      <c r="N28" s="506">
        <v>34365</v>
      </c>
      <c r="O28" s="173" t="s">
        <v>85</v>
      </c>
      <c r="P28" s="443" t="s">
        <v>630</v>
      </c>
      <c r="Q28" s="468" t="s">
        <v>38</v>
      </c>
      <c r="R28" s="155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</row>
    <row r="29" spans="1:32" ht="15.75" customHeight="1">
      <c r="A29" s="172">
        <v>19</v>
      </c>
      <c r="B29" s="662"/>
      <c r="C29" s="516" t="s">
        <v>545</v>
      </c>
      <c r="D29" s="438" t="s">
        <v>931</v>
      </c>
      <c r="E29" s="458">
        <v>11</v>
      </c>
      <c r="F29" s="492">
        <v>22316</v>
      </c>
      <c r="G29" s="492">
        <f t="shared" si="0"/>
        <v>4463.2</v>
      </c>
      <c r="H29" s="492">
        <f t="shared" si="1"/>
        <v>26779.200000000001</v>
      </c>
      <c r="I29" s="439" t="s">
        <v>631</v>
      </c>
      <c r="J29" s="439" t="s">
        <v>632</v>
      </c>
      <c r="K29" s="439" t="s">
        <v>633</v>
      </c>
      <c r="L29" s="493" t="s">
        <v>634</v>
      </c>
      <c r="M29" s="173" t="str">
        <f t="shared" si="2"/>
        <v>TRINIDAD, LYNDON BUMALIN</v>
      </c>
      <c r="N29" s="517">
        <v>34241</v>
      </c>
      <c r="O29" s="173" t="s">
        <v>85</v>
      </c>
      <c r="P29" s="443"/>
      <c r="Q29" s="444"/>
      <c r="R29" s="155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</row>
    <row r="30" spans="1:32" ht="15.75" customHeight="1">
      <c r="A30" s="172">
        <v>20</v>
      </c>
      <c r="B30" s="646"/>
      <c r="C30" s="504" t="s">
        <v>545</v>
      </c>
      <c r="D30" s="438" t="s">
        <v>139</v>
      </c>
      <c r="E30" s="458">
        <v>12</v>
      </c>
      <c r="F30" s="505">
        <v>24495</v>
      </c>
      <c r="G30" s="492">
        <f t="shared" si="0"/>
        <v>4899</v>
      </c>
      <c r="H30" s="492">
        <f t="shared" si="1"/>
        <v>29394</v>
      </c>
      <c r="I30" s="439" t="s">
        <v>298</v>
      </c>
      <c r="J30" s="439" t="s">
        <v>635</v>
      </c>
      <c r="K30" s="439" t="s">
        <v>636</v>
      </c>
      <c r="L30" s="493" t="s">
        <v>637</v>
      </c>
      <c r="M30" s="173" t="str">
        <f t="shared" si="2"/>
        <v>VALENTINO, JOHN WESLEY AGRAVE</v>
      </c>
      <c r="N30" s="506">
        <v>35911</v>
      </c>
      <c r="O30" s="173" t="s">
        <v>85</v>
      </c>
      <c r="P30" s="443" t="s">
        <v>638</v>
      </c>
      <c r="Q30" s="444" t="s">
        <v>39</v>
      </c>
      <c r="R30" s="155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</row>
    <row r="31" spans="1:32" ht="15.75" customHeight="1">
      <c r="A31" s="158"/>
      <c r="B31" s="518"/>
      <c r="C31" s="518"/>
      <c r="D31" s="518"/>
      <c r="E31" s="518"/>
      <c r="F31" s="519"/>
      <c r="G31" s="519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155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</row>
    <row r="32" spans="1:32" ht="15.75" customHeight="1">
      <c r="A32" s="158"/>
      <c r="B32" s="155"/>
      <c r="C32" s="155"/>
      <c r="D32" s="155"/>
      <c r="E32" s="155"/>
      <c r="F32" s="485"/>
      <c r="G32" s="48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</row>
    <row r="33" spans="1:32" ht="15.75" customHeight="1">
      <c r="A33" s="158"/>
      <c r="B33" s="155"/>
      <c r="C33" s="155"/>
      <c r="D33" s="155"/>
      <c r="E33" s="155"/>
      <c r="F33" s="485"/>
      <c r="G33" s="48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</row>
    <row r="34" spans="1:32" ht="15.75" customHeight="1">
      <c r="A34" s="158"/>
      <c r="B34" s="155"/>
      <c r="C34" s="155"/>
      <c r="D34" s="155"/>
      <c r="E34" s="155"/>
      <c r="F34" s="485"/>
      <c r="G34" s="48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</row>
    <row r="35" spans="1:32" ht="15.75" customHeight="1">
      <c r="A35" s="158"/>
      <c r="B35" s="201"/>
      <c r="C35" s="158"/>
      <c r="D35" s="158"/>
      <c r="E35" s="158"/>
      <c r="F35" s="202"/>
      <c r="G35" s="202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</row>
    <row r="36" spans="1:32" ht="15.75" customHeight="1">
      <c r="A36" s="158"/>
      <c r="B36" s="201"/>
      <c r="C36" s="158"/>
      <c r="D36" s="158"/>
      <c r="E36" s="158"/>
      <c r="F36" s="202"/>
      <c r="G36" s="202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</row>
    <row r="37" spans="1:32" ht="15.75" customHeight="1">
      <c r="A37" s="158"/>
      <c r="B37" s="201"/>
      <c r="C37" s="158"/>
      <c r="D37" s="158"/>
      <c r="E37" s="158"/>
      <c r="F37" s="202"/>
      <c r="G37" s="202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</row>
    <row r="38" spans="1:32" ht="15.75" customHeight="1">
      <c r="A38" s="158"/>
      <c r="B38" s="201"/>
      <c r="C38" s="158"/>
      <c r="D38" s="158"/>
      <c r="E38" s="158"/>
      <c r="F38" s="202"/>
      <c r="G38" s="202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</row>
    <row r="39" spans="1:32" ht="15.75" customHeight="1">
      <c r="A39" s="158"/>
      <c r="B39" s="201"/>
      <c r="C39" s="158"/>
      <c r="D39" s="158"/>
      <c r="E39" s="158"/>
      <c r="F39" s="202"/>
      <c r="G39" s="202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</row>
    <row r="40" spans="1:32" ht="15.75" customHeight="1">
      <c r="A40" s="158"/>
      <c r="B40" s="201"/>
      <c r="C40" s="158"/>
      <c r="D40" s="158"/>
      <c r="E40" s="158"/>
      <c r="F40" s="202"/>
      <c r="G40" s="202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</row>
    <row r="41" spans="1:32" ht="15.75" customHeight="1">
      <c r="A41" s="158"/>
      <c r="B41" s="201"/>
      <c r="C41" s="158"/>
      <c r="D41" s="158"/>
      <c r="E41" s="158"/>
      <c r="F41" s="202"/>
      <c r="G41" s="202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</row>
    <row r="42" spans="1:32" ht="15.75" customHeight="1">
      <c r="A42" s="158"/>
      <c r="B42" s="201"/>
      <c r="C42" s="158"/>
      <c r="D42" s="158"/>
      <c r="E42" s="158"/>
      <c r="F42" s="202"/>
      <c r="G42" s="202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</row>
    <row r="43" spans="1:32" ht="15.75" customHeight="1">
      <c r="A43" s="158"/>
      <c r="B43" s="201"/>
      <c r="C43" s="158"/>
      <c r="D43" s="158"/>
      <c r="E43" s="158"/>
      <c r="F43" s="202"/>
      <c r="G43" s="202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</row>
    <row r="44" spans="1:32" ht="15.75" customHeight="1">
      <c r="A44" s="158"/>
      <c r="B44" s="201"/>
      <c r="C44" s="158"/>
      <c r="D44" s="158"/>
      <c r="E44" s="158"/>
      <c r="F44" s="202"/>
      <c r="G44" s="202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</row>
    <row r="45" spans="1:32" ht="15.75" customHeight="1">
      <c r="A45" s="158"/>
      <c r="B45" s="201"/>
      <c r="C45" s="158"/>
      <c r="D45" s="158"/>
      <c r="E45" s="158"/>
      <c r="F45" s="202"/>
      <c r="G45" s="202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</row>
    <row r="46" spans="1:32" ht="15.75" customHeight="1">
      <c r="A46" s="158"/>
      <c r="B46" s="201"/>
      <c r="C46" s="158"/>
      <c r="D46" s="158"/>
      <c r="E46" s="158"/>
      <c r="F46" s="202"/>
      <c r="G46" s="202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</row>
    <row r="47" spans="1:32" ht="15.75" customHeight="1">
      <c r="A47" s="158"/>
      <c r="B47" s="201"/>
      <c r="C47" s="158"/>
      <c r="D47" s="158"/>
      <c r="E47" s="158"/>
      <c r="F47" s="202"/>
      <c r="G47" s="202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</row>
    <row r="48" spans="1:32" ht="15.75" customHeight="1">
      <c r="A48" s="158"/>
      <c r="B48" s="201"/>
      <c r="C48" s="158"/>
      <c r="D48" s="158"/>
      <c r="E48" s="158"/>
      <c r="F48" s="202"/>
      <c r="G48" s="20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</row>
    <row r="49" spans="1:32" ht="15.75" customHeight="1">
      <c r="A49" s="158"/>
      <c r="B49" s="201"/>
      <c r="C49" s="158"/>
      <c r="D49" s="158"/>
      <c r="E49" s="158"/>
      <c r="F49" s="202"/>
      <c r="G49" s="202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</row>
    <row r="50" spans="1:32" ht="15.75" customHeight="1">
      <c r="A50" s="158"/>
      <c r="B50" s="201"/>
      <c r="C50" s="158"/>
      <c r="D50" s="158"/>
      <c r="E50" s="158"/>
      <c r="F50" s="202"/>
      <c r="G50" s="202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</row>
    <row r="51" spans="1:32" ht="15.75" customHeight="1">
      <c r="A51" s="158"/>
      <c r="B51" s="201"/>
      <c r="C51" s="158"/>
      <c r="D51" s="158"/>
      <c r="E51" s="158"/>
      <c r="F51" s="202"/>
      <c r="G51" s="202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</row>
    <row r="52" spans="1:32" ht="15.75" customHeight="1">
      <c r="A52" s="158"/>
      <c r="B52" s="201"/>
      <c r="C52" s="158"/>
      <c r="D52" s="158"/>
      <c r="E52" s="158"/>
      <c r="F52" s="202"/>
      <c r="G52" s="202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</row>
    <row r="53" spans="1:32" ht="15.75" customHeight="1">
      <c r="A53" s="158"/>
      <c r="B53" s="201"/>
      <c r="C53" s="158"/>
      <c r="D53" s="158"/>
      <c r="E53" s="158"/>
      <c r="F53" s="202"/>
      <c r="G53" s="202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</row>
    <row r="54" spans="1:32" ht="15.75" customHeight="1">
      <c r="A54" s="158"/>
      <c r="B54" s="201"/>
      <c r="C54" s="158"/>
      <c r="D54" s="158"/>
      <c r="E54" s="158"/>
      <c r="F54" s="202"/>
      <c r="G54" s="202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</row>
    <row r="55" spans="1:32" ht="15.75" customHeight="1">
      <c r="A55" s="158"/>
      <c r="B55" s="201"/>
      <c r="C55" s="158"/>
      <c r="D55" s="158"/>
      <c r="E55" s="158"/>
      <c r="F55" s="202"/>
      <c r="G55" s="202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</row>
    <row r="56" spans="1:32" ht="15.75" customHeight="1">
      <c r="A56" s="158"/>
      <c r="B56" s="201"/>
      <c r="C56" s="158"/>
      <c r="D56" s="158"/>
      <c r="E56" s="158"/>
      <c r="F56" s="202"/>
      <c r="G56" s="202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</row>
    <row r="57" spans="1:32" ht="15.75" customHeight="1">
      <c r="A57" s="158"/>
      <c r="B57" s="201"/>
      <c r="C57" s="158"/>
      <c r="D57" s="158"/>
      <c r="E57" s="158"/>
      <c r="F57" s="202"/>
      <c r="G57" s="202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</row>
    <row r="58" spans="1:32" ht="15.75" customHeight="1">
      <c r="A58" s="158"/>
      <c r="B58" s="201"/>
      <c r="C58" s="158"/>
      <c r="D58" s="158"/>
      <c r="E58" s="158"/>
      <c r="F58" s="202"/>
      <c r="G58" s="202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</row>
    <row r="59" spans="1:32" ht="15.75" customHeight="1">
      <c r="A59" s="158"/>
      <c r="B59" s="201"/>
      <c r="C59" s="158"/>
      <c r="D59" s="158"/>
      <c r="E59" s="158"/>
      <c r="F59" s="202"/>
      <c r="G59" s="202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</row>
    <row r="60" spans="1:32" ht="15.75" customHeight="1">
      <c r="A60" s="158"/>
      <c r="B60" s="201"/>
      <c r="C60" s="158"/>
      <c r="D60" s="158"/>
      <c r="E60" s="158"/>
      <c r="F60" s="202"/>
      <c r="G60" s="202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</row>
    <row r="61" spans="1:32" ht="15.75" customHeight="1">
      <c r="A61" s="158"/>
      <c r="B61" s="201"/>
      <c r="C61" s="158"/>
      <c r="D61" s="158"/>
      <c r="E61" s="158"/>
      <c r="F61" s="202"/>
      <c r="G61" s="202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</row>
    <row r="62" spans="1:32" ht="15.75" customHeight="1">
      <c r="A62" s="158"/>
      <c r="B62" s="201"/>
      <c r="C62" s="158"/>
      <c r="D62" s="158"/>
      <c r="E62" s="158"/>
      <c r="F62" s="202"/>
      <c r="G62" s="202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</row>
    <row r="63" spans="1:32" ht="15.75" customHeight="1">
      <c r="A63" s="158"/>
      <c r="B63" s="201"/>
      <c r="C63" s="158"/>
      <c r="D63" s="158"/>
      <c r="E63" s="158"/>
      <c r="F63" s="202"/>
      <c r="G63" s="202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</row>
    <row r="64" spans="1:32" ht="15.75" customHeight="1">
      <c r="A64" s="158"/>
      <c r="B64" s="201"/>
      <c r="C64" s="158"/>
      <c r="D64" s="158"/>
      <c r="E64" s="158"/>
      <c r="F64" s="202"/>
      <c r="G64" s="202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</row>
    <row r="65" spans="1:32" ht="15.75" customHeight="1">
      <c r="A65" s="158"/>
      <c r="B65" s="201"/>
      <c r="C65" s="158"/>
      <c r="D65" s="158"/>
      <c r="E65" s="158"/>
      <c r="F65" s="202"/>
      <c r="G65" s="202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</row>
    <row r="66" spans="1:32" ht="15.75" customHeight="1">
      <c r="A66" s="158"/>
      <c r="B66" s="201"/>
      <c r="C66" s="158"/>
      <c r="D66" s="158"/>
      <c r="E66" s="158"/>
      <c r="F66" s="202"/>
      <c r="G66" s="202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</row>
    <row r="67" spans="1:32" ht="15.75" customHeight="1">
      <c r="A67" s="158"/>
      <c r="B67" s="201"/>
      <c r="C67" s="158"/>
      <c r="D67" s="158"/>
      <c r="E67" s="158"/>
      <c r="F67" s="202"/>
      <c r="G67" s="202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</row>
    <row r="68" spans="1:32" ht="15.75" customHeight="1">
      <c r="A68" s="158"/>
      <c r="B68" s="201"/>
      <c r="C68" s="158"/>
      <c r="D68" s="158"/>
      <c r="E68" s="158"/>
      <c r="F68" s="202"/>
      <c r="G68" s="202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</row>
    <row r="69" spans="1:32" ht="15.75" customHeight="1">
      <c r="A69" s="158"/>
      <c r="B69" s="201"/>
      <c r="C69" s="158"/>
      <c r="D69" s="158"/>
      <c r="E69" s="158"/>
      <c r="F69" s="202"/>
      <c r="G69" s="202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</row>
    <row r="70" spans="1:32" ht="15.75" customHeight="1">
      <c r="A70" s="158"/>
      <c r="B70" s="201"/>
      <c r="C70" s="158"/>
      <c r="D70" s="158"/>
      <c r="E70" s="158"/>
      <c r="F70" s="202"/>
      <c r="G70" s="202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</row>
    <row r="71" spans="1:32" ht="15.75" customHeight="1">
      <c r="A71" s="158"/>
      <c r="B71" s="201"/>
      <c r="C71" s="158"/>
      <c r="D71" s="158"/>
      <c r="E71" s="158"/>
      <c r="F71" s="202"/>
      <c r="G71" s="202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</row>
    <row r="72" spans="1:32" ht="15.75" customHeight="1">
      <c r="A72" s="158"/>
      <c r="B72" s="201"/>
      <c r="C72" s="158"/>
      <c r="D72" s="158"/>
      <c r="E72" s="158"/>
      <c r="F72" s="202"/>
      <c r="G72" s="202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</row>
    <row r="73" spans="1:32" ht="15.75" customHeight="1">
      <c r="A73" s="158"/>
      <c r="B73" s="201"/>
      <c r="C73" s="158"/>
      <c r="D73" s="158"/>
      <c r="E73" s="158"/>
      <c r="F73" s="202"/>
      <c r="G73" s="202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</row>
    <row r="74" spans="1:32" ht="15.75" customHeight="1">
      <c r="A74" s="158"/>
      <c r="B74" s="201"/>
      <c r="C74" s="158"/>
      <c r="D74" s="158"/>
      <c r="E74" s="158"/>
      <c r="F74" s="202"/>
      <c r="G74" s="202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</row>
    <row r="75" spans="1:32" ht="15.75" customHeight="1">
      <c r="A75" s="158"/>
      <c r="B75" s="201"/>
      <c r="C75" s="158"/>
      <c r="D75" s="158"/>
      <c r="E75" s="158"/>
      <c r="F75" s="202"/>
      <c r="G75" s="202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</row>
    <row r="76" spans="1:32" ht="15.75" customHeight="1">
      <c r="A76" s="158"/>
      <c r="B76" s="201"/>
      <c r="C76" s="158"/>
      <c r="D76" s="158"/>
      <c r="E76" s="158"/>
      <c r="F76" s="202"/>
      <c r="G76" s="202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</row>
    <row r="77" spans="1:32" ht="15.75" customHeight="1">
      <c r="A77" s="158"/>
      <c r="B77" s="201"/>
      <c r="C77" s="158"/>
      <c r="D77" s="158"/>
      <c r="E77" s="158"/>
      <c r="F77" s="202"/>
      <c r="G77" s="202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</row>
    <row r="78" spans="1:32" ht="15.75" customHeight="1">
      <c r="A78" s="158"/>
      <c r="B78" s="201"/>
      <c r="C78" s="158"/>
      <c r="D78" s="158"/>
      <c r="E78" s="158"/>
      <c r="F78" s="202"/>
      <c r="G78" s="202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</row>
    <row r="79" spans="1:32" ht="15.75" customHeight="1">
      <c r="A79" s="158"/>
      <c r="B79" s="201"/>
      <c r="C79" s="158"/>
      <c r="D79" s="158"/>
      <c r="E79" s="158"/>
      <c r="F79" s="202"/>
      <c r="G79" s="202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</row>
    <row r="80" spans="1:32" ht="15.75" customHeight="1">
      <c r="A80" s="158"/>
      <c r="B80" s="201"/>
      <c r="C80" s="158"/>
      <c r="D80" s="158"/>
      <c r="E80" s="158"/>
      <c r="F80" s="202"/>
      <c r="G80" s="202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</row>
    <row r="81" spans="1:32" ht="15.75" customHeight="1">
      <c r="A81" s="158"/>
      <c r="B81" s="201"/>
      <c r="C81" s="158"/>
      <c r="D81" s="158"/>
      <c r="E81" s="158"/>
      <c r="F81" s="202"/>
      <c r="G81" s="202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</row>
    <row r="82" spans="1:32" ht="15.75" customHeight="1">
      <c r="A82" s="158"/>
      <c r="B82" s="201"/>
      <c r="C82" s="158"/>
      <c r="D82" s="158"/>
      <c r="E82" s="158"/>
      <c r="F82" s="202"/>
      <c r="G82" s="202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</row>
    <row r="83" spans="1:32" ht="15.75" customHeight="1">
      <c r="A83" s="158"/>
      <c r="B83" s="201"/>
      <c r="C83" s="158"/>
      <c r="D83" s="158"/>
      <c r="E83" s="158"/>
      <c r="F83" s="202"/>
      <c r="G83" s="202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</row>
    <row r="84" spans="1:32" ht="15.75" customHeight="1">
      <c r="A84" s="158"/>
      <c r="B84" s="201"/>
      <c r="C84" s="158"/>
      <c r="D84" s="158"/>
      <c r="E84" s="158"/>
      <c r="F84" s="202"/>
      <c r="G84" s="202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</row>
    <row r="85" spans="1:32" ht="15.75" customHeight="1">
      <c r="A85" s="158"/>
      <c r="B85" s="201"/>
      <c r="C85" s="158"/>
      <c r="D85" s="158"/>
      <c r="E85" s="158"/>
      <c r="F85" s="202"/>
      <c r="G85" s="202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</row>
    <row r="86" spans="1:32" ht="15.75" customHeight="1">
      <c r="A86" s="158"/>
      <c r="B86" s="201"/>
      <c r="C86" s="158"/>
      <c r="D86" s="158"/>
      <c r="E86" s="158"/>
      <c r="F86" s="202"/>
      <c r="G86" s="202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</row>
    <row r="87" spans="1:32" ht="15.75" customHeight="1">
      <c r="A87" s="158"/>
      <c r="B87" s="201"/>
      <c r="C87" s="158"/>
      <c r="D87" s="158"/>
      <c r="E87" s="158"/>
      <c r="F87" s="202"/>
      <c r="G87" s="202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</row>
    <row r="88" spans="1:32" ht="15.75" customHeight="1">
      <c r="A88" s="158"/>
      <c r="B88" s="201"/>
      <c r="C88" s="158"/>
      <c r="D88" s="158"/>
      <c r="E88" s="158"/>
      <c r="F88" s="202"/>
      <c r="G88" s="202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</row>
    <row r="89" spans="1:32" ht="15.75" customHeight="1">
      <c r="A89" s="158"/>
      <c r="B89" s="201"/>
      <c r="C89" s="158"/>
      <c r="D89" s="158"/>
      <c r="E89" s="158"/>
      <c r="F89" s="202"/>
      <c r="G89" s="202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</row>
    <row r="90" spans="1:32" ht="15.75" customHeight="1">
      <c r="A90" s="158"/>
      <c r="B90" s="201"/>
      <c r="C90" s="158"/>
      <c r="D90" s="158"/>
      <c r="E90" s="158"/>
      <c r="F90" s="202"/>
      <c r="G90" s="202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</row>
    <row r="91" spans="1:32" ht="15.75" customHeight="1">
      <c r="A91" s="158"/>
      <c r="B91" s="201"/>
      <c r="C91" s="158"/>
      <c r="D91" s="158"/>
      <c r="E91" s="158"/>
      <c r="F91" s="202"/>
      <c r="G91" s="202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</row>
    <row r="92" spans="1:32" ht="15.75" customHeight="1">
      <c r="A92" s="158"/>
      <c r="B92" s="201"/>
      <c r="C92" s="158"/>
      <c r="D92" s="158"/>
      <c r="E92" s="158"/>
      <c r="F92" s="202"/>
      <c r="G92" s="202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</row>
    <row r="93" spans="1:32" ht="15.75" customHeight="1">
      <c r="A93" s="158"/>
      <c r="B93" s="201"/>
      <c r="C93" s="158"/>
      <c r="D93" s="158"/>
      <c r="E93" s="158"/>
      <c r="F93" s="202"/>
      <c r="G93" s="202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</row>
    <row r="94" spans="1:32" ht="15.75" customHeight="1">
      <c r="A94" s="158"/>
      <c r="B94" s="201"/>
      <c r="C94" s="158"/>
      <c r="D94" s="158"/>
      <c r="E94" s="158"/>
      <c r="F94" s="202"/>
      <c r="G94" s="202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</row>
    <row r="95" spans="1:32" ht="15.75" customHeight="1">
      <c r="A95" s="158"/>
      <c r="B95" s="201"/>
      <c r="C95" s="158"/>
      <c r="D95" s="158"/>
      <c r="E95" s="158"/>
      <c r="F95" s="202"/>
      <c r="G95" s="202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</row>
    <row r="96" spans="1:32" ht="15.75" customHeight="1">
      <c r="A96" s="158"/>
      <c r="B96" s="201"/>
      <c r="C96" s="158"/>
      <c r="D96" s="158"/>
      <c r="E96" s="158"/>
      <c r="F96" s="202"/>
      <c r="G96" s="202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</row>
    <row r="97" spans="1:32" ht="15.75" customHeight="1">
      <c r="A97" s="158"/>
      <c r="B97" s="201"/>
      <c r="C97" s="158"/>
      <c r="D97" s="158"/>
      <c r="E97" s="158"/>
      <c r="F97" s="202"/>
      <c r="G97" s="202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</row>
    <row r="98" spans="1:32" ht="15.75" customHeight="1">
      <c r="A98" s="158"/>
      <c r="B98" s="201"/>
      <c r="C98" s="158"/>
      <c r="D98" s="158"/>
      <c r="E98" s="158"/>
      <c r="F98" s="202"/>
      <c r="G98" s="202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</row>
    <row r="99" spans="1:32" ht="15.75" customHeight="1">
      <c r="A99" s="158"/>
      <c r="B99" s="201"/>
      <c r="C99" s="158"/>
      <c r="D99" s="158"/>
      <c r="E99" s="158"/>
      <c r="F99" s="202"/>
      <c r="G99" s="202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</row>
    <row r="100" spans="1:32" ht="15.75" customHeight="1">
      <c r="A100" s="158"/>
      <c r="B100" s="201"/>
      <c r="C100" s="158"/>
      <c r="D100" s="158"/>
      <c r="E100" s="158"/>
      <c r="F100" s="202"/>
      <c r="G100" s="202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</row>
    <row r="101" spans="1:32" ht="15.75" customHeight="1">
      <c r="A101" s="158"/>
      <c r="B101" s="201"/>
      <c r="C101" s="158"/>
      <c r="D101" s="158"/>
      <c r="E101" s="158"/>
      <c r="F101" s="202"/>
      <c r="G101" s="202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</row>
    <row r="102" spans="1:32" ht="15.75" customHeight="1">
      <c r="A102" s="158"/>
      <c r="B102" s="201"/>
      <c r="C102" s="158"/>
      <c r="D102" s="158"/>
      <c r="E102" s="158"/>
      <c r="F102" s="202"/>
      <c r="G102" s="202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</row>
    <row r="103" spans="1:32" ht="15.75" customHeight="1">
      <c r="A103" s="158"/>
      <c r="B103" s="201"/>
      <c r="C103" s="158"/>
      <c r="D103" s="158"/>
      <c r="E103" s="158"/>
      <c r="F103" s="202"/>
      <c r="G103" s="202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</row>
    <row r="104" spans="1:32" ht="15.75" customHeight="1">
      <c r="A104" s="158"/>
      <c r="B104" s="201"/>
      <c r="C104" s="158"/>
      <c r="D104" s="158"/>
      <c r="E104" s="158"/>
      <c r="F104" s="202"/>
      <c r="G104" s="202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</row>
    <row r="105" spans="1:32" ht="15.75" customHeight="1">
      <c r="A105" s="158"/>
      <c r="B105" s="201"/>
      <c r="C105" s="158"/>
      <c r="D105" s="158"/>
      <c r="E105" s="158"/>
      <c r="F105" s="202"/>
      <c r="G105" s="202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</row>
    <row r="106" spans="1:32" ht="15.75" customHeight="1">
      <c r="A106" s="158"/>
      <c r="B106" s="201"/>
      <c r="C106" s="158"/>
      <c r="D106" s="158"/>
      <c r="E106" s="158"/>
      <c r="F106" s="202"/>
      <c r="G106" s="202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</row>
    <row r="107" spans="1:32" ht="15.75" customHeight="1">
      <c r="A107" s="158"/>
      <c r="B107" s="201"/>
      <c r="C107" s="158"/>
      <c r="D107" s="158"/>
      <c r="E107" s="158"/>
      <c r="F107" s="202"/>
      <c r="G107" s="202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</row>
    <row r="108" spans="1:32" ht="15.75" customHeight="1">
      <c r="A108" s="158"/>
      <c r="B108" s="201"/>
      <c r="C108" s="158"/>
      <c r="D108" s="158"/>
      <c r="E108" s="158"/>
      <c r="F108" s="202"/>
      <c r="G108" s="202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</row>
    <row r="109" spans="1:32" ht="15.75" customHeight="1">
      <c r="A109" s="158"/>
      <c r="B109" s="201"/>
      <c r="C109" s="158"/>
      <c r="D109" s="158"/>
      <c r="E109" s="158"/>
      <c r="F109" s="202"/>
      <c r="G109" s="202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</row>
    <row r="110" spans="1:32" ht="15.75" customHeight="1">
      <c r="A110" s="158"/>
      <c r="B110" s="201"/>
      <c r="C110" s="158"/>
      <c r="D110" s="158"/>
      <c r="E110" s="158"/>
      <c r="F110" s="202"/>
      <c r="G110" s="202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</row>
    <row r="111" spans="1:32" ht="15.75" customHeight="1">
      <c r="A111" s="158"/>
      <c r="B111" s="201"/>
      <c r="C111" s="158"/>
      <c r="D111" s="158"/>
      <c r="E111" s="158"/>
      <c r="F111" s="202"/>
      <c r="G111" s="202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</row>
    <row r="112" spans="1:32" ht="15.75" customHeight="1">
      <c r="A112" s="158"/>
      <c r="B112" s="201"/>
      <c r="C112" s="158"/>
      <c r="D112" s="158"/>
      <c r="E112" s="158"/>
      <c r="F112" s="202"/>
      <c r="G112" s="202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</row>
    <row r="113" spans="1:32" ht="15.75" customHeight="1">
      <c r="A113" s="158"/>
      <c r="B113" s="201"/>
      <c r="C113" s="158"/>
      <c r="D113" s="158"/>
      <c r="E113" s="158"/>
      <c r="F113" s="202"/>
      <c r="G113" s="202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</row>
    <row r="114" spans="1:32" ht="15.75" customHeight="1">
      <c r="A114" s="158"/>
      <c r="B114" s="201"/>
      <c r="C114" s="158"/>
      <c r="D114" s="158"/>
      <c r="E114" s="158"/>
      <c r="F114" s="202"/>
      <c r="G114" s="202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</row>
    <row r="115" spans="1:32" ht="15.75" customHeight="1">
      <c r="A115" s="158"/>
      <c r="B115" s="201"/>
      <c r="C115" s="158"/>
      <c r="D115" s="158"/>
      <c r="E115" s="158"/>
      <c r="F115" s="202"/>
      <c r="G115" s="202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15.75" customHeight="1">
      <c r="A116" s="158"/>
      <c r="B116" s="201"/>
      <c r="C116" s="158"/>
      <c r="D116" s="158"/>
      <c r="E116" s="158"/>
      <c r="F116" s="202"/>
      <c r="G116" s="202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</row>
    <row r="117" spans="1:32" ht="15.75" customHeight="1">
      <c r="A117" s="158"/>
      <c r="B117" s="201"/>
      <c r="C117" s="158"/>
      <c r="D117" s="158"/>
      <c r="E117" s="158"/>
      <c r="F117" s="202"/>
      <c r="G117" s="202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</row>
    <row r="118" spans="1:32" ht="15.75" customHeight="1">
      <c r="A118" s="158"/>
      <c r="B118" s="201"/>
      <c r="C118" s="158"/>
      <c r="D118" s="158"/>
      <c r="E118" s="158"/>
      <c r="F118" s="202"/>
      <c r="G118" s="202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</row>
    <row r="119" spans="1:32" ht="15.75" customHeight="1">
      <c r="A119" s="158"/>
      <c r="B119" s="201"/>
      <c r="C119" s="158"/>
      <c r="D119" s="158"/>
      <c r="E119" s="158"/>
      <c r="F119" s="202"/>
      <c r="G119" s="202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</row>
    <row r="120" spans="1:32" ht="15.75" customHeight="1">
      <c r="A120" s="158"/>
      <c r="B120" s="201"/>
      <c r="C120" s="158"/>
      <c r="D120" s="158"/>
      <c r="E120" s="158"/>
      <c r="F120" s="202"/>
      <c r="G120" s="202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</row>
    <row r="121" spans="1:32" ht="15.75" customHeight="1">
      <c r="A121" s="158"/>
      <c r="B121" s="201"/>
      <c r="C121" s="158"/>
      <c r="D121" s="158"/>
      <c r="E121" s="158"/>
      <c r="F121" s="202"/>
      <c r="G121" s="202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</row>
    <row r="122" spans="1:32" ht="15.75" customHeight="1">
      <c r="A122" s="158"/>
      <c r="B122" s="201"/>
      <c r="C122" s="158"/>
      <c r="D122" s="158"/>
      <c r="E122" s="158"/>
      <c r="F122" s="202"/>
      <c r="G122" s="202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</row>
    <row r="123" spans="1:32" ht="15.75" customHeight="1">
      <c r="A123" s="158"/>
      <c r="B123" s="201"/>
      <c r="C123" s="158"/>
      <c r="D123" s="158"/>
      <c r="E123" s="158"/>
      <c r="F123" s="202"/>
      <c r="G123" s="202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</row>
    <row r="124" spans="1:32" ht="15.75" customHeight="1">
      <c r="A124" s="158"/>
      <c r="B124" s="201"/>
      <c r="C124" s="158"/>
      <c r="D124" s="158"/>
      <c r="E124" s="158"/>
      <c r="F124" s="202"/>
      <c r="G124" s="202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</row>
    <row r="125" spans="1:32" ht="15.75" customHeight="1">
      <c r="A125" s="158"/>
      <c r="B125" s="201"/>
      <c r="C125" s="158"/>
      <c r="D125" s="158"/>
      <c r="E125" s="158"/>
      <c r="F125" s="202"/>
      <c r="G125" s="202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</row>
    <row r="126" spans="1:32" ht="15.75" customHeight="1">
      <c r="A126" s="158"/>
      <c r="B126" s="201"/>
      <c r="C126" s="158"/>
      <c r="D126" s="158"/>
      <c r="E126" s="158"/>
      <c r="F126" s="202"/>
      <c r="G126" s="202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</row>
    <row r="127" spans="1:32" ht="15.75" customHeight="1">
      <c r="A127" s="158"/>
      <c r="B127" s="201"/>
      <c r="C127" s="158"/>
      <c r="D127" s="158"/>
      <c r="E127" s="158"/>
      <c r="F127" s="202"/>
      <c r="G127" s="202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</row>
    <row r="128" spans="1:32" ht="15.75" customHeight="1">
      <c r="A128" s="158"/>
      <c r="B128" s="201"/>
      <c r="C128" s="158"/>
      <c r="D128" s="158"/>
      <c r="E128" s="158"/>
      <c r="F128" s="202"/>
      <c r="G128" s="202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</row>
    <row r="129" spans="1:32" ht="15.75" customHeight="1">
      <c r="A129" s="158"/>
      <c r="B129" s="201"/>
      <c r="C129" s="158"/>
      <c r="D129" s="158"/>
      <c r="E129" s="158"/>
      <c r="F129" s="202"/>
      <c r="G129" s="202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</row>
    <row r="130" spans="1:32" ht="15.75" customHeight="1">
      <c r="A130" s="158"/>
      <c r="B130" s="201"/>
      <c r="C130" s="158"/>
      <c r="D130" s="158"/>
      <c r="E130" s="158"/>
      <c r="F130" s="202"/>
      <c r="G130" s="202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</row>
    <row r="131" spans="1:32" ht="15.75" customHeight="1">
      <c r="A131" s="158"/>
      <c r="B131" s="201"/>
      <c r="C131" s="158"/>
      <c r="D131" s="158"/>
      <c r="E131" s="158"/>
      <c r="F131" s="202"/>
      <c r="G131" s="202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</row>
    <row r="132" spans="1:32" ht="15.75" customHeight="1">
      <c r="A132" s="158"/>
      <c r="B132" s="201"/>
      <c r="C132" s="158"/>
      <c r="D132" s="158"/>
      <c r="E132" s="158"/>
      <c r="F132" s="202"/>
      <c r="G132" s="202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</row>
    <row r="133" spans="1:32" ht="15.75" customHeight="1">
      <c r="A133" s="158"/>
      <c r="B133" s="201"/>
      <c r="C133" s="158"/>
      <c r="D133" s="158"/>
      <c r="E133" s="158"/>
      <c r="F133" s="202"/>
      <c r="G133" s="202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</row>
    <row r="134" spans="1:32" ht="15.75" customHeight="1">
      <c r="A134" s="158"/>
      <c r="B134" s="201"/>
      <c r="C134" s="158"/>
      <c r="D134" s="158"/>
      <c r="E134" s="158"/>
      <c r="F134" s="202"/>
      <c r="G134" s="202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</row>
    <row r="135" spans="1:32" ht="15.75" customHeight="1">
      <c r="A135" s="158"/>
      <c r="B135" s="201"/>
      <c r="C135" s="158"/>
      <c r="D135" s="158"/>
      <c r="E135" s="158"/>
      <c r="F135" s="202"/>
      <c r="G135" s="202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</row>
    <row r="136" spans="1:32" ht="15.75" customHeight="1">
      <c r="A136" s="158"/>
      <c r="B136" s="201"/>
      <c r="C136" s="158"/>
      <c r="D136" s="158"/>
      <c r="E136" s="158"/>
      <c r="F136" s="202"/>
      <c r="G136" s="202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</row>
    <row r="137" spans="1:32" ht="15.75" customHeight="1">
      <c r="A137" s="158"/>
      <c r="B137" s="201"/>
      <c r="C137" s="158"/>
      <c r="D137" s="158"/>
      <c r="E137" s="158"/>
      <c r="F137" s="202"/>
      <c r="G137" s="202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</row>
    <row r="138" spans="1:32" ht="15.75" customHeight="1">
      <c r="A138" s="158"/>
      <c r="B138" s="201"/>
      <c r="C138" s="158"/>
      <c r="D138" s="158"/>
      <c r="E138" s="158"/>
      <c r="F138" s="202"/>
      <c r="G138" s="202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</row>
    <row r="139" spans="1:32" ht="15.75" customHeight="1">
      <c r="A139" s="158"/>
      <c r="B139" s="201"/>
      <c r="C139" s="158"/>
      <c r="D139" s="158"/>
      <c r="E139" s="158"/>
      <c r="F139" s="202"/>
      <c r="G139" s="202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</row>
    <row r="140" spans="1:32" ht="15.75" customHeight="1">
      <c r="A140" s="158"/>
      <c r="B140" s="201"/>
      <c r="C140" s="158"/>
      <c r="D140" s="158"/>
      <c r="E140" s="158"/>
      <c r="F140" s="202"/>
      <c r="G140" s="202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</row>
    <row r="141" spans="1:32" ht="15.75" customHeight="1">
      <c r="A141" s="158"/>
      <c r="B141" s="201"/>
      <c r="C141" s="158"/>
      <c r="D141" s="158"/>
      <c r="E141" s="158"/>
      <c r="F141" s="202"/>
      <c r="G141" s="202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</row>
    <row r="142" spans="1:32" ht="15.75" customHeight="1">
      <c r="A142" s="158"/>
      <c r="B142" s="201"/>
      <c r="C142" s="158"/>
      <c r="D142" s="158"/>
      <c r="E142" s="158"/>
      <c r="F142" s="202"/>
      <c r="G142" s="202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</row>
    <row r="143" spans="1:32" ht="15.75" customHeight="1">
      <c r="A143" s="158"/>
      <c r="B143" s="201"/>
      <c r="C143" s="158"/>
      <c r="D143" s="158"/>
      <c r="E143" s="158"/>
      <c r="F143" s="202"/>
      <c r="G143" s="202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</row>
    <row r="144" spans="1:32" ht="15.75" customHeight="1">
      <c r="A144" s="158"/>
      <c r="B144" s="201"/>
      <c r="C144" s="158"/>
      <c r="D144" s="158"/>
      <c r="E144" s="158"/>
      <c r="F144" s="202"/>
      <c r="G144" s="202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</row>
    <row r="145" spans="1:32" ht="15.75" customHeight="1">
      <c r="A145" s="158"/>
      <c r="B145" s="201"/>
      <c r="C145" s="158"/>
      <c r="D145" s="158"/>
      <c r="E145" s="158"/>
      <c r="F145" s="202"/>
      <c r="G145" s="202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</row>
    <row r="146" spans="1:32" ht="15.75" customHeight="1">
      <c r="A146" s="158"/>
      <c r="B146" s="201"/>
      <c r="C146" s="158"/>
      <c r="D146" s="158"/>
      <c r="E146" s="158"/>
      <c r="F146" s="202"/>
      <c r="G146" s="202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</row>
    <row r="147" spans="1:32" ht="15.75" customHeight="1">
      <c r="A147" s="158"/>
      <c r="B147" s="201"/>
      <c r="C147" s="158"/>
      <c r="D147" s="158"/>
      <c r="E147" s="158"/>
      <c r="F147" s="202"/>
      <c r="G147" s="202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</row>
    <row r="148" spans="1:32" ht="15.75" customHeight="1">
      <c r="A148" s="158"/>
      <c r="B148" s="201"/>
      <c r="C148" s="158"/>
      <c r="D148" s="158"/>
      <c r="E148" s="158"/>
      <c r="F148" s="202"/>
      <c r="G148" s="202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</row>
    <row r="149" spans="1:32" ht="15.75" customHeight="1">
      <c r="A149" s="158"/>
      <c r="B149" s="201"/>
      <c r="C149" s="158"/>
      <c r="D149" s="158"/>
      <c r="E149" s="158"/>
      <c r="F149" s="202"/>
      <c r="G149" s="202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</row>
    <row r="150" spans="1:32" ht="15.75" customHeight="1">
      <c r="A150" s="158"/>
      <c r="B150" s="201"/>
      <c r="C150" s="158"/>
      <c r="D150" s="158"/>
      <c r="E150" s="158"/>
      <c r="F150" s="202"/>
      <c r="G150" s="202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</row>
    <row r="151" spans="1:32" ht="15.75" customHeight="1">
      <c r="A151" s="158"/>
      <c r="B151" s="201"/>
      <c r="C151" s="158"/>
      <c r="D151" s="158"/>
      <c r="E151" s="158"/>
      <c r="F151" s="202"/>
      <c r="G151" s="202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</row>
    <row r="152" spans="1:32" ht="15.75" customHeight="1">
      <c r="A152" s="158"/>
      <c r="B152" s="201"/>
      <c r="C152" s="158"/>
      <c r="D152" s="158"/>
      <c r="E152" s="158"/>
      <c r="F152" s="202"/>
      <c r="G152" s="202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</row>
    <row r="153" spans="1:32" ht="15.75" customHeight="1">
      <c r="A153" s="158"/>
      <c r="B153" s="201"/>
      <c r="C153" s="158"/>
      <c r="D153" s="158"/>
      <c r="E153" s="158"/>
      <c r="F153" s="202"/>
      <c r="G153" s="202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</row>
    <row r="154" spans="1:32" ht="15.75" customHeight="1">
      <c r="A154" s="158"/>
      <c r="B154" s="201"/>
      <c r="C154" s="158"/>
      <c r="D154" s="158"/>
      <c r="E154" s="158"/>
      <c r="F154" s="202"/>
      <c r="G154" s="202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</row>
    <row r="155" spans="1:32" ht="15.75" customHeight="1">
      <c r="A155" s="158"/>
      <c r="B155" s="201"/>
      <c r="C155" s="158"/>
      <c r="D155" s="158"/>
      <c r="E155" s="158"/>
      <c r="F155" s="202"/>
      <c r="G155" s="202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</row>
    <row r="156" spans="1:32" ht="15.75" customHeight="1">
      <c r="A156" s="158"/>
      <c r="B156" s="201"/>
      <c r="C156" s="158"/>
      <c r="D156" s="158"/>
      <c r="E156" s="158"/>
      <c r="F156" s="202"/>
      <c r="G156" s="202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</row>
    <row r="157" spans="1:32" ht="15.75" customHeight="1">
      <c r="A157" s="158"/>
      <c r="B157" s="201"/>
      <c r="C157" s="158"/>
      <c r="D157" s="158"/>
      <c r="E157" s="158"/>
      <c r="F157" s="202"/>
      <c r="G157" s="202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</row>
    <row r="158" spans="1:32" ht="15.75" customHeight="1">
      <c r="A158" s="158"/>
      <c r="B158" s="201"/>
      <c r="C158" s="158"/>
      <c r="D158" s="158"/>
      <c r="E158" s="158"/>
      <c r="F158" s="202"/>
      <c r="G158" s="202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</row>
    <row r="159" spans="1:32" ht="15.75" customHeight="1">
      <c r="A159" s="158"/>
      <c r="B159" s="201"/>
      <c r="C159" s="158"/>
      <c r="D159" s="158"/>
      <c r="E159" s="158"/>
      <c r="F159" s="202"/>
      <c r="G159" s="202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</row>
    <row r="160" spans="1:32" ht="15.75" customHeight="1">
      <c r="A160" s="158"/>
      <c r="B160" s="201"/>
      <c r="C160" s="158"/>
      <c r="D160" s="158"/>
      <c r="E160" s="158"/>
      <c r="F160" s="202"/>
      <c r="G160" s="202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</row>
    <row r="161" spans="1:32" ht="15.75" customHeight="1">
      <c r="A161" s="158"/>
      <c r="B161" s="201"/>
      <c r="C161" s="158"/>
      <c r="D161" s="158"/>
      <c r="E161" s="158"/>
      <c r="F161" s="202"/>
      <c r="G161" s="202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</row>
    <row r="162" spans="1:32" ht="15.75" customHeight="1">
      <c r="A162" s="158"/>
      <c r="B162" s="201"/>
      <c r="C162" s="158"/>
      <c r="D162" s="158"/>
      <c r="E162" s="158"/>
      <c r="F162" s="202"/>
      <c r="G162" s="202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</row>
    <row r="163" spans="1:32" ht="15.75" customHeight="1">
      <c r="A163" s="158"/>
      <c r="B163" s="201"/>
      <c r="C163" s="158"/>
      <c r="D163" s="158"/>
      <c r="E163" s="158"/>
      <c r="F163" s="202"/>
      <c r="G163" s="202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</row>
    <row r="164" spans="1:32" ht="15.75" customHeight="1">
      <c r="A164" s="158"/>
      <c r="B164" s="201"/>
      <c r="C164" s="158"/>
      <c r="D164" s="158"/>
      <c r="E164" s="158"/>
      <c r="F164" s="202"/>
      <c r="G164" s="202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</row>
    <row r="165" spans="1:32" ht="15.75" customHeight="1">
      <c r="A165" s="158"/>
      <c r="B165" s="201"/>
      <c r="C165" s="158"/>
      <c r="D165" s="158"/>
      <c r="E165" s="158"/>
      <c r="F165" s="202"/>
      <c r="G165" s="202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</row>
    <row r="166" spans="1:32" ht="15.75" customHeight="1">
      <c r="A166" s="158"/>
      <c r="B166" s="201"/>
      <c r="C166" s="158"/>
      <c r="D166" s="158"/>
      <c r="E166" s="158"/>
      <c r="F166" s="202"/>
      <c r="G166" s="202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</row>
    <row r="167" spans="1:32" ht="15.75" customHeight="1">
      <c r="A167" s="158"/>
      <c r="B167" s="201"/>
      <c r="C167" s="158"/>
      <c r="D167" s="158"/>
      <c r="E167" s="158"/>
      <c r="F167" s="202"/>
      <c r="G167" s="202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</row>
    <row r="168" spans="1:32" ht="15.75" customHeight="1">
      <c r="A168" s="158"/>
      <c r="B168" s="201"/>
      <c r="C168" s="158"/>
      <c r="D168" s="158"/>
      <c r="E168" s="158"/>
      <c r="F168" s="202"/>
      <c r="G168" s="202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</row>
    <row r="169" spans="1:32" ht="15.75" customHeight="1">
      <c r="A169" s="158"/>
      <c r="B169" s="201"/>
      <c r="C169" s="158"/>
      <c r="D169" s="158"/>
      <c r="E169" s="158"/>
      <c r="F169" s="202"/>
      <c r="G169" s="202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</row>
    <row r="170" spans="1:32" ht="15.75" customHeight="1">
      <c r="A170" s="158"/>
      <c r="B170" s="201"/>
      <c r="C170" s="158"/>
      <c r="D170" s="158"/>
      <c r="E170" s="158"/>
      <c r="F170" s="202"/>
      <c r="G170" s="202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</row>
    <row r="171" spans="1:32" ht="15.75" customHeight="1">
      <c r="A171" s="158"/>
      <c r="B171" s="201"/>
      <c r="C171" s="158"/>
      <c r="D171" s="158"/>
      <c r="E171" s="158"/>
      <c r="F171" s="202"/>
      <c r="G171" s="202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</row>
    <row r="172" spans="1:32" ht="15.75" customHeight="1">
      <c r="A172" s="158"/>
      <c r="B172" s="201"/>
      <c r="C172" s="158"/>
      <c r="D172" s="158"/>
      <c r="E172" s="158"/>
      <c r="F172" s="202"/>
      <c r="G172" s="202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</row>
    <row r="173" spans="1:32" ht="15.75" customHeight="1">
      <c r="A173" s="158"/>
      <c r="B173" s="201"/>
      <c r="C173" s="158"/>
      <c r="D173" s="158"/>
      <c r="E173" s="158"/>
      <c r="F173" s="202"/>
      <c r="G173" s="202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</row>
    <row r="174" spans="1:32" ht="15.75" customHeight="1">
      <c r="A174" s="158"/>
      <c r="B174" s="201"/>
      <c r="C174" s="158"/>
      <c r="D174" s="158"/>
      <c r="E174" s="158"/>
      <c r="F174" s="202"/>
      <c r="G174" s="202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</row>
    <row r="175" spans="1:32" ht="15.75" customHeight="1">
      <c r="A175" s="158"/>
      <c r="B175" s="201"/>
      <c r="C175" s="158"/>
      <c r="D175" s="158"/>
      <c r="E175" s="158"/>
      <c r="F175" s="202"/>
      <c r="G175" s="202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</row>
    <row r="176" spans="1:32" ht="15.75" customHeight="1">
      <c r="A176" s="158"/>
      <c r="B176" s="201"/>
      <c r="C176" s="158"/>
      <c r="D176" s="158"/>
      <c r="E176" s="158"/>
      <c r="F176" s="202"/>
      <c r="G176" s="202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</row>
    <row r="177" spans="1:32" ht="15.75" customHeight="1">
      <c r="A177" s="158"/>
      <c r="B177" s="201"/>
      <c r="C177" s="158"/>
      <c r="D177" s="158"/>
      <c r="E177" s="158"/>
      <c r="F177" s="202"/>
      <c r="G177" s="202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</row>
    <row r="178" spans="1:32" ht="15.75" customHeight="1">
      <c r="A178" s="158"/>
      <c r="B178" s="201"/>
      <c r="C178" s="158"/>
      <c r="D178" s="158"/>
      <c r="E178" s="158"/>
      <c r="F178" s="202"/>
      <c r="G178" s="202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</row>
    <row r="179" spans="1:32" ht="15.75" customHeight="1">
      <c r="A179" s="158"/>
      <c r="B179" s="201"/>
      <c r="C179" s="158"/>
      <c r="D179" s="158"/>
      <c r="E179" s="158"/>
      <c r="F179" s="202"/>
      <c r="G179" s="202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</row>
    <row r="180" spans="1:32" ht="15.75" customHeight="1">
      <c r="A180" s="158"/>
      <c r="B180" s="201"/>
      <c r="C180" s="158"/>
      <c r="D180" s="158"/>
      <c r="E180" s="158"/>
      <c r="F180" s="202"/>
      <c r="G180" s="202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</row>
    <row r="181" spans="1:32" ht="15.75" customHeight="1">
      <c r="A181" s="158"/>
      <c r="B181" s="201"/>
      <c r="C181" s="158"/>
      <c r="D181" s="158"/>
      <c r="E181" s="158"/>
      <c r="F181" s="202"/>
      <c r="G181" s="202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</row>
    <row r="182" spans="1:32" ht="15.75" customHeight="1">
      <c r="A182" s="158"/>
      <c r="B182" s="201"/>
      <c r="C182" s="158"/>
      <c r="D182" s="158"/>
      <c r="E182" s="158"/>
      <c r="F182" s="202"/>
      <c r="G182" s="202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</row>
    <row r="183" spans="1:32" ht="15.75" customHeight="1">
      <c r="A183" s="158"/>
      <c r="B183" s="201"/>
      <c r="C183" s="158"/>
      <c r="D183" s="158"/>
      <c r="E183" s="158"/>
      <c r="F183" s="202"/>
      <c r="G183" s="202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</row>
    <row r="184" spans="1:32" ht="15.75" customHeight="1">
      <c r="A184" s="158"/>
      <c r="B184" s="201"/>
      <c r="C184" s="158"/>
      <c r="D184" s="158"/>
      <c r="E184" s="158"/>
      <c r="F184" s="202"/>
      <c r="G184" s="202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</row>
    <row r="185" spans="1:32" ht="15.75" customHeight="1">
      <c r="A185" s="158"/>
      <c r="B185" s="201"/>
      <c r="C185" s="158"/>
      <c r="D185" s="158"/>
      <c r="E185" s="158"/>
      <c r="F185" s="202"/>
      <c r="G185" s="202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</row>
    <row r="186" spans="1:32" ht="15.75" customHeight="1">
      <c r="A186" s="158"/>
      <c r="B186" s="201"/>
      <c r="C186" s="158"/>
      <c r="D186" s="158"/>
      <c r="E186" s="158"/>
      <c r="F186" s="202"/>
      <c r="G186" s="202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</row>
    <row r="187" spans="1:32" ht="15.75" customHeight="1">
      <c r="A187" s="158"/>
      <c r="B187" s="201"/>
      <c r="C187" s="158"/>
      <c r="D187" s="158"/>
      <c r="E187" s="158"/>
      <c r="F187" s="202"/>
      <c r="G187" s="202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</row>
    <row r="188" spans="1:32" ht="15.75" customHeight="1">
      <c r="A188" s="158"/>
      <c r="B188" s="201"/>
      <c r="C188" s="158"/>
      <c r="D188" s="158"/>
      <c r="E188" s="158"/>
      <c r="F188" s="202"/>
      <c r="G188" s="202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</row>
    <row r="189" spans="1:32" ht="15.75" customHeight="1">
      <c r="A189" s="158"/>
      <c r="B189" s="201"/>
      <c r="C189" s="158"/>
      <c r="D189" s="158"/>
      <c r="E189" s="158"/>
      <c r="F189" s="202"/>
      <c r="G189" s="202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</row>
    <row r="190" spans="1:32" ht="15.75" customHeight="1">
      <c r="A190" s="158"/>
      <c r="B190" s="201"/>
      <c r="C190" s="158"/>
      <c r="D190" s="158"/>
      <c r="E190" s="158"/>
      <c r="F190" s="202"/>
      <c r="G190" s="202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</row>
    <row r="191" spans="1:32" ht="15.75" customHeight="1">
      <c r="A191" s="158"/>
      <c r="B191" s="201"/>
      <c r="C191" s="158"/>
      <c r="D191" s="158"/>
      <c r="E191" s="158"/>
      <c r="F191" s="202"/>
      <c r="G191" s="202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</row>
    <row r="192" spans="1:32" ht="15.75" customHeight="1">
      <c r="A192" s="158"/>
      <c r="B192" s="201"/>
      <c r="C192" s="158"/>
      <c r="D192" s="158"/>
      <c r="E192" s="158"/>
      <c r="F192" s="202"/>
      <c r="G192" s="202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</row>
    <row r="193" spans="1:32" ht="15.75" customHeight="1">
      <c r="A193" s="158"/>
      <c r="B193" s="201"/>
      <c r="C193" s="158"/>
      <c r="D193" s="158"/>
      <c r="E193" s="158"/>
      <c r="F193" s="202"/>
      <c r="G193" s="202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</row>
    <row r="194" spans="1:32" ht="15.75" customHeight="1">
      <c r="A194" s="158"/>
      <c r="B194" s="201"/>
      <c r="C194" s="158"/>
      <c r="D194" s="158"/>
      <c r="E194" s="158"/>
      <c r="F194" s="202"/>
      <c r="G194" s="202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</row>
    <row r="195" spans="1:32" ht="15.75" customHeight="1">
      <c r="A195" s="158"/>
      <c r="B195" s="201"/>
      <c r="C195" s="158"/>
      <c r="D195" s="158"/>
      <c r="E195" s="158"/>
      <c r="F195" s="202"/>
      <c r="G195" s="202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</row>
    <row r="196" spans="1:32" ht="15.75" customHeight="1">
      <c r="A196" s="158"/>
      <c r="B196" s="201"/>
      <c r="C196" s="158"/>
      <c r="D196" s="158"/>
      <c r="E196" s="158"/>
      <c r="F196" s="202"/>
      <c r="G196" s="202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</row>
    <row r="197" spans="1:32" ht="15.75" customHeight="1">
      <c r="A197" s="158"/>
      <c r="B197" s="201"/>
      <c r="C197" s="158"/>
      <c r="D197" s="158"/>
      <c r="E197" s="158"/>
      <c r="F197" s="202"/>
      <c r="G197" s="202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</row>
    <row r="198" spans="1:32" ht="15.75" customHeight="1">
      <c r="A198" s="158"/>
      <c r="B198" s="201"/>
      <c r="C198" s="158"/>
      <c r="D198" s="158"/>
      <c r="E198" s="158"/>
      <c r="F198" s="202"/>
      <c r="G198" s="202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</row>
    <row r="199" spans="1:32" ht="15.75" customHeight="1">
      <c r="A199" s="158"/>
      <c r="B199" s="201"/>
      <c r="C199" s="158"/>
      <c r="D199" s="158"/>
      <c r="E199" s="158"/>
      <c r="F199" s="202"/>
      <c r="G199" s="202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</row>
    <row r="200" spans="1:32" ht="15.75" customHeight="1">
      <c r="A200" s="158"/>
      <c r="B200" s="201"/>
      <c r="C200" s="158"/>
      <c r="D200" s="158"/>
      <c r="E200" s="158"/>
      <c r="F200" s="202"/>
      <c r="G200" s="202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</row>
    <row r="201" spans="1:32" ht="15.75" customHeight="1">
      <c r="A201" s="158"/>
      <c r="B201" s="201"/>
      <c r="C201" s="158"/>
      <c r="D201" s="158"/>
      <c r="E201" s="158"/>
      <c r="F201" s="202"/>
      <c r="G201" s="202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</row>
    <row r="202" spans="1:32" ht="15.75" customHeight="1">
      <c r="A202" s="158"/>
      <c r="B202" s="201"/>
      <c r="C202" s="158"/>
      <c r="D202" s="158"/>
      <c r="E202" s="158"/>
      <c r="F202" s="202"/>
      <c r="G202" s="202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</row>
    <row r="203" spans="1:32" ht="15.75" customHeight="1">
      <c r="A203" s="158"/>
      <c r="B203" s="201"/>
      <c r="C203" s="158"/>
      <c r="D203" s="158"/>
      <c r="E203" s="158"/>
      <c r="F203" s="202"/>
      <c r="G203" s="202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</row>
    <row r="204" spans="1:32" ht="15.75" customHeight="1">
      <c r="A204" s="158"/>
      <c r="B204" s="201"/>
      <c r="C204" s="158"/>
      <c r="D204" s="158"/>
      <c r="E204" s="158"/>
      <c r="F204" s="202"/>
      <c r="G204" s="202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</row>
    <row r="205" spans="1:32" ht="15.75" customHeight="1">
      <c r="A205" s="158"/>
      <c r="B205" s="201"/>
      <c r="C205" s="158"/>
      <c r="D205" s="158"/>
      <c r="E205" s="158"/>
      <c r="F205" s="202"/>
      <c r="G205" s="202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</row>
    <row r="206" spans="1:32" ht="15.75" customHeight="1">
      <c r="A206" s="158"/>
      <c r="B206" s="201"/>
      <c r="C206" s="158"/>
      <c r="D206" s="158"/>
      <c r="E206" s="158"/>
      <c r="F206" s="202"/>
      <c r="G206" s="202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</row>
    <row r="207" spans="1:32" ht="15.75" customHeight="1">
      <c r="A207" s="158"/>
      <c r="B207" s="201"/>
      <c r="C207" s="158"/>
      <c r="D207" s="158"/>
      <c r="E207" s="158"/>
      <c r="F207" s="202"/>
      <c r="G207" s="202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</row>
    <row r="208" spans="1:32" ht="15.75" customHeight="1">
      <c r="A208" s="158"/>
      <c r="B208" s="201"/>
      <c r="C208" s="158"/>
      <c r="D208" s="158"/>
      <c r="E208" s="158"/>
      <c r="F208" s="202"/>
      <c r="G208" s="202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</row>
    <row r="209" spans="1:32" ht="15.75" customHeight="1">
      <c r="A209" s="158"/>
      <c r="B209" s="201"/>
      <c r="C209" s="158"/>
      <c r="D209" s="158"/>
      <c r="E209" s="158"/>
      <c r="F209" s="202"/>
      <c r="G209" s="202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</row>
    <row r="210" spans="1:32" ht="15.75" customHeight="1">
      <c r="A210" s="158"/>
      <c r="B210" s="201"/>
      <c r="C210" s="158"/>
      <c r="D210" s="158"/>
      <c r="E210" s="158"/>
      <c r="F210" s="202"/>
      <c r="G210" s="202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</row>
    <row r="211" spans="1:32" ht="15.75" customHeight="1">
      <c r="A211" s="158"/>
      <c r="B211" s="201"/>
      <c r="C211" s="158"/>
      <c r="D211" s="158"/>
      <c r="E211" s="158"/>
      <c r="F211" s="202"/>
      <c r="G211" s="202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</row>
    <row r="212" spans="1:32" ht="15.75" customHeight="1">
      <c r="A212" s="158"/>
      <c r="B212" s="201"/>
      <c r="C212" s="158"/>
      <c r="D212" s="158"/>
      <c r="E212" s="158"/>
      <c r="F212" s="202"/>
      <c r="G212" s="202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</row>
    <row r="213" spans="1:32" ht="15.75" customHeight="1">
      <c r="A213" s="158"/>
      <c r="B213" s="201"/>
      <c r="C213" s="158"/>
      <c r="D213" s="158"/>
      <c r="E213" s="158"/>
      <c r="F213" s="202"/>
      <c r="G213" s="202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</row>
    <row r="214" spans="1:32" ht="15.75" customHeight="1">
      <c r="A214" s="158"/>
      <c r="B214" s="201"/>
      <c r="C214" s="158"/>
      <c r="D214" s="158"/>
      <c r="E214" s="158"/>
      <c r="F214" s="202"/>
      <c r="G214" s="202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</row>
    <row r="215" spans="1:32" ht="15.75" customHeight="1">
      <c r="A215" s="158"/>
      <c r="B215" s="201"/>
      <c r="C215" s="158"/>
      <c r="D215" s="158"/>
      <c r="E215" s="158"/>
      <c r="F215" s="202"/>
      <c r="G215" s="202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</row>
    <row r="216" spans="1:32" ht="15.75" customHeight="1">
      <c r="A216" s="158"/>
      <c r="B216" s="201"/>
      <c r="C216" s="158"/>
      <c r="D216" s="158"/>
      <c r="E216" s="158"/>
      <c r="F216" s="202"/>
      <c r="G216" s="202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</row>
    <row r="217" spans="1:32" ht="15.75" customHeight="1">
      <c r="A217" s="158"/>
      <c r="B217" s="201"/>
      <c r="C217" s="158"/>
      <c r="D217" s="158"/>
      <c r="E217" s="158"/>
      <c r="F217" s="202"/>
      <c r="G217" s="202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</row>
    <row r="218" spans="1:32" ht="15.75" customHeight="1">
      <c r="A218" s="158"/>
      <c r="B218" s="201"/>
      <c r="C218" s="158"/>
      <c r="D218" s="158"/>
      <c r="E218" s="158"/>
      <c r="F218" s="202"/>
      <c r="G218" s="202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</row>
    <row r="219" spans="1:32" ht="15.75" customHeight="1">
      <c r="A219" s="158"/>
      <c r="B219" s="201"/>
      <c r="C219" s="158"/>
      <c r="D219" s="158"/>
      <c r="E219" s="158"/>
      <c r="F219" s="202"/>
      <c r="G219" s="202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</row>
    <row r="220" spans="1:32" ht="15.75" customHeight="1">
      <c r="A220" s="158"/>
      <c r="B220" s="201"/>
      <c r="C220" s="158"/>
      <c r="D220" s="158"/>
      <c r="E220" s="158"/>
      <c r="F220" s="202"/>
      <c r="G220" s="202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</row>
    <row r="221" spans="1:32" ht="15.75" customHeight="1">
      <c r="A221" s="158"/>
      <c r="B221" s="201"/>
      <c r="C221" s="158"/>
      <c r="D221" s="158"/>
      <c r="E221" s="158"/>
      <c r="F221" s="202"/>
      <c r="G221" s="202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</row>
    <row r="222" spans="1:32" ht="15.75" customHeight="1">
      <c r="A222" s="158"/>
      <c r="B222" s="201"/>
      <c r="C222" s="158"/>
      <c r="D222" s="158"/>
      <c r="E222" s="158"/>
      <c r="F222" s="202"/>
      <c r="G222" s="202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</row>
    <row r="223" spans="1:32" ht="15.75" customHeight="1">
      <c r="A223" s="158"/>
      <c r="B223" s="201"/>
      <c r="C223" s="158"/>
      <c r="D223" s="158"/>
      <c r="E223" s="158"/>
      <c r="F223" s="202"/>
      <c r="G223" s="202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</row>
    <row r="224" spans="1:32" ht="15.75" customHeight="1">
      <c r="A224" s="158"/>
      <c r="B224" s="201"/>
      <c r="C224" s="158"/>
      <c r="D224" s="158"/>
      <c r="E224" s="158"/>
      <c r="F224" s="202"/>
      <c r="G224" s="202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</row>
    <row r="225" spans="1:32" ht="15.75" customHeight="1">
      <c r="A225" s="158"/>
      <c r="B225" s="201"/>
      <c r="C225" s="158"/>
      <c r="D225" s="158"/>
      <c r="E225" s="158"/>
      <c r="F225" s="202"/>
      <c r="G225" s="202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</row>
    <row r="226" spans="1:32" ht="15.75" customHeight="1">
      <c r="A226" s="158"/>
      <c r="B226" s="201"/>
      <c r="C226" s="158"/>
      <c r="D226" s="158"/>
      <c r="E226" s="158"/>
      <c r="F226" s="202"/>
      <c r="G226" s="202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</row>
    <row r="227" spans="1:32" ht="15.75" customHeight="1">
      <c r="A227" s="158"/>
      <c r="B227" s="201"/>
      <c r="C227" s="158"/>
      <c r="D227" s="158"/>
      <c r="E227" s="158"/>
      <c r="F227" s="202"/>
      <c r="G227" s="202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</row>
    <row r="228" spans="1:32" ht="15.75" customHeight="1">
      <c r="A228" s="158"/>
      <c r="B228" s="201"/>
      <c r="C228" s="158"/>
      <c r="D228" s="158"/>
      <c r="E228" s="158"/>
      <c r="F228" s="202"/>
      <c r="G228" s="202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</row>
    <row r="229" spans="1:32" ht="15.75" customHeight="1">
      <c r="A229" s="158"/>
      <c r="B229" s="201"/>
      <c r="C229" s="158"/>
      <c r="D229" s="158"/>
      <c r="E229" s="158"/>
      <c r="F229" s="202"/>
      <c r="G229" s="202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</row>
    <row r="230" spans="1:32" ht="15.75" customHeight="1">
      <c r="A230" s="158"/>
      <c r="B230" s="201"/>
      <c r="C230" s="158"/>
      <c r="D230" s="158"/>
      <c r="E230" s="158"/>
      <c r="F230" s="202"/>
      <c r="G230" s="202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</row>
    <row r="231" spans="1:32" ht="15.75" customHeight="1">
      <c r="A231" s="158"/>
      <c r="B231" s="201"/>
      <c r="C231" s="158"/>
      <c r="D231" s="158"/>
      <c r="E231" s="158"/>
      <c r="F231" s="202"/>
      <c r="G231" s="202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</row>
    <row r="232" spans="1:32" ht="15.75" customHeight="1">
      <c r="A232" s="158"/>
      <c r="B232" s="201"/>
      <c r="C232" s="158"/>
      <c r="D232" s="158"/>
      <c r="E232" s="158"/>
      <c r="F232" s="202"/>
      <c r="G232" s="202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</row>
    <row r="233" spans="1:32" ht="15.75" customHeight="1">
      <c r="A233" s="158"/>
      <c r="B233" s="201"/>
      <c r="C233" s="158"/>
      <c r="D233" s="158"/>
      <c r="E233" s="158"/>
      <c r="F233" s="202"/>
      <c r="G233" s="202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</row>
    <row r="234" spans="1:32" ht="15.75" customHeight="1">
      <c r="A234" s="158"/>
      <c r="B234" s="201"/>
      <c r="C234" s="158"/>
      <c r="D234" s="158"/>
      <c r="E234" s="158"/>
      <c r="F234" s="202"/>
      <c r="G234" s="202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</row>
    <row r="235" spans="1:32" ht="15.75" customHeight="1">
      <c r="A235" s="158"/>
      <c r="B235" s="201"/>
      <c r="C235" s="158"/>
      <c r="D235" s="158"/>
      <c r="E235" s="158"/>
      <c r="F235" s="202"/>
      <c r="G235" s="202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</row>
    <row r="236" spans="1:32" ht="15.75" customHeight="1">
      <c r="A236" s="158"/>
      <c r="B236" s="201"/>
      <c r="C236" s="158"/>
      <c r="D236" s="158"/>
      <c r="E236" s="158"/>
      <c r="F236" s="202"/>
      <c r="G236" s="202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</row>
    <row r="237" spans="1:32" ht="15.75" customHeight="1">
      <c r="A237" s="158"/>
      <c r="B237" s="201"/>
      <c r="C237" s="158"/>
      <c r="D237" s="158"/>
      <c r="E237" s="158"/>
      <c r="F237" s="202"/>
      <c r="G237" s="202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</row>
    <row r="238" spans="1:32" ht="15.75" customHeight="1">
      <c r="A238" s="158"/>
      <c r="B238" s="201"/>
      <c r="C238" s="158"/>
      <c r="D238" s="158"/>
      <c r="E238" s="158"/>
      <c r="F238" s="202"/>
      <c r="G238" s="202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</row>
    <row r="239" spans="1:32" ht="15.75" customHeight="1">
      <c r="A239" s="158"/>
      <c r="B239" s="201"/>
      <c r="C239" s="158"/>
      <c r="D239" s="158"/>
      <c r="E239" s="158"/>
      <c r="F239" s="202"/>
      <c r="G239" s="202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</row>
    <row r="240" spans="1:32" ht="15.75" customHeight="1">
      <c r="A240" s="158"/>
      <c r="B240" s="201"/>
      <c r="C240" s="158"/>
      <c r="D240" s="158"/>
      <c r="E240" s="158"/>
      <c r="F240" s="202"/>
      <c r="G240" s="202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</row>
    <row r="241" spans="1:32" ht="15.75" customHeight="1">
      <c r="A241" s="158"/>
      <c r="B241" s="201"/>
      <c r="C241" s="158"/>
      <c r="D241" s="158"/>
      <c r="E241" s="158"/>
      <c r="F241" s="202"/>
      <c r="G241" s="202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</row>
    <row r="242" spans="1:32" ht="15.75" customHeight="1">
      <c r="A242" s="158"/>
      <c r="B242" s="201"/>
      <c r="C242" s="158"/>
      <c r="D242" s="158"/>
      <c r="E242" s="158"/>
      <c r="F242" s="202"/>
      <c r="G242" s="202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</row>
    <row r="243" spans="1:32" ht="15.75" customHeight="1">
      <c r="A243" s="158"/>
      <c r="B243" s="201"/>
      <c r="C243" s="158"/>
      <c r="D243" s="158"/>
      <c r="E243" s="158"/>
      <c r="F243" s="202"/>
      <c r="G243" s="202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</row>
    <row r="244" spans="1:32" ht="15.75" customHeight="1">
      <c r="A244" s="158"/>
      <c r="B244" s="201"/>
      <c r="C244" s="158"/>
      <c r="D244" s="158"/>
      <c r="E244" s="158"/>
      <c r="F244" s="202"/>
      <c r="G244" s="202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</row>
    <row r="245" spans="1:32" ht="15.75" customHeight="1">
      <c r="A245" s="158"/>
      <c r="B245" s="201"/>
      <c r="C245" s="158"/>
      <c r="D245" s="158"/>
      <c r="E245" s="158"/>
      <c r="F245" s="202"/>
      <c r="G245" s="202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</row>
    <row r="246" spans="1:32" ht="15.75" customHeight="1">
      <c r="A246" s="158"/>
      <c r="B246" s="201"/>
      <c r="C246" s="158"/>
      <c r="D246" s="158"/>
      <c r="E246" s="158"/>
      <c r="F246" s="202"/>
      <c r="G246" s="202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</row>
    <row r="247" spans="1:32" ht="15.75" customHeight="1">
      <c r="A247" s="158"/>
      <c r="B247" s="201"/>
      <c r="C247" s="158"/>
      <c r="D247" s="158"/>
      <c r="E247" s="158"/>
      <c r="F247" s="202"/>
      <c r="G247" s="202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</row>
    <row r="248" spans="1:32" ht="15.75" customHeight="1">
      <c r="A248" s="158"/>
      <c r="B248" s="201"/>
      <c r="C248" s="158"/>
      <c r="D248" s="158"/>
      <c r="E248" s="158"/>
      <c r="F248" s="202"/>
      <c r="G248" s="202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</row>
    <row r="249" spans="1:32" ht="15.75" customHeight="1">
      <c r="A249" s="158"/>
      <c r="B249" s="201"/>
      <c r="C249" s="158"/>
      <c r="D249" s="158"/>
      <c r="E249" s="158"/>
      <c r="F249" s="202"/>
      <c r="G249" s="202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</row>
    <row r="250" spans="1:32" ht="15.75" customHeight="1">
      <c r="A250" s="158"/>
      <c r="B250" s="201"/>
      <c r="C250" s="158"/>
      <c r="D250" s="158"/>
      <c r="E250" s="158"/>
      <c r="F250" s="202"/>
      <c r="G250" s="202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</row>
    <row r="251" spans="1:32" ht="15.75" customHeight="1">
      <c r="A251" s="158"/>
      <c r="B251" s="201"/>
      <c r="C251" s="158"/>
      <c r="D251" s="158"/>
      <c r="E251" s="158"/>
      <c r="F251" s="202"/>
      <c r="G251" s="202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</row>
    <row r="252" spans="1:32" ht="15.75" customHeight="1">
      <c r="A252" s="158"/>
      <c r="B252" s="201"/>
      <c r="C252" s="158"/>
      <c r="D252" s="158"/>
      <c r="E252" s="158"/>
      <c r="F252" s="202"/>
      <c r="G252" s="202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</row>
    <row r="253" spans="1:32" ht="15.75" customHeight="1">
      <c r="A253" s="158"/>
      <c r="B253" s="201"/>
      <c r="C253" s="158"/>
      <c r="D253" s="158"/>
      <c r="E253" s="158"/>
      <c r="F253" s="202"/>
      <c r="G253" s="202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</row>
    <row r="254" spans="1:32" ht="15.75" customHeight="1">
      <c r="A254" s="158"/>
      <c r="B254" s="201"/>
      <c r="C254" s="158"/>
      <c r="D254" s="158"/>
      <c r="E254" s="158"/>
      <c r="F254" s="202"/>
      <c r="G254" s="202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</row>
    <row r="255" spans="1:32" ht="15.75" customHeight="1">
      <c r="A255" s="158"/>
      <c r="B255" s="201"/>
      <c r="C255" s="158"/>
      <c r="D255" s="158"/>
      <c r="E255" s="158"/>
      <c r="F255" s="202"/>
      <c r="G255" s="202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</row>
    <row r="256" spans="1:32" ht="15.75" customHeight="1">
      <c r="A256" s="158"/>
      <c r="B256" s="201"/>
      <c r="C256" s="158"/>
      <c r="D256" s="158"/>
      <c r="E256" s="158"/>
      <c r="F256" s="202"/>
      <c r="G256" s="202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</row>
    <row r="257" spans="1:32" ht="15.75" customHeight="1">
      <c r="A257" s="158"/>
      <c r="B257" s="201"/>
      <c r="C257" s="158"/>
      <c r="D257" s="158"/>
      <c r="E257" s="158"/>
      <c r="F257" s="202"/>
      <c r="G257" s="202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</row>
    <row r="258" spans="1:32" ht="15.75" customHeight="1">
      <c r="A258" s="158"/>
      <c r="B258" s="201"/>
      <c r="C258" s="158"/>
      <c r="D258" s="158"/>
      <c r="E258" s="158"/>
      <c r="F258" s="202"/>
      <c r="G258" s="202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</row>
    <row r="259" spans="1:32" ht="15.75" customHeight="1">
      <c r="A259" s="158"/>
      <c r="B259" s="201"/>
      <c r="C259" s="158"/>
      <c r="D259" s="158"/>
      <c r="E259" s="158"/>
      <c r="F259" s="202"/>
      <c r="G259" s="202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</row>
    <row r="260" spans="1:32" ht="15.75" customHeight="1">
      <c r="A260" s="158"/>
      <c r="B260" s="201"/>
      <c r="C260" s="158"/>
      <c r="D260" s="158"/>
      <c r="E260" s="158"/>
      <c r="F260" s="202"/>
      <c r="G260" s="202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</row>
    <row r="261" spans="1:32" ht="15.75" customHeight="1">
      <c r="A261" s="158"/>
      <c r="B261" s="201"/>
      <c r="C261" s="158"/>
      <c r="D261" s="158"/>
      <c r="E261" s="158"/>
      <c r="F261" s="202"/>
      <c r="G261" s="202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</row>
    <row r="262" spans="1:32" ht="15.75" customHeight="1">
      <c r="A262" s="158"/>
      <c r="B262" s="201"/>
      <c r="C262" s="158"/>
      <c r="D262" s="158"/>
      <c r="E262" s="158"/>
      <c r="F262" s="202"/>
      <c r="G262" s="202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</row>
    <row r="263" spans="1:32" ht="15.75" customHeight="1">
      <c r="A263" s="158"/>
      <c r="B263" s="201"/>
      <c r="C263" s="158"/>
      <c r="D263" s="158"/>
      <c r="E263" s="158"/>
      <c r="F263" s="202"/>
      <c r="G263" s="202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</row>
    <row r="264" spans="1:32" ht="15.75" customHeight="1">
      <c r="A264" s="158"/>
      <c r="B264" s="201"/>
      <c r="C264" s="158"/>
      <c r="D264" s="158"/>
      <c r="E264" s="158"/>
      <c r="F264" s="202"/>
      <c r="G264" s="202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</row>
    <row r="265" spans="1:32" ht="15.75" customHeight="1">
      <c r="A265" s="158"/>
      <c r="B265" s="201"/>
      <c r="C265" s="158"/>
      <c r="D265" s="158"/>
      <c r="E265" s="158"/>
      <c r="F265" s="202"/>
      <c r="G265" s="202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</row>
    <row r="266" spans="1:32" ht="15.75" customHeight="1">
      <c r="A266" s="158"/>
      <c r="B266" s="201"/>
      <c r="C266" s="158"/>
      <c r="D266" s="158"/>
      <c r="E266" s="158"/>
      <c r="F266" s="202"/>
      <c r="G266" s="202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</row>
    <row r="267" spans="1:32" ht="15.75" customHeight="1">
      <c r="A267" s="158"/>
      <c r="B267" s="201"/>
      <c r="C267" s="158"/>
      <c r="D267" s="158"/>
      <c r="E267" s="158"/>
      <c r="F267" s="202"/>
      <c r="G267" s="202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</row>
    <row r="268" spans="1:32" ht="15.75" customHeight="1">
      <c r="A268" s="158"/>
      <c r="B268" s="201"/>
      <c r="C268" s="158"/>
      <c r="D268" s="158"/>
      <c r="E268" s="158"/>
      <c r="F268" s="202"/>
      <c r="G268" s="202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</row>
    <row r="269" spans="1:32" ht="15.75" customHeight="1">
      <c r="A269" s="158"/>
      <c r="B269" s="201"/>
      <c r="C269" s="158"/>
      <c r="D269" s="158"/>
      <c r="E269" s="158"/>
      <c r="F269" s="202"/>
      <c r="G269" s="202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</row>
    <row r="270" spans="1:32" ht="15.75" customHeight="1">
      <c r="A270" s="158"/>
      <c r="B270" s="201"/>
      <c r="C270" s="158"/>
      <c r="D270" s="158"/>
      <c r="E270" s="158"/>
      <c r="F270" s="202"/>
      <c r="G270" s="202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</row>
    <row r="271" spans="1:32" ht="15.75" customHeight="1">
      <c r="A271" s="158"/>
      <c r="B271" s="201"/>
      <c r="C271" s="158"/>
      <c r="D271" s="158"/>
      <c r="E271" s="158"/>
      <c r="F271" s="202"/>
      <c r="G271" s="202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</row>
    <row r="272" spans="1:32" ht="15.75" customHeight="1">
      <c r="A272" s="158"/>
      <c r="B272" s="201"/>
      <c r="C272" s="158"/>
      <c r="D272" s="158"/>
      <c r="E272" s="158"/>
      <c r="F272" s="202"/>
      <c r="G272" s="202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</row>
    <row r="273" spans="1:32" ht="15.75" customHeight="1">
      <c r="A273" s="158"/>
      <c r="B273" s="201"/>
      <c r="C273" s="158"/>
      <c r="D273" s="158"/>
      <c r="E273" s="158"/>
      <c r="F273" s="202"/>
      <c r="G273" s="202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</row>
    <row r="274" spans="1:32" ht="15.75" customHeight="1">
      <c r="A274" s="158"/>
      <c r="B274" s="201"/>
      <c r="C274" s="158"/>
      <c r="D274" s="158"/>
      <c r="E274" s="158"/>
      <c r="F274" s="202"/>
      <c r="G274" s="202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</row>
    <row r="275" spans="1:32" ht="15.75" customHeight="1">
      <c r="A275" s="158"/>
      <c r="B275" s="201"/>
      <c r="C275" s="158"/>
      <c r="D275" s="158"/>
      <c r="E275" s="158"/>
      <c r="F275" s="202"/>
      <c r="G275" s="202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</row>
    <row r="276" spans="1:32" ht="15.75" customHeight="1">
      <c r="A276" s="158"/>
      <c r="B276" s="201"/>
      <c r="C276" s="158"/>
      <c r="D276" s="158"/>
      <c r="E276" s="158"/>
      <c r="F276" s="202"/>
      <c r="G276" s="202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</row>
    <row r="277" spans="1:32" ht="15.75" customHeight="1">
      <c r="A277" s="158"/>
      <c r="B277" s="201"/>
      <c r="C277" s="158"/>
      <c r="D277" s="158"/>
      <c r="E277" s="158"/>
      <c r="F277" s="202"/>
      <c r="G277" s="202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</row>
    <row r="278" spans="1:32" ht="15.75" customHeight="1">
      <c r="A278" s="158"/>
      <c r="B278" s="201"/>
      <c r="C278" s="158"/>
      <c r="D278" s="158"/>
      <c r="E278" s="158"/>
      <c r="F278" s="202"/>
      <c r="G278" s="202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</row>
    <row r="279" spans="1:32" ht="15.75" customHeight="1">
      <c r="A279" s="158"/>
      <c r="B279" s="201"/>
      <c r="C279" s="158"/>
      <c r="D279" s="158"/>
      <c r="E279" s="158"/>
      <c r="F279" s="202"/>
      <c r="G279" s="202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</row>
    <row r="280" spans="1:32" ht="15.75" customHeight="1">
      <c r="A280" s="158"/>
      <c r="B280" s="201"/>
      <c r="C280" s="158"/>
      <c r="D280" s="158"/>
      <c r="E280" s="158"/>
      <c r="F280" s="202"/>
      <c r="G280" s="202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</row>
    <row r="281" spans="1:32" ht="15.75" customHeight="1">
      <c r="A281" s="158"/>
      <c r="B281" s="201"/>
      <c r="C281" s="158"/>
      <c r="D281" s="158"/>
      <c r="E281" s="158"/>
      <c r="F281" s="202"/>
      <c r="G281" s="202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</row>
    <row r="282" spans="1:32" ht="15.75" customHeight="1">
      <c r="A282" s="158"/>
      <c r="B282" s="201"/>
      <c r="C282" s="158"/>
      <c r="D282" s="158"/>
      <c r="E282" s="158"/>
      <c r="F282" s="202"/>
      <c r="G282" s="202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</row>
    <row r="283" spans="1:32" ht="15.75" customHeight="1">
      <c r="A283" s="158"/>
      <c r="B283" s="201"/>
      <c r="C283" s="158"/>
      <c r="D283" s="158"/>
      <c r="E283" s="158"/>
      <c r="F283" s="202"/>
      <c r="G283" s="202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</row>
    <row r="284" spans="1:32" ht="15.75" customHeight="1">
      <c r="A284" s="158"/>
      <c r="B284" s="201"/>
      <c r="C284" s="158"/>
      <c r="D284" s="158"/>
      <c r="E284" s="158"/>
      <c r="F284" s="202"/>
      <c r="G284" s="202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</row>
    <row r="285" spans="1:32" ht="15.75" customHeight="1">
      <c r="A285" s="158"/>
      <c r="B285" s="201"/>
      <c r="C285" s="158"/>
      <c r="D285" s="158"/>
      <c r="E285" s="158"/>
      <c r="F285" s="202"/>
      <c r="G285" s="202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</row>
    <row r="286" spans="1:32" ht="15.75" customHeight="1">
      <c r="A286" s="158"/>
      <c r="B286" s="201"/>
      <c r="C286" s="158"/>
      <c r="D286" s="158"/>
      <c r="E286" s="158"/>
      <c r="F286" s="202"/>
      <c r="G286" s="202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</row>
    <row r="287" spans="1:32" ht="15.75" customHeight="1">
      <c r="A287" s="158"/>
      <c r="B287" s="201"/>
      <c r="C287" s="158"/>
      <c r="D287" s="158"/>
      <c r="E287" s="158"/>
      <c r="F287" s="202"/>
      <c r="G287" s="202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</row>
    <row r="288" spans="1:32" ht="15.75" customHeight="1">
      <c r="A288" s="158"/>
      <c r="B288" s="201"/>
      <c r="C288" s="158"/>
      <c r="D288" s="158"/>
      <c r="E288" s="158"/>
      <c r="F288" s="202"/>
      <c r="G288" s="202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</row>
    <row r="289" spans="1:32" ht="15.75" customHeight="1">
      <c r="A289" s="158"/>
      <c r="B289" s="201"/>
      <c r="C289" s="158"/>
      <c r="D289" s="158"/>
      <c r="E289" s="158"/>
      <c r="F289" s="202"/>
      <c r="G289" s="202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</row>
    <row r="290" spans="1:32" ht="15.75" customHeight="1">
      <c r="A290" s="158"/>
      <c r="B290" s="201"/>
      <c r="C290" s="158"/>
      <c r="D290" s="158"/>
      <c r="E290" s="158"/>
      <c r="F290" s="202"/>
      <c r="G290" s="202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</row>
    <row r="291" spans="1:32" ht="15.75" customHeight="1">
      <c r="A291" s="158"/>
      <c r="B291" s="201"/>
      <c r="C291" s="158"/>
      <c r="D291" s="158"/>
      <c r="E291" s="158"/>
      <c r="F291" s="202"/>
      <c r="G291" s="202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</row>
    <row r="292" spans="1:32" ht="15.75" customHeight="1">
      <c r="A292" s="158"/>
      <c r="B292" s="201"/>
      <c r="C292" s="158"/>
      <c r="D292" s="158"/>
      <c r="E292" s="158"/>
      <c r="F292" s="202"/>
      <c r="G292" s="202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</row>
    <row r="293" spans="1:32" ht="15.75" customHeight="1">
      <c r="A293" s="158"/>
      <c r="B293" s="201"/>
      <c r="C293" s="158"/>
      <c r="D293" s="158"/>
      <c r="E293" s="158"/>
      <c r="F293" s="202"/>
      <c r="G293" s="202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</row>
    <row r="294" spans="1:32" ht="15.75" customHeight="1">
      <c r="A294" s="158"/>
      <c r="B294" s="201"/>
      <c r="C294" s="158"/>
      <c r="D294" s="158"/>
      <c r="E294" s="158"/>
      <c r="F294" s="202"/>
      <c r="G294" s="202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</row>
    <row r="295" spans="1:32" ht="15.75" customHeight="1">
      <c r="A295" s="158"/>
      <c r="B295" s="201"/>
      <c r="C295" s="158"/>
      <c r="D295" s="158"/>
      <c r="E295" s="158"/>
      <c r="F295" s="202"/>
      <c r="G295" s="202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</row>
    <row r="296" spans="1:32" ht="15.75" customHeight="1">
      <c r="A296" s="158"/>
      <c r="B296" s="201"/>
      <c r="C296" s="158"/>
      <c r="D296" s="158"/>
      <c r="E296" s="158"/>
      <c r="F296" s="202"/>
      <c r="G296" s="202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</row>
    <row r="297" spans="1:32" ht="15.75" customHeight="1">
      <c r="A297" s="158"/>
      <c r="B297" s="201"/>
      <c r="C297" s="158"/>
      <c r="D297" s="158"/>
      <c r="E297" s="158"/>
      <c r="F297" s="202"/>
      <c r="G297" s="202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</row>
    <row r="298" spans="1:32" ht="15.75" customHeight="1">
      <c r="A298" s="158"/>
      <c r="B298" s="201"/>
      <c r="C298" s="158"/>
      <c r="D298" s="158"/>
      <c r="E298" s="158"/>
      <c r="F298" s="202"/>
      <c r="G298" s="202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</row>
    <row r="299" spans="1:32" ht="15.75" customHeight="1">
      <c r="A299" s="158"/>
      <c r="B299" s="201"/>
      <c r="C299" s="158"/>
      <c r="D299" s="158"/>
      <c r="E299" s="158"/>
      <c r="F299" s="202"/>
      <c r="G299" s="202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</row>
    <row r="300" spans="1:32" ht="15.75" customHeight="1">
      <c r="A300" s="158"/>
      <c r="B300" s="201"/>
      <c r="C300" s="158"/>
      <c r="D300" s="158"/>
      <c r="E300" s="158"/>
      <c r="F300" s="202"/>
      <c r="G300" s="202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</row>
    <row r="301" spans="1:32" ht="15.75" customHeight="1">
      <c r="A301" s="158"/>
      <c r="B301" s="201"/>
      <c r="C301" s="158"/>
      <c r="D301" s="158"/>
      <c r="E301" s="158"/>
      <c r="F301" s="202"/>
      <c r="G301" s="202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</row>
    <row r="302" spans="1:32" ht="15.75" customHeight="1">
      <c r="A302" s="158"/>
      <c r="B302" s="201"/>
      <c r="C302" s="158"/>
      <c r="D302" s="158"/>
      <c r="E302" s="158"/>
      <c r="F302" s="202"/>
      <c r="G302" s="202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</row>
    <row r="303" spans="1:32" ht="15.75" customHeight="1">
      <c r="A303" s="158"/>
      <c r="B303" s="201"/>
      <c r="C303" s="158"/>
      <c r="D303" s="158"/>
      <c r="E303" s="158"/>
      <c r="F303" s="202"/>
      <c r="G303" s="202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</row>
    <row r="304" spans="1:32" ht="15.75" customHeight="1">
      <c r="A304" s="158"/>
      <c r="B304" s="201"/>
      <c r="C304" s="158"/>
      <c r="D304" s="158"/>
      <c r="E304" s="158"/>
      <c r="F304" s="202"/>
      <c r="G304" s="202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</row>
    <row r="305" spans="1:32" ht="15.75" customHeight="1">
      <c r="A305" s="158"/>
      <c r="B305" s="201"/>
      <c r="C305" s="158"/>
      <c r="D305" s="158"/>
      <c r="E305" s="158"/>
      <c r="F305" s="202"/>
      <c r="G305" s="202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</row>
    <row r="306" spans="1:32" ht="15.75" customHeight="1">
      <c r="A306" s="158"/>
      <c r="B306" s="201"/>
      <c r="C306" s="158"/>
      <c r="D306" s="158"/>
      <c r="E306" s="158"/>
      <c r="F306" s="202"/>
      <c r="G306" s="202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</row>
    <row r="307" spans="1:32" ht="15.75" customHeight="1">
      <c r="A307" s="158"/>
      <c r="B307" s="201"/>
      <c r="C307" s="158"/>
      <c r="D307" s="158"/>
      <c r="E307" s="158"/>
      <c r="F307" s="202"/>
      <c r="G307" s="202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</row>
    <row r="308" spans="1:32" ht="15.75" customHeight="1">
      <c r="A308" s="158"/>
      <c r="B308" s="201"/>
      <c r="C308" s="158"/>
      <c r="D308" s="158"/>
      <c r="E308" s="158"/>
      <c r="F308" s="202"/>
      <c r="G308" s="202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</row>
    <row r="309" spans="1:32" ht="15.75" customHeight="1">
      <c r="A309" s="158"/>
      <c r="B309" s="201"/>
      <c r="C309" s="158"/>
      <c r="D309" s="158"/>
      <c r="E309" s="158"/>
      <c r="F309" s="202"/>
      <c r="G309" s="202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</row>
    <row r="310" spans="1:32" ht="15.75" customHeight="1">
      <c r="A310" s="158"/>
      <c r="B310" s="201"/>
      <c r="C310" s="158"/>
      <c r="D310" s="158"/>
      <c r="E310" s="158"/>
      <c r="F310" s="202"/>
      <c r="G310" s="202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</row>
    <row r="311" spans="1:32" ht="15.75" customHeight="1">
      <c r="A311" s="158"/>
      <c r="B311" s="201"/>
      <c r="C311" s="158"/>
      <c r="D311" s="158"/>
      <c r="E311" s="158"/>
      <c r="F311" s="202"/>
      <c r="G311" s="202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</row>
    <row r="312" spans="1:32" ht="15.75" customHeight="1">
      <c r="A312" s="158"/>
      <c r="B312" s="201"/>
      <c r="C312" s="158"/>
      <c r="D312" s="158"/>
      <c r="E312" s="158"/>
      <c r="F312" s="202"/>
      <c r="G312" s="202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</row>
    <row r="313" spans="1:32" ht="15.75" customHeight="1">
      <c r="A313" s="158"/>
      <c r="B313" s="201"/>
      <c r="C313" s="158"/>
      <c r="D313" s="158"/>
      <c r="E313" s="158"/>
      <c r="F313" s="202"/>
      <c r="G313" s="202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</row>
    <row r="314" spans="1:32" ht="15.75" customHeight="1">
      <c r="A314" s="158"/>
      <c r="B314" s="201"/>
      <c r="C314" s="158"/>
      <c r="D314" s="158"/>
      <c r="E314" s="158"/>
      <c r="F314" s="202"/>
      <c r="G314" s="202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</row>
    <row r="315" spans="1:32" ht="15.75" customHeight="1">
      <c r="A315" s="158"/>
      <c r="B315" s="201"/>
      <c r="C315" s="158"/>
      <c r="D315" s="158"/>
      <c r="E315" s="158"/>
      <c r="F315" s="202"/>
      <c r="G315" s="202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</row>
    <row r="316" spans="1:32" ht="15.75" customHeight="1">
      <c r="A316" s="158"/>
      <c r="B316" s="201"/>
      <c r="C316" s="158"/>
      <c r="D316" s="158"/>
      <c r="E316" s="158"/>
      <c r="F316" s="202"/>
      <c r="G316" s="202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</row>
    <row r="317" spans="1:32" ht="15.75" customHeight="1">
      <c r="A317" s="158"/>
      <c r="B317" s="201"/>
      <c r="C317" s="158"/>
      <c r="D317" s="158"/>
      <c r="E317" s="158"/>
      <c r="F317" s="202"/>
      <c r="G317" s="202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</row>
    <row r="318" spans="1:32" ht="15.75" customHeight="1">
      <c r="A318" s="158"/>
      <c r="B318" s="201"/>
      <c r="C318" s="158"/>
      <c r="D318" s="158"/>
      <c r="E318" s="158"/>
      <c r="F318" s="202"/>
      <c r="G318" s="202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</row>
    <row r="319" spans="1:32" ht="15.75" customHeight="1">
      <c r="A319" s="158"/>
      <c r="B319" s="201"/>
      <c r="C319" s="158"/>
      <c r="D319" s="158"/>
      <c r="E319" s="158"/>
      <c r="F319" s="202"/>
      <c r="G319" s="202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</row>
    <row r="320" spans="1:32" ht="15.75" customHeight="1">
      <c r="A320" s="158"/>
      <c r="B320" s="201"/>
      <c r="C320" s="158"/>
      <c r="D320" s="158"/>
      <c r="E320" s="158"/>
      <c r="F320" s="202"/>
      <c r="G320" s="202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</row>
    <row r="321" spans="1:32" ht="15.75" customHeight="1">
      <c r="A321" s="158"/>
      <c r="B321" s="201"/>
      <c r="C321" s="158"/>
      <c r="D321" s="158"/>
      <c r="E321" s="158"/>
      <c r="F321" s="202"/>
      <c r="G321" s="202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</row>
    <row r="322" spans="1:32" ht="15.75" customHeight="1">
      <c r="A322" s="158"/>
      <c r="B322" s="201"/>
      <c r="C322" s="158"/>
      <c r="D322" s="158"/>
      <c r="E322" s="158"/>
      <c r="F322" s="202"/>
      <c r="G322" s="202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</row>
    <row r="323" spans="1:32" ht="15.75" customHeight="1">
      <c r="A323" s="158"/>
      <c r="B323" s="201"/>
      <c r="C323" s="158"/>
      <c r="D323" s="158"/>
      <c r="E323" s="158"/>
      <c r="F323" s="202"/>
      <c r="G323" s="202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</row>
    <row r="324" spans="1:32" ht="15.75" customHeight="1">
      <c r="A324" s="158"/>
      <c r="B324" s="201"/>
      <c r="C324" s="158"/>
      <c r="D324" s="158"/>
      <c r="E324" s="158"/>
      <c r="F324" s="202"/>
      <c r="G324" s="202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</row>
    <row r="325" spans="1:32" ht="15.75" customHeight="1">
      <c r="A325" s="158"/>
      <c r="B325" s="201"/>
      <c r="C325" s="158"/>
      <c r="D325" s="158"/>
      <c r="E325" s="158"/>
      <c r="F325" s="202"/>
      <c r="G325" s="202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</row>
    <row r="326" spans="1:32" ht="15.75" customHeight="1">
      <c r="A326" s="158"/>
      <c r="B326" s="201"/>
      <c r="C326" s="158"/>
      <c r="D326" s="158"/>
      <c r="E326" s="158"/>
      <c r="F326" s="202"/>
      <c r="G326" s="202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</row>
    <row r="327" spans="1:32" ht="15.75" customHeight="1">
      <c r="A327" s="158"/>
      <c r="B327" s="201"/>
      <c r="C327" s="158"/>
      <c r="D327" s="158"/>
      <c r="E327" s="158"/>
      <c r="F327" s="202"/>
      <c r="G327" s="202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</row>
    <row r="328" spans="1:32" ht="15.75" customHeight="1">
      <c r="A328" s="158"/>
      <c r="B328" s="201"/>
      <c r="C328" s="158"/>
      <c r="D328" s="158"/>
      <c r="E328" s="158"/>
      <c r="F328" s="202"/>
      <c r="G328" s="202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</row>
    <row r="329" spans="1:32" ht="15.75" customHeight="1">
      <c r="A329" s="158"/>
      <c r="B329" s="201"/>
      <c r="C329" s="158"/>
      <c r="D329" s="158"/>
      <c r="E329" s="158"/>
      <c r="F329" s="202"/>
      <c r="G329" s="202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</row>
    <row r="330" spans="1:32" ht="15.75" customHeight="1">
      <c r="A330" s="158"/>
      <c r="B330" s="201"/>
      <c r="C330" s="158"/>
      <c r="D330" s="158"/>
      <c r="E330" s="158"/>
      <c r="F330" s="202"/>
      <c r="G330" s="202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</row>
    <row r="331" spans="1:32" ht="15.75" customHeight="1">
      <c r="A331" s="158"/>
      <c r="B331" s="201"/>
      <c r="C331" s="158"/>
      <c r="D331" s="158"/>
      <c r="E331" s="158"/>
      <c r="F331" s="202"/>
      <c r="G331" s="202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</row>
    <row r="332" spans="1:32" ht="15.75" customHeight="1">
      <c r="A332" s="158"/>
      <c r="B332" s="201"/>
      <c r="C332" s="158"/>
      <c r="D332" s="158"/>
      <c r="E332" s="158"/>
      <c r="F332" s="202"/>
      <c r="G332" s="202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</row>
    <row r="333" spans="1:32" ht="15.75" customHeight="1">
      <c r="A333" s="158"/>
      <c r="B333" s="201"/>
      <c r="C333" s="158"/>
      <c r="D333" s="158"/>
      <c r="E333" s="158"/>
      <c r="F333" s="202"/>
      <c r="G333" s="202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</row>
    <row r="334" spans="1:32" ht="15.75" customHeight="1">
      <c r="A334" s="158"/>
      <c r="B334" s="201"/>
      <c r="C334" s="158"/>
      <c r="D334" s="158"/>
      <c r="E334" s="158"/>
      <c r="F334" s="202"/>
      <c r="G334" s="202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</row>
    <row r="335" spans="1:32" ht="15.75" customHeight="1">
      <c r="A335" s="158"/>
      <c r="B335" s="201"/>
      <c r="C335" s="158"/>
      <c r="D335" s="158"/>
      <c r="E335" s="158"/>
      <c r="F335" s="202"/>
      <c r="G335" s="202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</row>
    <row r="336" spans="1:32" ht="15.75" customHeight="1">
      <c r="A336" s="158"/>
      <c r="B336" s="201"/>
      <c r="C336" s="158"/>
      <c r="D336" s="158"/>
      <c r="E336" s="158"/>
      <c r="F336" s="202"/>
      <c r="G336" s="202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</row>
    <row r="337" spans="1:32" ht="15.75" customHeight="1">
      <c r="A337" s="158"/>
      <c r="B337" s="201"/>
      <c r="C337" s="158"/>
      <c r="D337" s="158"/>
      <c r="E337" s="158"/>
      <c r="F337" s="202"/>
      <c r="G337" s="202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</row>
    <row r="338" spans="1:32" ht="15.75" customHeight="1">
      <c r="A338" s="158"/>
      <c r="B338" s="201"/>
      <c r="C338" s="158"/>
      <c r="D338" s="158"/>
      <c r="E338" s="158"/>
      <c r="F338" s="202"/>
      <c r="G338" s="202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</row>
    <row r="339" spans="1:32" ht="15.75" customHeight="1">
      <c r="A339" s="158"/>
      <c r="B339" s="201"/>
      <c r="C339" s="158"/>
      <c r="D339" s="158"/>
      <c r="E339" s="158"/>
      <c r="F339" s="202"/>
      <c r="G339" s="202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</row>
    <row r="340" spans="1:32" ht="15.75" customHeight="1">
      <c r="A340" s="158"/>
      <c r="B340" s="201"/>
      <c r="C340" s="158"/>
      <c r="D340" s="158"/>
      <c r="E340" s="158"/>
      <c r="F340" s="202"/>
      <c r="G340" s="202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</row>
    <row r="341" spans="1:32" ht="15.75" customHeight="1">
      <c r="A341" s="158"/>
      <c r="B341" s="201"/>
      <c r="C341" s="158"/>
      <c r="D341" s="158"/>
      <c r="E341" s="158"/>
      <c r="F341" s="202"/>
      <c r="G341" s="202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</row>
    <row r="342" spans="1:32" ht="15.75" customHeight="1">
      <c r="A342" s="158"/>
      <c r="B342" s="201"/>
      <c r="C342" s="158"/>
      <c r="D342" s="158"/>
      <c r="E342" s="158"/>
      <c r="F342" s="202"/>
      <c r="G342" s="202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</row>
    <row r="343" spans="1:32" ht="15.75" customHeight="1">
      <c r="A343" s="158"/>
      <c r="B343" s="201"/>
      <c r="C343" s="158"/>
      <c r="D343" s="158"/>
      <c r="E343" s="158"/>
      <c r="F343" s="202"/>
      <c r="G343" s="202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</row>
    <row r="344" spans="1:32" ht="15.75" customHeight="1">
      <c r="A344" s="158"/>
      <c r="B344" s="201"/>
      <c r="C344" s="158"/>
      <c r="D344" s="158"/>
      <c r="E344" s="158"/>
      <c r="F344" s="202"/>
      <c r="G344" s="202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</row>
    <row r="345" spans="1:32" ht="15.75" customHeight="1">
      <c r="A345" s="158"/>
      <c r="B345" s="201"/>
      <c r="C345" s="158"/>
      <c r="D345" s="158"/>
      <c r="E345" s="158"/>
      <c r="F345" s="202"/>
      <c r="G345" s="202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</row>
    <row r="346" spans="1:32" ht="15.75" customHeight="1">
      <c r="A346" s="158"/>
      <c r="B346" s="201"/>
      <c r="C346" s="158"/>
      <c r="D346" s="158"/>
      <c r="E346" s="158"/>
      <c r="F346" s="202"/>
      <c r="G346" s="202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</row>
    <row r="347" spans="1:32" ht="15.75" customHeight="1">
      <c r="A347" s="158"/>
      <c r="B347" s="201"/>
      <c r="C347" s="158"/>
      <c r="D347" s="158"/>
      <c r="E347" s="158"/>
      <c r="F347" s="202"/>
      <c r="G347" s="202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</row>
    <row r="348" spans="1:32" ht="15.75" customHeight="1">
      <c r="A348" s="158"/>
      <c r="B348" s="201"/>
      <c r="C348" s="158"/>
      <c r="D348" s="158"/>
      <c r="E348" s="158"/>
      <c r="F348" s="202"/>
      <c r="G348" s="202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</row>
    <row r="349" spans="1:32" ht="15.75" customHeight="1">
      <c r="A349" s="158"/>
      <c r="B349" s="201"/>
      <c r="C349" s="158"/>
      <c r="D349" s="158"/>
      <c r="E349" s="158"/>
      <c r="F349" s="202"/>
      <c r="G349" s="202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</row>
    <row r="350" spans="1:32" ht="15.75" customHeight="1">
      <c r="A350" s="158"/>
      <c r="B350" s="201"/>
      <c r="C350" s="158"/>
      <c r="D350" s="158"/>
      <c r="E350" s="158"/>
      <c r="F350" s="202"/>
      <c r="G350" s="202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</row>
    <row r="351" spans="1:32" ht="15.75" customHeight="1">
      <c r="A351" s="158"/>
      <c r="B351" s="201"/>
      <c r="C351" s="158"/>
      <c r="D351" s="158"/>
      <c r="E351" s="158"/>
      <c r="F351" s="202"/>
      <c r="G351" s="202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</row>
    <row r="352" spans="1:32" ht="15.75" customHeight="1">
      <c r="A352" s="158"/>
      <c r="B352" s="201"/>
      <c r="C352" s="158"/>
      <c r="D352" s="158"/>
      <c r="E352" s="158"/>
      <c r="F352" s="202"/>
      <c r="G352" s="202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</row>
    <row r="353" spans="1:32" ht="15.75" customHeight="1">
      <c r="A353" s="158"/>
      <c r="B353" s="201"/>
      <c r="C353" s="158"/>
      <c r="D353" s="158"/>
      <c r="E353" s="158"/>
      <c r="F353" s="202"/>
      <c r="G353" s="202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</row>
    <row r="354" spans="1:32" ht="15.75" customHeight="1">
      <c r="A354" s="158"/>
      <c r="B354" s="201"/>
      <c r="C354" s="158"/>
      <c r="D354" s="158"/>
      <c r="E354" s="158"/>
      <c r="F354" s="202"/>
      <c r="G354" s="202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</row>
    <row r="355" spans="1:32" ht="15.75" customHeight="1">
      <c r="A355" s="158"/>
      <c r="B355" s="201"/>
      <c r="C355" s="158"/>
      <c r="D355" s="158"/>
      <c r="E355" s="158"/>
      <c r="F355" s="202"/>
      <c r="G355" s="202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</row>
    <row r="356" spans="1:32" ht="15.75" customHeight="1">
      <c r="A356" s="158"/>
      <c r="B356" s="201"/>
      <c r="C356" s="158"/>
      <c r="D356" s="158"/>
      <c r="E356" s="158"/>
      <c r="F356" s="202"/>
      <c r="G356" s="202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</row>
    <row r="357" spans="1:32" ht="15.75" customHeight="1">
      <c r="A357" s="158"/>
      <c r="B357" s="201"/>
      <c r="C357" s="158"/>
      <c r="D357" s="158"/>
      <c r="E357" s="158"/>
      <c r="F357" s="202"/>
      <c r="G357" s="202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</row>
    <row r="358" spans="1:32" ht="15.75" customHeight="1">
      <c r="A358" s="158"/>
      <c r="B358" s="201"/>
      <c r="C358" s="158"/>
      <c r="D358" s="158"/>
      <c r="E358" s="158"/>
      <c r="F358" s="202"/>
      <c r="G358" s="202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</row>
    <row r="359" spans="1:32" ht="15.75" customHeight="1">
      <c r="A359" s="158"/>
      <c r="B359" s="201"/>
      <c r="C359" s="158"/>
      <c r="D359" s="158"/>
      <c r="E359" s="158"/>
      <c r="F359" s="202"/>
      <c r="G359" s="202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</row>
    <row r="360" spans="1:32" ht="15.75" customHeight="1">
      <c r="A360" s="158"/>
      <c r="B360" s="201"/>
      <c r="C360" s="158"/>
      <c r="D360" s="158"/>
      <c r="E360" s="158"/>
      <c r="F360" s="202"/>
      <c r="G360" s="202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</row>
    <row r="361" spans="1:32" ht="15.75" customHeight="1">
      <c r="A361" s="158"/>
      <c r="B361" s="201"/>
      <c r="C361" s="158"/>
      <c r="D361" s="158"/>
      <c r="E361" s="158"/>
      <c r="F361" s="202"/>
      <c r="G361" s="202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</row>
    <row r="362" spans="1:32" ht="15.75" customHeight="1">
      <c r="A362" s="158"/>
      <c r="B362" s="201"/>
      <c r="C362" s="158"/>
      <c r="D362" s="158"/>
      <c r="E362" s="158"/>
      <c r="F362" s="202"/>
      <c r="G362" s="202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</row>
    <row r="363" spans="1:32" ht="15.75" customHeight="1">
      <c r="A363" s="158"/>
      <c r="B363" s="201"/>
      <c r="C363" s="158"/>
      <c r="D363" s="158"/>
      <c r="E363" s="158"/>
      <c r="F363" s="202"/>
      <c r="G363" s="202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</row>
    <row r="364" spans="1:32" ht="15.75" customHeight="1">
      <c r="A364" s="158"/>
      <c r="B364" s="201"/>
      <c r="C364" s="158"/>
      <c r="D364" s="158"/>
      <c r="E364" s="158"/>
      <c r="F364" s="202"/>
      <c r="G364" s="202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</row>
    <row r="365" spans="1:32" ht="15.75" customHeight="1">
      <c r="A365" s="158"/>
      <c r="B365" s="201"/>
      <c r="C365" s="158"/>
      <c r="D365" s="158"/>
      <c r="E365" s="158"/>
      <c r="F365" s="202"/>
      <c r="G365" s="202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</row>
    <row r="366" spans="1:32" ht="15.75" customHeight="1">
      <c r="A366" s="158"/>
      <c r="B366" s="201"/>
      <c r="C366" s="158"/>
      <c r="D366" s="158"/>
      <c r="E366" s="158"/>
      <c r="F366" s="202"/>
      <c r="G366" s="202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</row>
    <row r="367" spans="1:32" ht="15.75" customHeight="1">
      <c r="A367" s="158"/>
      <c r="B367" s="201"/>
      <c r="C367" s="158"/>
      <c r="D367" s="158"/>
      <c r="E367" s="158"/>
      <c r="F367" s="202"/>
      <c r="G367" s="202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</row>
    <row r="368" spans="1:32" ht="15.75" customHeight="1">
      <c r="A368" s="158"/>
      <c r="B368" s="201"/>
      <c r="C368" s="158"/>
      <c r="D368" s="158"/>
      <c r="E368" s="158"/>
      <c r="F368" s="202"/>
      <c r="G368" s="202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</row>
    <row r="369" spans="1:32" ht="15.75" customHeight="1">
      <c r="A369" s="158"/>
      <c r="B369" s="201"/>
      <c r="C369" s="158"/>
      <c r="D369" s="158"/>
      <c r="E369" s="158"/>
      <c r="F369" s="202"/>
      <c r="G369" s="202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</row>
    <row r="370" spans="1:32" ht="15.75" customHeight="1">
      <c r="A370" s="158"/>
      <c r="B370" s="201"/>
      <c r="C370" s="158"/>
      <c r="D370" s="158"/>
      <c r="E370" s="158"/>
      <c r="F370" s="202"/>
      <c r="G370" s="202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</row>
    <row r="371" spans="1:32" ht="15.75" customHeight="1">
      <c r="A371" s="158"/>
      <c r="B371" s="201"/>
      <c r="C371" s="158"/>
      <c r="D371" s="158"/>
      <c r="E371" s="158"/>
      <c r="F371" s="202"/>
      <c r="G371" s="202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</row>
    <row r="372" spans="1:32" ht="15.75" customHeight="1">
      <c r="A372" s="158"/>
      <c r="B372" s="201"/>
      <c r="C372" s="158"/>
      <c r="D372" s="158"/>
      <c r="E372" s="158"/>
      <c r="F372" s="202"/>
      <c r="G372" s="202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</row>
    <row r="373" spans="1:32" ht="15.75" customHeight="1">
      <c r="A373" s="158"/>
      <c r="B373" s="201"/>
      <c r="C373" s="158"/>
      <c r="D373" s="158"/>
      <c r="E373" s="158"/>
      <c r="F373" s="202"/>
      <c r="G373" s="202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</row>
    <row r="374" spans="1:32" ht="15.75" customHeight="1">
      <c r="A374" s="158"/>
      <c r="B374" s="201"/>
      <c r="C374" s="158"/>
      <c r="D374" s="158"/>
      <c r="E374" s="158"/>
      <c r="F374" s="202"/>
      <c r="G374" s="202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</row>
    <row r="375" spans="1:32" ht="15.75" customHeight="1">
      <c r="A375" s="158"/>
      <c r="B375" s="201"/>
      <c r="C375" s="158"/>
      <c r="D375" s="158"/>
      <c r="E375" s="158"/>
      <c r="F375" s="202"/>
      <c r="G375" s="202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</row>
    <row r="376" spans="1:32" ht="15.75" customHeight="1">
      <c r="A376" s="158"/>
      <c r="B376" s="201"/>
      <c r="C376" s="158"/>
      <c r="D376" s="158"/>
      <c r="E376" s="158"/>
      <c r="F376" s="202"/>
      <c r="G376" s="202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</row>
    <row r="377" spans="1:32" ht="15.75" customHeight="1">
      <c r="A377" s="158"/>
      <c r="B377" s="201"/>
      <c r="C377" s="158"/>
      <c r="D377" s="158"/>
      <c r="E377" s="158"/>
      <c r="F377" s="202"/>
      <c r="G377" s="202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</row>
    <row r="378" spans="1:32" ht="15.75" customHeight="1">
      <c r="A378" s="158"/>
      <c r="B378" s="201"/>
      <c r="C378" s="158"/>
      <c r="D378" s="158"/>
      <c r="E378" s="158"/>
      <c r="F378" s="202"/>
      <c r="G378" s="202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</row>
    <row r="379" spans="1:32" ht="15.75" customHeight="1">
      <c r="A379" s="158"/>
      <c r="B379" s="201"/>
      <c r="C379" s="158"/>
      <c r="D379" s="158"/>
      <c r="E379" s="158"/>
      <c r="F379" s="202"/>
      <c r="G379" s="202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</row>
    <row r="380" spans="1:32" ht="15.75" customHeight="1">
      <c r="A380" s="158"/>
      <c r="B380" s="201"/>
      <c r="C380" s="158"/>
      <c r="D380" s="158"/>
      <c r="E380" s="158"/>
      <c r="F380" s="202"/>
      <c r="G380" s="202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</row>
    <row r="381" spans="1:32" ht="15.75" customHeight="1">
      <c r="A381" s="158"/>
      <c r="B381" s="201"/>
      <c r="C381" s="158"/>
      <c r="D381" s="158"/>
      <c r="E381" s="158"/>
      <c r="F381" s="202"/>
      <c r="G381" s="202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</row>
    <row r="382" spans="1:32" ht="15.75" customHeight="1">
      <c r="A382" s="158"/>
      <c r="B382" s="201"/>
      <c r="C382" s="158"/>
      <c r="D382" s="158"/>
      <c r="E382" s="158"/>
      <c r="F382" s="202"/>
      <c r="G382" s="202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</row>
    <row r="383" spans="1:32" ht="15.75" customHeight="1">
      <c r="A383" s="158"/>
      <c r="B383" s="201"/>
      <c r="C383" s="158"/>
      <c r="D383" s="158"/>
      <c r="E383" s="158"/>
      <c r="F383" s="202"/>
      <c r="G383" s="202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</row>
    <row r="384" spans="1:32" ht="15.75" customHeight="1">
      <c r="A384" s="158"/>
      <c r="B384" s="201"/>
      <c r="C384" s="158"/>
      <c r="D384" s="158"/>
      <c r="E384" s="158"/>
      <c r="F384" s="202"/>
      <c r="G384" s="202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</row>
    <row r="385" spans="1:32" ht="15.75" customHeight="1">
      <c r="A385" s="158"/>
      <c r="B385" s="201"/>
      <c r="C385" s="158"/>
      <c r="D385" s="158"/>
      <c r="E385" s="158"/>
      <c r="F385" s="202"/>
      <c r="G385" s="202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</row>
    <row r="386" spans="1:32" ht="15.75" customHeight="1">
      <c r="A386" s="158"/>
      <c r="B386" s="201"/>
      <c r="C386" s="158"/>
      <c r="D386" s="158"/>
      <c r="E386" s="158"/>
      <c r="F386" s="202"/>
      <c r="G386" s="202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</row>
    <row r="387" spans="1:32" ht="15.75" customHeight="1">
      <c r="A387" s="158"/>
      <c r="B387" s="201"/>
      <c r="C387" s="158"/>
      <c r="D387" s="158"/>
      <c r="E387" s="158"/>
      <c r="F387" s="202"/>
      <c r="G387" s="202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</row>
    <row r="388" spans="1:32" ht="15.75" customHeight="1">
      <c r="A388" s="158"/>
      <c r="B388" s="201"/>
      <c r="C388" s="158"/>
      <c r="D388" s="158"/>
      <c r="E388" s="158"/>
      <c r="F388" s="202"/>
      <c r="G388" s="202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</row>
    <row r="389" spans="1:32" ht="15.75" customHeight="1">
      <c r="A389" s="158"/>
      <c r="B389" s="201"/>
      <c r="C389" s="158"/>
      <c r="D389" s="158"/>
      <c r="E389" s="158"/>
      <c r="F389" s="202"/>
      <c r="G389" s="202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</row>
    <row r="390" spans="1:32" ht="15.75" customHeight="1">
      <c r="A390" s="158"/>
      <c r="B390" s="201"/>
      <c r="C390" s="158"/>
      <c r="D390" s="158"/>
      <c r="E390" s="158"/>
      <c r="F390" s="202"/>
      <c r="G390" s="202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</row>
    <row r="391" spans="1:32" ht="15.75" customHeight="1">
      <c r="A391" s="158"/>
      <c r="B391" s="201"/>
      <c r="C391" s="158"/>
      <c r="D391" s="158"/>
      <c r="E391" s="158"/>
      <c r="F391" s="202"/>
      <c r="G391" s="202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</row>
    <row r="392" spans="1:32" ht="15.75" customHeight="1">
      <c r="A392" s="158"/>
      <c r="B392" s="201"/>
      <c r="C392" s="158"/>
      <c r="D392" s="158"/>
      <c r="E392" s="158"/>
      <c r="F392" s="202"/>
      <c r="G392" s="202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</row>
    <row r="393" spans="1:32" ht="15.75" customHeight="1">
      <c r="A393" s="158"/>
      <c r="B393" s="201"/>
      <c r="C393" s="158"/>
      <c r="D393" s="158"/>
      <c r="E393" s="158"/>
      <c r="F393" s="202"/>
      <c r="G393" s="202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</row>
    <row r="394" spans="1:32" ht="15.75" customHeight="1">
      <c r="A394" s="158"/>
      <c r="B394" s="201"/>
      <c r="C394" s="158"/>
      <c r="D394" s="158"/>
      <c r="E394" s="158"/>
      <c r="F394" s="202"/>
      <c r="G394" s="202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</row>
    <row r="395" spans="1:32" ht="15.75" customHeight="1">
      <c r="A395" s="158"/>
      <c r="B395" s="201"/>
      <c r="C395" s="158"/>
      <c r="D395" s="158"/>
      <c r="E395" s="158"/>
      <c r="F395" s="202"/>
      <c r="G395" s="202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</row>
    <row r="396" spans="1:32" ht="15.75" customHeight="1">
      <c r="A396" s="158"/>
      <c r="B396" s="201"/>
      <c r="C396" s="158"/>
      <c r="D396" s="158"/>
      <c r="E396" s="158"/>
      <c r="F396" s="202"/>
      <c r="G396" s="202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</row>
    <row r="397" spans="1:32" ht="15.75" customHeight="1">
      <c r="A397" s="158"/>
      <c r="B397" s="201"/>
      <c r="C397" s="158"/>
      <c r="D397" s="158"/>
      <c r="E397" s="158"/>
      <c r="F397" s="202"/>
      <c r="G397" s="202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</row>
    <row r="398" spans="1:32" ht="15.75" customHeight="1">
      <c r="A398" s="158"/>
      <c r="B398" s="201"/>
      <c r="C398" s="158"/>
      <c r="D398" s="158"/>
      <c r="E398" s="158"/>
      <c r="F398" s="202"/>
      <c r="G398" s="202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</row>
    <row r="399" spans="1:32" ht="15.75" customHeight="1">
      <c r="A399" s="158"/>
      <c r="B399" s="201"/>
      <c r="C399" s="158"/>
      <c r="D399" s="158"/>
      <c r="E399" s="158"/>
      <c r="F399" s="202"/>
      <c r="G399" s="202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</row>
    <row r="400" spans="1:32" ht="15.75" customHeight="1">
      <c r="A400" s="158"/>
      <c r="B400" s="201"/>
      <c r="C400" s="158"/>
      <c r="D400" s="158"/>
      <c r="E400" s="158"/>
      <c r="F400" s="202"/>
      <c r="G400" s="202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</row>
    <row r="401" spans="1:32" ht="15.75" customHeight="1">
      <c r="A401" s="158"/>
      <c r="B401" s="201"/>
      <c r="C401" s="158"/>
      <c r="D401" s="158"/>
      <c r="E401" s="158"/>
      <c r="F401" s="202"/>
      <c r="G401" s="202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</row>
    <row r="402" spans="1:32" ht="15.75" customHeight="1">
      <c r="A402" s="158"/>
      <c r="B402" s="201"/>
      <c r="C402" s="158"/>
      <c r="D402" s="158"/>
      <c r="E402" s="158"/>
      <c r="F402" s="202"/>
      <c r="G402" s="202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</row>
    <row r="403" spans="1:32" ht="15.75" customHeight="1">
      <c r="A403" s="158"/>
      <c r="B403" s="201"/>
      <c r="C403" s="158"/>
      <c r="D403" s="158"/>
      <c r="E403" s="158"/>
      <c r="F403" s="202"/>
      <c r="G403" s="202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</row>
    <row r="404" spans="1:32" ht="15.75" customHeight="1">
      <c r="A404" s="158"/>
      <c r="B404" s="201"/>
      <c r="C404" s="158"/>
      <c r="D404" s="158"/>
      <c r="E404" s="158"/>
      <c r="F404" s="202"/>
      <c r="G404" s="202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</row>
    <row r="405" spans="1:32" ht="15.75" customHeight="1">
      <c r="A405" s="158"/>
      <c r="B405" s="201"/>
      <c r="C405" s="158"/>
      <c r="D405" s="158"/>
      <c r="E405" s="158"/>
      <c r="F405" s="202"/>
      <c r="G405" s="202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</row>
    <row r="406" spans="1:32" ht="15.75" customHeight="1">
      <c r="A406" s="158"/>
      <c r="B406" s="201"/>
      <c r="C406" s="158"/>
      <c r="D406" s="158"/>
      <c r="E406" s="158"/>
      <c r="F406" s="202"/>
      <c r="G406" s="202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</row>
    <row r="407" spans="1:32" ht="15.75" customHeight="1">
      <c r="A407" s="158"/>
      <c r="B407" s="201"/>
      <c r="C407" s="158"/>
      <c r="D407" s="158"/>
      <c r="E407" s="158"/>
      <c r="F407" s="202"/>
      <c r="G407" s="202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</row>
    <row r="408" spans="1:32" ht="15.75" customHeight="1">
      <c r="A408" s="158"/>
      <c r="B408" s="201"/>
      <c r="C408" s="158"/>
      <c r="D408" s="158"/>
      <c r="E408" s="158"/>
      <c r="F408" s="202"/>
      <c r="G408" s="202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</row>
    <row r="409" spans="1:32" ht="15.75" customHeight="1">
      <c r="A409" s="158"/>
      <c r="B409" s="201"/>
      <c r="C409" s="158"/>
      <c r="D409" s="158"/>
      <c r="E409" s="158"/>
      <c r="F409" s="202"/>
      <c r="G409" s="202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</row>
    <row r="410" spans="1:32" ht="15.75" customHeight="1">
      <c r="A410" s="158"/>
      <c r="B410" s="201"/>
      <c r="C410" s="158"/>
      <c r="D410" s="158"/>
      <c r="E410" s="158"/>
      <c r="F410" s="202"/>
      <c r="G410" s="202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</row>
    <row r="411" spans="1:32" ht="15.75" customHeight="1">
      <c r="A411" s="158"/>
      <c r="B411" s="201"/>
      <c r="C411" s="158"/>
      <c r="D411" s="158"/>
      <c r="E411" s="158"/>
      <c r="F411" s="202"/>
      <c r="G411" s="202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</row>
    <row r="412" spans="1:32" ht="15.75" customHeight="1">
      <c r="A412" s="158"/>
      <c r="B412" s="201"/>
      <c r="C412" s="158"/>
      <c r="D412" s="158"/>
      <c r="E412" s="158"/>
      <c r="F412" s="202"/>
      <c r="G412" s="202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</row>
    <row r="413" spans="1:32" ht="15.75" customHeight="1">
      <c r="A413" s="158"/>
      <c r="B413" s="201"/>
      <c r="C413" s="158"/>
      <c r="D413" s="158"/>
      <c r="E413" s="158"/>
      <c r="F413" s="202"/>
      <c r="G413" s="202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</row>
    <row r="414" spans="1:32" ht="15.75" customHeight="1">
      <c r="A414" s="158"/>
      <c r="B414" s="201"/>
      <c r="C414" s="158"/>
      <c r="D414" s="158"/>
      <c r="E414" s="158"/>
      <c r="F414" s="202"/>
      <c r="G414" s="202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</row>
    <row r="415" spans="1:32" ht="15.75" customHeight="1">
      <c r="A415" s="158"/>
      <c r="B415" s="201"/>
      <c r="C415" s="158"/>
      <c r="D415" s="158"/>
      <c r="E415" s="158"/>
      <c r="F415" s="202"/>
      <c r="G415" s="202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</row>
    <row r="416" spans="1:32" ht="15.75" customHeight="1">
      <c r="A416" s="158"/>
      <c r="B416" s="201"/>
      <c r="C416" s="158"/>
      <c r="D416" s="158"/>
      <c r="E416" s="158"/>
      <c r="F416" s="202"/>
      <c r="G416" s="202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</row>
    <row r="417" spans="1:32" ht="15.75" customHeight="1">
      <c r="A417" s="158"/>
      <c r="B417" s="201"/>
      <c r="C417" s="158"/>
      <c r="D417" s="158"/>
      <c r="E417" s="158"/>
      <c r="F417" s="202"/>
      <c r="G417" s="202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</row>
    <row r="418" spans="1:32" ht="15.75" customHeight="1">
      <c r="A418" s="158"/>
      <c r="B418" s="201"/>
      <c r="C418" s="158"/>
      <c r="D418" s="158"/>
      <c r="E418" s="158"/>
      <c r="F418" s="202"/>
      <c r="G418" s="202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</row>
    <row r="419" spans="1:32" ht="15.75" customHeight="1">
      <c r="A419" s="158"/>
      <c r="B419" s="201"/>
      <c r="C419" s="158"/>
      <c r="D419" s="158"/>
      <c r="E419" s="158"/>
      <c r="F419" s="202"/>
      <c r="G419" s="202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</row>
    <row r="420" spans="1:32" ht="15.75" customHeight="1">
      <c r="A420" s="158"/>
      <c r="B420" s="201"/>
      <c r="C420" s="158"/>
      <c r="D420" s="158"/>
      <c r="E420" s="158"/>
      <c r="F420" s="202"/>
      <c r="G420" s="202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</row>
    <row r="421" spans="1:32" ht="15.75" customHeight="1">
      <c r="A421" s="158"/>
      <c r="B421" s="201"/>
      <c r="C421" s="158"/>
      <c r="D421" s="158"/>
      <c r="E421" s="158"/>
      <c r="F421" s="202"/>
      <c r="G421" s="202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</row>
    <row r="422" spans="1:32" ht="15.75" customHeight="1">
      <c r="A422" s="158"/>
      <c r="B422" s="201"/>
      <c r="C422" s="158"/>
      <c r="D422" s="158"/>
      <c r="E422" s="158"/>
      <c r="F422" s="202"/>
      <c r="G422" s="202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</row>
    <row r="423" spans="1:32" ht="15.75" customHeight="1">
      <c r="A423" s="158"/>
      <c r="B423" s="201"/>
      <c r="C423" s="158"/>
      <c r="D423" s="158"/>
      <c r="E423" s="158"/>
      <c r="F423" s="202"/>
      <c r="G423" s="202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</row>
    <row r="424" spans="1:32" ht="15.75" customHeight="1">
      <c r="A424" s="158"/>
      <c r="B424" s="201"/>
      <c r="C424" s="158"/>
      <c r="D424" s="158"/>
      <c r="E424" s="158"/>
      <c r="F424" s="202"/>
      <c r="G424" s="202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</row>
    <row r="425" spans="1:32" ht="15.75" customHeight="1">
      <c r="A425" s="158"/>
      <c r="B425" s="201"/>
      <c r="C425" s="158"/>
      <c r="D425" s="158"/>
      <c r="E425" s="158"/>
      <c r="F425" s="202"/>
      <c r="G425" s="202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</row>
    <row r="426" spans="1:32" ht="15.75" customHeight="1">
      <c r="A426" s="158"/>
      <c r="B426" s="201"/>
      <c r="C426" s="158"/>
      <c r="D426" s="158"/>
      <c r="E426" s="158"/>
      <c r="F426" s="202"/>
      <c r="G426" s="202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</row>
    <row r="427" spans="1:32" ht="15.75" customHeight="1">
      <c r="A427" s="158"/>
      <c r="B427" s="201"/>
      <c r="C427" s="158"/>
      <c r="D427" s="158"/>
      <c r="E427" s="158"/>
      <c r="F427" s="202"/>
      <c r="G427" s="202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</row>
    <row r="428" spans="1:32" ht="15.75" customHeight="1">
      <c r="A428" s="158"/>
      <c r="B428" s="201"/>
      <c r="C428" s="158"/>
      <c r="D428" s="158"/>
      <c r="E428" s="158"/>
      <c r="F428" s="202"/>
      <c r="G428" s="202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</row>
    <row r="429" spans="1:32" ht="15.75" customHeight="1">
      <c r="A429" s="158"/>
      <c r="B429" s="201"/>
      <c r="C429" s="158"/>
      <c r="D429" s="158"/>
      <c r="E429" s="158"/>
      <c r="F429" s="202"/>
      <c r="G429" s="202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</row>
    <row r="430" spans="1:32" ht="15.75" customHeight="1">
      <c r="A430" s="158"/>
      <c r="B430" s="201"/>
      <c r="C430" s="158"/>
      <c r="D430" s="158"/>
      <c r="E430" s="158"/>
      <c r="F430" s="202"/>
      <c r="G430" s="202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</row>
    <row r="431" spans="1:32" ht="15.75" customHeight="1">
      <c r="A431" s="158"/>
      <c r="B431" s="201"/>
      <c r="C431" s="158"/>
      <c r="D431" s="158"/>
      <c r="E431" s="158"/>
      <c r="F431" s="202"/>
      <c r="G431" s="202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</row>
    <row r="432" spans="1:32" ht="15.75" customHeight="1">
      <c r="A432" s="158"/>
      <c r="B432" s="201"/>
      <c r="C432" s="158"/>
      <c r="D432" s="158"/>
      <c r="E432" s="158"/>
      <c r="F432" s="202"/>
      <c r="G432" s="202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</row>
    <row r="433" spans="1:32" ht="15.75" customHeight="1">
      <c r="A433" s="158"/>
      <c r="B433" s="201"/>
      <c r="C433" s="158"/>
      <c r="D433" s="158"/>
      <c r="E433" s="158"/>
      <c r="F433" s="202"/>
      <c r="G433" s="202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</row>
    <row r="434" spans="1:32" ht="15.75" customHeight="1">
      <c r="A434" s="158"/>
      <c r="B434" s="201"/>
      <c r="C434" s="158"/>
      <c r="D434" s="158"/>
      <c r="E434" s="158"/>
      <c r="F434" s="202"/>
      <c r="G434" s="202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</row>
    <row r="435" spans="1:32" ht="15.75" customHeight="1">
      <c r="A435" s="158"/>
      <c r="B435" s="201"/>
      <c r="C435" s="158"/>
      <c r="D435" s="158"/>
      <c r="E435" s="158"/>
      <c r="F435" s="202"/>
      <c r="G435" s="202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</row>
    <row r="436" spans="1:32" ht="15.75" customHeight="1">
      <c r="A436" s="158"/>
      <c r="B436" s="201"/>
      <c r="C436" s="158"/>
      <c r="D436" s="158"/>
      <c r="E436" s="158"/>
      <c r="F436" s="202"/>
      <c r="G436" s="202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</row>
    <row r="437" spans="1:32" ht="15.75" customHeight="1">
      <c r="A437" s="158"/>
      <c r="B437" s="201"/>
      <c r="C437" s="158"/>
      <c r="D437" s="158"/>
      <c r="E437" s="158"/>
      <c r="F437" s="202"/>
      <c r="G437" s="202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</row>
    <row r="438" spans="1:32" ht="15.75" customHeight="1">
      <c r="A438" s="158"/>
      <c r="B438" s="201"/>
      <c r="C438" s="158"/>
      <c r="D438" s="158"/>
      <c r="E438" s="158"/>
      <c r="F438" s="202"/>
      <c r="G438" s="202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</row>
    <row r="439" spans="1:32" ht="15.75" customHeight="1">
      <c r="A439" s="158"/>
      <c r="B439" s="201"/>
      <c r="C439" s="158"/>
      <c r="D439" s="158"/>
      <c r="E439" s="158"/>
      <c r="F439" s="202"/>
      <c r="G439" s="202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</row>
    <row r="440" spans="1:32" ht="15.75" customHeight="1">
      <c r="A440" s="158"/>
      <c r="B440" s="201"/>
      <c r="C440" s="158"/>
      <c r="D440" s="158"/>
      <c r="E440" s="158"/>
      <c r="F440" s="202"/>
      <c r="G440" s="202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</row>
    <row r="441" spans="1:32" ht="15.75" customHeight="1">
      <c r="A441" s="158"/>
      <c r="B441" s="201"/>
      <c r="C441" s="158"/>
      <c r="D441" s="158"/>
      <c r="E441" s="158"/>
      <c r="F441" s="202"/>
      <c r="G441" s="202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</row>
    <row r="442" spans="1:32" ht="15.75" customHeight="1">
      <c r="A442" s="158"/>
      <c r="B442" s="201"/>
      <c r="C442" s="158"/>
      <c r="D442" s="158"/>
      <c r="E442" s="158"/>
      <c r="F442" s="202"/>
      <c r="G442" s="202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</row>
    <row r="443" spans="1:32" ht="15.75" customHeight="1">
      <c r="A443" s="158"/>
      <c r="B443" s="201"/>
      <c r="C443" s="158"/>
      <c r="D443" s="158"/>
      <c r="E443" s="158"/>
      <c r="F443" s="202"/>
      <c r="G443" s="202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</row>
    <row r="444" spans="1:32" ht="15.75" customHeight="1">
      <c r="A444" s="158"/>
      <c r="B444" s="201"/>
      <c r="C444" s="158"/>
      <c r="D444" s="158"/>
      <c r="E444" s="158"/>
      <c r="F444" s="202"/>
      <c r="G444" s="202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</row>
    <row r="445" spans="1:32" ht="15.75" customHeight="1">
      <c r="A445" s="158"/>
      <c r="B445" s="201"/>
      <c r="C445" s="158"/>
      <c r="D445" s="158"/>
      <c r="E445" s="158"/>
      <c r="F445" s="202"/>
      <c r="G445" s="202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</row>
    <row r="446" spans="1:32" ht="15.75" customHeight="1">
      <c r="A446" s="158"/>
      <c r="B446" s="201"/>
      <c r="C446" s="158"/>
      <c r="D446" s="158"/>
      <c r="E446" s="158"/>
      <c r="F446" s="202"/>
      <c r="G446" s="202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</row>
    <row r="447" spans="1:32" ht="15.75" customHeight="1">
      <c r="A447" s="158"/>
      <c r="B447" s="201"/>
      <c r="C447" s="158"/>
      <c r="D447" s="158"/>
      <c r="E447" s="158"/>
      <c r="F447" s="202"/>
      <c r="G447" s="202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</row>
    <row r="448" spans="1:32" ht="15.75" customHeight="1">
      <c r="A448" s="158"/>
      <c r="B448" s="201"/>
      <c r="C448" s="158"/>
      <c r="D448" s="158"/>
      <c r="E448" s="158"/>
      <c r="F448" s="202"/>
      <c r="G448" s="202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</row>
    <row r="449" spans="1:32" ht="15.75" customHeight="1">
      <c r="A449" s="158"/>
      <c r="B449" s="201"/>
      <c r="C449" s="158"/>
      <c r="D449" s="158"/>
      <c r="E449" s="158"/>
      <c r="F449" s="202"/>
      <c r="G449" s="202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</row>
    <row r="450" spans="1:32" ht="15.75" customHeight="1">
      <c r="A450" s="158"/>
      <c r="B450" s="201"/>
      <c r="C450" s="158"/>
      <c r="D450" s="158"/>
      <c r="E450" s="158"/>
      <c r="F450" s="202"/>
      <c r="G450" s="202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</row>
    <row r="451" spans="1:32" ht="15.75" customHeight="1">
      <c r="A451" s="158"/>
      <c r="B451" s="201"/>
      <c r="C451" s="158"/>
      <c r="D451" s="158"/>
      <c r="E451" s="158"/>
      <c r="F451" s="202"/>
      <c r="G451" s="202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</row>
    <row r="452" spans="1:32" ht="15.75" customHeight="1">
      <c r="A452" s="158"/>
      <c r="B452" s="201"/>
      <c r="C452" s="158"/>
      <c r="D452" s="158"/>
      <c r="E452" s="158"/>
      <c r="F452" s="202"/>
      <c r="G452" s="202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</row>
    <row r="453" spans="1:32" ht="15.75" customHeight="1">
      <c r="A453" s="158"/>
      <c r="B453" s="201"/>
      <c r="C453" s="158"/>
      <c r="D453" s="158"/>
      <c r="E453" s="158"/>
      <c r="F453" s="202"/>
      <c r="G453" s="202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</row>
    <row r="454" spans="1:32" ht="15.75" customHeight="1">
      <c r="A454" s="158"/>
      <c r="B454" s="201"/>
      <c r="C454" s="158"/>
      <c r="D454" s="158"/>
      <c r="E454" s="158"/>
      <c r="F454" s="202"/>
      <c r="G454" s="202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</row>
    <row r="455" spans="1:32" ht="15.75" customHeight="1">
      <c r="A455" s="158"/>
      <c r="B455" s="201"/>
      <c r="C455" s="158"/>
      <c r="D455" s="158"/>
      <c r="E455" s="158"/>
      <c r="F455" s="202"/>
      <c r="G455" s="202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</row>
    <row r="456" spans="1:32" ht="15.75" customHeight="1">
      <c r="A456" s="158"/>
      <c r="B456" s="201"/>
      <c r="C456" s="158"/>
      <c r="D456" s="158"/>
      <c r="E456" s="158"/>
      <c r="F456" s="202"/>
      <c r="G456" s="202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</row>
    <row r="457" spans="1:32" ht="15.75" customHeight="1">
      <c r="A457" s="158"/>
      <c r="B457" s="201"/>
      <c r="C457" s="158"/>
      <c r="D457" s="158"/>
      <c r="E457" s="158"/>
      <c r="F457" s="202"/>
      <c r="G457" s="202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</row>
    <row r="458" spans="1:32" ht="15.75" customHeight="1">
      <c r="A458" s="158"/>
      <c r="B458" s="201"/>
      <c r="C458" s="158"/>
      <c r="D458" s="158"/>
      <c r="E458" s="158"/>
      <c r="F458" s="202"/>
      <c r="G458" s="202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</row>
    <row r="459" spans="1:32" ht="15.75" customHeight="1">
      <c r="A459" s="158"/>
      <c r="B459" s="201"/>
      <c r="C459" s="158"/>
      <c r="D459" s="158"/>
      <c r="E459" s="158"/>
      <c r="F459" s="202"/>
      <c r="G459" s="202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</row>
    <row r="460" spans="1:32" ht="15.75" customHeight="1">
      <c r="A460" s="158"/>
      <c r="B460" s="201"/>
      <c r="C460" s="158"/>
      <c r="D460" s="158"/>
      <c r="E460" s="158"/>
      <c r="F460" s="202"/>
      <c r="G460" s="202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</row>
    <row r="461" spans="1:32" ht="15.75" customHeight="1">
      <c r="A461" s="158"/>
      <c r="B461" s="201"/>
      <c r="C461" s="158"/>
      <c r="D461" s="158"/>
      <c r="E461" s="158"/>
      <c r="F461" s="202"/>
      <c r="G461" s="202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</row>
    <row r="462" spans="1:32" ht="15.75" customHeight="1">
      <c r="A462" s="158"/>
      <c r="B462" s="201"/>
      <c r="C462" s="158"/>
      <c r="D462" s="158"/>
      <c r="E462" s="158"/>
      <c r="F462" s="202"/>
      <c r="G462" s="202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</row>
    <row r="463" spans="1:32" ht="15.75" customHeight="1">
      <c r="A463" s="158"/>
      <c r="B463" s="201"/>
      <c r="C463" s="158"/>
      <c r="D463" s="158"/>
      <c r="E463" s="158"/>
      <c r="F463" s="202"/>
      <c r="G463" s="202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</row>
    <row r="464" spans="1:32" ht="15.75" customHeight="1">
      <c r="A464" s="158"/>
      <c r="B464" s="201"/>
      <c r="C464" s="158"/>
      <c r="D464" s="158"/>
      <c r="E464" s="158"/>
      <c r="F464" s="202"/>
      <c r="G464" s="202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</row>
    <row r="465" spans="1:32" ht="15.75" customHeight="1">
      <c r="A465" s="158"/>
      <c r="B465" s="201"/>
      <c r="C465" s="158"/>
      <c r="D465" s="158"/>
      <c r="E465" s="158"/>
      <c r="F465" s="202"/>
      <c r="G465" s="202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</row>
    <row r="466" spans="1:32" ht="15.75" customHeight="1">
      <c r="A466" s="158"/>
      <c r="B466" s="201"/>
      <c r="C466" s="158"/>
      <c r="D466" s="158"/>
      <c r="E466" s="158"/>
      <c r="F466" s="202"/>
      <c r="G466" s="202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</row>
    <row r="467" spans="1:32" ht="15.75" customHeight="1">
      <c r="A467" s="158"/>
      <c r="B467" s="201"/>
      <c r="C467" s="158"/>
      <c r="D467" s="158"/>
      <c r="E467" s="158"/>
      <c r="F467" s="202"/>
      <c r="G467" s="202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</row>
    <row r="468" spans="1:32" ht="15.75" customHeight="1">
      <c r="A468" s="158"/>
      <c r="B468" s="201"/>
      <c r="C468" s="158"/>
      <c r="D468" s="158"/>
      <c r="E468" s="158"/>
      <c r="F468" s="202"/>
      <c r="G468" s="202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</row>
    <row r="469" spans="1:32" ht="15.75" customHeight="1">
      <c r="A469" s="158"/>
      <c r="B469" s="201"/>
      <c r="C469" s="158"/>
      <c r="D469" s="158"/>
      <c r="E469" s="158"/>
      <c r="F469" s="202"/>
      <c r="G469" s="202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</row>
    <row r="470" spans="1:32" ht="15.75" customHeight="1">
      <c r="A470" s="158"/>
      <c r="B470" s="201"/>
      <c r="C470" s="158"/>
      <c r="D470" s="158"/>
      <c r="E470" s="158"/>
      <c r="F470" s="202"/>
      <c r="G470" s="202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</row>
    <row r="471" spans="1:32" ht="15.75" customHeight="1">
      <c r="A471" s="158"/>
      <c r="B471" s="201"/>
      <c r="C471" s="158"/>
      <c r="D471" s="158"/>
      <c r="E471" s="158"/>
      <c r="F471" s="202"/>
      <c r="G471" s="202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</row>
    <row r="472" spans="1:32" ht="15.75" customHeight="1">
      <c r="A472" s="158"/>
      <c r="B472" s="201"/>
      <c r="C472" s="158"/>
      <c r="D472" s="158"/>
      <c r="E472" s="158"/>
      <c r="F472" s="202"/>
      <c r="G472" s="202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</row>
    <row r="473" spans="1:32" ht="15.75" customHeight="1">
      <c r="A473" s="158"/>
      <c r="B473" s="201"/>
      <c r="C473" s="158"/>
      <c r="D473" s="158"/>
      <c r="E473" s="158"/>
      <c r="F473" s="202"/>
      <c r="G473" s="202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</row>
    <row r="474" spans="1:32" ht="15.75" customHeight="1">
      <c r="A474" s="158"/>
      <c r="B474" s="201"/>
      <c r="C474" s="158"/>
      <c r="D474" s="158"/>
      <c r="E474" s="158"/>
      <c r="F474" s="202"/>
      <c r="G474" s="202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</row>
    <row r="475" spans="1:32" ht="15.75" customHeight="1">
      <c r="A475" s="158"/>
      <c r="B475" s="201"/>
      <c r="C475" s="158"/>
      <c r="D475" s="158"/>
      <c r="E475" s="158"/>
      <c r="F475" s="202"/>
      <c r="G475" s="202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</row>
    <row r="476" spans="1:32" ht="15.75" customHeight="1">
      <c r="A476" s="158"/>
      <c r="B476" s="201"/>
      <c r="C476" s="158"/>
      <c r="D476" s="158"/>
      <c r="E476" s="158"/>
      <c r="F476" s="202"/>
      <c r="G476" s="202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</row>
    <row r="477" spans="1:32" ht="15.75" customHeight="1">
      <c r="A477" s="158"/>
      <c r="B477" s="201"/>
      <c r="C477" s="158"/>
      <c r="D477" s="158"/>
      <c r="E477" s="158"/>
      <c r="F477" s="202"/>
      <c r="G477" s="202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</row>
    <row r="478" spans="1:32" ht="15.75" customHeight="1">
      <c r="A478" s="158"/>
      <c r="B478" s="201"/>
      <c r="C478" s="158"/>
      <c r="D478" s="158"/>
      <c r="E478" s="158"/>
      <c r="F478" s="202"/>
      <c r="G478" s="202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</row>
    <row r="479" spans="1:32" ht="15.75" customHeight="1">
      <c r="A479" s="158"/>
      <c r="B479" s="201"/>
      <c r="C479" s="158"/>
      <c r="D479" s="158"/>
      <c r="E479" s="158"/>
      <c r="F479" s="202"/>
      <c r="G479" s="202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</row>
    <row r="480" spans="1:32" ht="15.75" customHeight="1">
      <c r="A480" s="158"/>
      <c r="B480" s="201"/>
      <c r="C480" s="158"/>
      <c r="D480" s="158"/>
      <c r="E480" s="158"/>
      <c r="F480" s="202"/>
      <c r="G480" s="202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</row>
    <row r="481" spans="1:32" ht="15.75" customHeight="1">
      <c r="A481" s="158"/>
      <c r="B481" s="201"/>
      <c r="C481" s="158"/>
      <c r="D481" s="158"/>
      <c r="E481" s="158"/>
      <c r="F481" s="202"/>
      <c r="G481" s="202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</row>
    <row r="482" spans="1:32" ht="15.75" customHeight="1">
      <c r="A482" s="158"/>
      <c r="B482" s="201"/>
      <c r="C482" s="158"/>
      <c r="D482" s="158"/>
      <c r="E482" s="158"/>
      <c r="F482" s="202"/>
      <c r="G482" s="202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</row>
    <row r="483" spans="1:32" ht="15.75" customHeight="1">
      <c r="A483" s="158"/>
      <c r="B483" s="201"/>
      <c r="C483" s="158"/>
      <c r="D483" s="158"/>
      <c r="E483" s="158"/>
      <c r="F483" s="202"/>
      <c r="G483" s="202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</row>
    <row r="484" spans="1:32" ht="15.75" customHeight="1">
      <c r="A484" s="158"/>
      <c r="B484" s="201"/>
      <c r="C484" s="158"/>
      <c r="D484" s="158"/>
      <c r="E484" s="158"/>
      <c r="F484" s="202"/>
      <c r="G484" s="202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</row>
    <row r="485" spans="1:32" ht="15.75" customHeight="1">
      <c r="A485" s="158"/>
      <c r="B485" s="201"/>
      <c r="C485" s="158"/>
      <c r="D485" s="158"/>
      <c r="E485" s="158"/>
      <c r="F485" s="202"/>
      <c r="G485" s="202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</row>
    <row r="486" spans="1:32" ht="15.75" customHeight="1">
      <c r="A486" s="158"/>
      <c r="B486" s="201"/>
      <c r="C486" s="158"/>
      <c r="D486" s="158"/>
      <c r="E486" s="158"/>
      <c r="F486" s="202"/>
      <c r="G486" s="202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</row>
    <row r="487" spans="1:32" ht="15.75" customHeight="1">
      <c r="A487" s="158"/>
      <c r="B487" s="201"/>
      <c r="C487" s="158"/>
      <c r="D487" s="158"/>
      <c r="E487" s="158"/>
      <c r="F487" s="202"/>
      <c r="G487" s="202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</row>
    <row r="488" spans="1:32" ht="15.75" customHeight="1">
      <c r="A488" s="158"/>
      <c r="B488" s="201"/>
      <c r="C488" s="158"/>
      <c r="D488" s="158"/>
      <c r="E488" s="158"/>
      <c r="F488" s="202"/>
      <c r="G488" s="202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</row>
    <row r="489" spans="1:32" ht="15.75" customHeight="1">
      <c r="A489" s="158"/>
      <c r="B489" s="201"/>
      <c r="C489" s="158"/>
      <c r="D489" s="158"/>
      <c r="E489" s="158"/>
      <c r="F489" s="202"/>
      <c r="G489" s="202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</row>
    <row r="490" spans="1:32" ht="15.75" customHeight="1">
      <c r="A490" s="158"/>
      <c r="B490" s="201"/>
      <c r="C490" s="158"/>
      <c r="D490" s="158"/>
      <c r="E490" s="158"/>
      <c r="F490" s="202"/>
      <c r="G490" s="202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</row>
    <row r="491" spans="1:32" ht="15.75" customHeight="1">
      <c r="A491" s="158"/>
      <c r="B491" s="201"/>
      <c r="C491" s="158"/>
      <c r="D491" s="158"/>
      <c r="E491" s="158"/>
      <c r="F491" s="202"/>
      <c r="G491" s="202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</row>
    <row r="492" spans="1:32" ht="15.75" customHeight="1">
      <c r="A492" s="158"/>
      <c r="B492" s="201"/>
      <c r="C492" s="158"/>
      <c r="D492" s="158"/>
      <c r="E492" s="158"/>
      <c r="F492" s="202"/>
      <c r="G492" s="202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</row>
    <row r="493" spans="1:32" ht="15.75" customHeight="1">
      <c r="A493" s="158"/>
      <c r="B493" s="201"/>
      <c r="C493" s="158"/>
      <c r="D493" s="158"/>
      <c r="E493" s="158"/>
      <c r="F493" s="202"/>
      <c r="G493" s="202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</row>
    <row r="494" spans="1:32" ht="15.75" customHeight="1">
      <c r="A494" s="158"/>
      <c r="B494" s="201"/>
      <c r="C494" s="158"/>
      <c r="D494" s="158"/>
      <c r="E494" s="158"/>
      <c r="F494" s="202"/>
      <c r="G494" s="202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</row>
    <row r="495" spans="1:32" ht="15.75" customHeight="1">
      <c r="A495" s="158"/>
      <c r="B495" s="201"/>
      <c r="C495" s="158"/>
      <c r="D495" s="158"/>
      <c r="E495" s="158"/>
      <c r="F495" s="202"/>
      <c r="G495" s="202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</row>
    <row r="496" spans="1:32" ht="15.75" customHeight="1">
      <c r="A496" s="158"/>
      <c r="B496" s="201"/>
      <c r="C496" s="158"/>
      <c r="D496" s="158"/>
      <c r="E496" s="158"/>
      <c r="F496" s="202"/>
      <c r="G496" s="202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</row>
    <row r="497" spans="1:32" ht="15.75" customHeight="1">
      <c r="A497" s="158"/>
      <c r="B497" s="201"/>
      <c r="C497" s="158"/>
      <c r="D497" s="158"/>
      <c r="E497" s="158"/>
      <c r="F497" s="202"/>
      <c r="G497" s="202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</row>
    <row r="498" spans="1:32" ht="15.75" customHeight="1">
      <c r="A498" s="158"/>
      <c r="B498" s="201"/>
      <c r="C498" s="158"/>
      <c r="D498" s="158"/>
      <c r="E498" s="158"/>
      <c r="F498" s="202"/>
      <c r="G498" s="202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</row>
    <row r="499" spans="1:32" ht="15.75" customHeight="1">
      <c r="A499" s="158"/>
      <c r="B499" s="201"/>
      <c r="C499" s="158"/>
      <c r="D499" s="158"/>
      <c r="E499" s="158"/>
      <c r="F499" s="202"/>
      <c r="G499" s="202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</row>
    <row r="500" spans="1:32" ht="15.75" customHeight="1">
      <c r="A500" s="158"/>
      <c r="B500" s="201"/>
      <c r="C500" s="158"/>
      <c r="D500" s="158"/>
      <c r="E500" s="158"/>
      <c r="F500" s="202"/>
      <c r="G500" s="202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</row>
    <row r="501" spans="1:32" ht="15.75" customHeight="1">
      <c r="A501" s="158"/>
      <c r="B501" s="201"/>
      <c r="C501" s="158"/>
      <c r="D501" s="158"/>
      <c r="E501" s="158"/>
      <c r="F501" s="202"/>
      <c r="G501" s="202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</row>
    <row r="502" spans="1:32" ht="15.75" customHeight="1">
      <c r="A502" s="158"/>
      <c r="B502" s="201"/>
      <c r="C502" s="158"/>
      <c r="D502" s="158"/>
      <c r="E502" s="158"/>
      <c r="F502" s="202"/>
      <c r="G502" s="202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</row>
    <row r="503" spans="1:32" ht="15.75" customHeight="1">
      <c r="A503" s="158"/>
      <c r="B503" s="201"/>
      <c r="C503" s="158"/>
      <c r="D503" s="158"/>
      <c r="E503" s="158"/>
      <c r="F503" s="202"/>
      <c r="G503" s="202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</row>
    <row r="504" spans="1:32" ht="15.75" customHeight="1">
      <c r="A504" s="158"/>
      <c r="B504" s="201"/>
      <c r="C504" s="158"/>
      <c r="D504" s="158"/>
      <c r="E504" s="158"/>
      <c r="F504" s="202"/>
      <c r="G504" s="202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</row>
    <row r="505" spans="1:32" ht="15.75" customHeight="1">
      <c r="A505" s="158"/>
      <c r="B505" s="201"/>
      <c r="C505" s="158"/>
      <c r="D505" s="158"/>
      <c r="E505" s="158"/>
      <c r="F505" s="202"/>
      <c r="G505" s="202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</row>
    <row r="506" spans="1:32" ht="15.75" customHeight="1">
      <c r="A506" s="158"/>
      <c r="B506" s="201"/>
      <c r="C506" s="158"/>
      <c r="D506" s="158"/>
      <c r="E506" s="158"/>
      <c r="F506" s="202"/>
      <c r="G506" s="202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</row>
    <row r="507" spans="1:32" ht="15.75" customHeight="1">
      <c r="A507" s="158"/>
      <c r="B507" s="201"/>
      <c r="C507" s="158"/>
      <c r="D507" s="158"/>
      <c r="E507" s="158"/>
      <c r="F507" s="202"/>
      <c r="G507" s="202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</row>
    <row r="508" spans="1:32" ht="15.75" customHeight="1">
      <c r="A508" s="158"/>
      <c r="B508" s="201"/>
      <c r="C508" s="158"/>
      <c r="D508" s="158"/>
      <c r="E508" s="158"/>
      <c r="F508" s="202"/>
      <c r="G508" s="202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</row>
    <row r="509" spans="1:32" ht="15.75" customHeight="1">
      <c r="A509" s="158"/>
      <c r="B509" s="201"/>
      <c r="C509" s="158"/>
      <c r="D509" s="158"/>
      <c r="E509" s="158"/>
      <c r="F509" s="202"/>
      <c r="G509" s="202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</row>
    <row r="510" spans="1:32" ht="15.75" customHeight="1">
      <c r="A510" s="158"/>
      <c r="B510" s="201"/>
      <c r="C510" s="158"/>
      <c r="D510" s="158"/>
      <c r="E510" s="158"/>
      <c r="F510" s="202"/>
      <c r="G510" s="202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</row>
    <row r="511" spans="1:32" ht="15.75" customHeight="1">
      <c r="A511" s="158"/>
      <c r="B511" s="201"/>
      <c r="C511" s="158"/>
      <c r="D511" s="158"/>
      <c r="E511" s="158"/>
      <c r="F511" s="202"/>
      <c r="G511" s="202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</row>
    <row r="512" spans="1:32" ht="15.75" customHeight="1">
      <c r="A512" s="158"/>
      <c r="B512" s="201"/>
      <c r="C512" s="158"/>
      <c r="D512" s="158"/>
      <c r="E512" s="158"/>
      <c r="F512" s="202"/>
      <c r="G512" s="202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</row>
    <row r="513" spans="1:32" ht="15.75" customHeight="1">
      <c r="A513" s="158"/>
      <c r="B513" s="201"/>
      <c r="C513" s="158"/>
      <c r="D513" s="158"/>
      <c r="E513" s="158"/>
      <c r="F513" s="202"/>
      <c r="G513" s="202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</row>
    <row r="514" spans="1:32" ht="15.75" customHeight="1">
      <c r="A514" s="158"/>
      <c r="B514" s="201"/>
      <c r="C514" s="158"/>
      <c r="D514" s="158"/>
      <c r="E514" s="158"/>
      <c r="F514" s="202"/>
      <c r="G514" s="202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</row>
    <row r="515" spans="1:32" ht="15.75" customHeight="1">
      <c r="A515" s="158"/>
      <c r="B515" s="201"/>
      <c r="C515" s="158"/>
      <c r="D515" s="158"/>
      <c r="E515" s="158"/>
      <c r="F515" s="202"/>
      <c r="G515" s="202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</row>
    <row r="516" spans="1:32" ht="15.75" customHeight="1">
      <c r="A516" s="158"/>
      <c r="B516" s="201"/>
      <c r="C516" s="158"/>
      <c r="D516" s="158"/>
      <c r="E516" s="158"/>
      <c r="F516" s="202"/>
      <c r="G516" s="202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</row>
    <row r="517" spans="1:32" ht="15.75" customHeight="1">
      <c r="A517" s="158"/>
      <c r="B517" s="201"/>
      <c r="C517" s="158"/>
      <c r="D517" s="158"/>
      <c r="E517" s="158"/>
      <c r="F517" s="202"/>
      <c r="G517" s="202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</row>
    <row r="518" spans="1:32" ht="15.75" customHeight="1">
      <c r="A518" s="158"/>
      <c r="B518" s="201"/>
      <c r="C518" s="158"/>
      <c r="D518" s="158"/>
      <c r="E518" s="158"/>
      <c r="F518" s="202"/>
      <c r="G518" s="202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</row>
    <row r="519" spans="1:32" ht="15.75" customHeight="1">
      <c r="A519" s="158"/>
      <c r="B519" s="201"/>
      <c r="C519" s="158"/>
      <c r="D519" s="158"/>
      <c r="E519" s="158"/>
      <c r="F519" s="202"/>
      <c r="G519" s="202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</row>
    <row r="520" spans="1:32" ht="15.75" customHeight="1">
      <c r="A520" s="158"/>
      <c r="B520" s="201"/>
      <c r="C520" s="158"/>
      <c r="D520" s="158"/>
      <c r="E520" s="158"/>
      <c r="F520" s="202"/>
      <c r="G520" s="202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</row>
    <row r="521" spans="1:32" ht="15.75" customHeight="1">
      <c r="A521" s="158"/>
      <c r="B521" s="201"/>
      <c r="C521" s="158"/>
      <c r="D521" s="158"/>
      <c r="E521" s="158"/>
      <c r="F521" s="202"/>
      <c r="G521" s="202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</row>
    <row r="522" spans="1:32" ht="15.75" customHeight="1">
      <c r="A522" s="158"/>
      <c r="B522" s="201"/>
      <c r="C522" s="158"/>
      <c r="D522" s="158"/>
      <c r="E522" s="158"/>
      <c r="F522" s="202"/>
      <c r="G522" s="202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</row>
    <row r="523" spans="1:32" ht="15.75" customHeight="1">
      <c r="A523" s="158"/>
      <c r="B523" s="201"/>
      <c r="C523" s="158"/>
      <c r="D523" s="158"/>
      <c r="E523" s="158"/>
      <c r="F523" s="202"/>
      <c r="G523" s="202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</row>
    <row r="524" spans="1:32" ht="15.75" customHeight="1">
      <c r="A524" s="158"/>
      <c r="B524" s="201"/>
      <c r="C524" s="158"/>
      <c r="D524" s="158"/>
      <c r="E524" s="158"/>
      <c r="F524" s="202"/>
      <c r="G524" s="202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</row>
    <row r="525" spans="1:32" ht="15.75" customHeight="1">
      <c r="A525" s="158"/>
      <c r="B525" s="201"/>
      <c r="C525" s="158"/>
      <c r="D525" s="158"/>
      <c r="E525" s="158"/>
      <c r="F525" s="202"/>
      <c r="G525" s="202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</row>
    <row r="526" spans="1:32" ht="15.75" customHeight="1">
      <c r="A526" s="158"/>
      <c r="B526" s="201"/>
      <c r="C526" s="158"/>
      <c r="D526" s="158"/>
      <c r="E526" s="158"/>
      <c r="F526" s="202"/>
      <c r="G526" s="202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</row>
    <row r="527" spans="1:32" ht="15.75" customHeight="1">
      <c r="A527" s="158"/>
      <c r="B527" s="201"/>
      <c r="C527" s="158"/>
      <c r="D527" s="158"/>
      <c r="E527" s="158"/>
      <c r="F527" s="202"/>
      <c r="G527" s="202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</row>
    <row r="528" spans="1:32" ht="15.75" customHeight="1">
      <c r="A528" s="158"/>
      <c r="B528" s="201"/>
      <c r="C528" s="158"/>
      <c r="D528" s="158"/>
      <c r="E528" s="158"/>
      <c r="F528" s="202"/>
      <c r="G528" s="202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</row>
    <row r="529" spans="1:32" ht="15.75" customHeight="1">
      <c r="A529" s="158"/>
      <c r="B529" s="201"/>
      <c r="C529" s="158"/>
      <c r="D529" s="158"/>
      <c r="E529" s="158"/>
      <c r="F529" s="202"/>
      <c r="G529" s="202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</row>
    <row r="530" spans="1:32" ht="15.75" customHeight="1">
      <c r="A530" s="158"/>
      <c r="B530" s="201"/>
      <c r="C530" s="158"/>
      <c r="D530" s="158"/>
      <c r="E530" s="158"/>
      <c r="F530" s="202"/>
      <c r="G530" s="202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</row>
    <row r="531" spans="1:32" ht="15.75" customHeight="1">
      <c r="A531" s="158"/>
      <c r="B531" s="201"/>
      <c r="C531" s="158"/>
      <c r="D531" s="158"/>
      <c r="E531" s="158"/>
      <c r="F531" s="202"/>
      <c r="G531" s="202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</row>
    <row r="532" spans="1:32" ht="15.75" customHeight="1">
      <c r="A532" s="158"/>
      <c r="B532" s="201"/>
      <c r="C532" s="158"/>
      <c r="D532" s="158"/>
      <c r="E532" s="158"/>
      <c r="F532" s="202"/>
      <c r="G532" s="202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</row>
    <row r="533" spans="1:32" ht="15.75" customHeight="1">
      <c r="A533" s="158"/>
      <c r="B533" s="201"/>
      <c r="C533" s="158"/>
      <c r="D533" s="158"/>
      <c r="E533" s="158"/>
      <c r="F533" s="202"/>
      <c r="G533" s="202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</row>
    <row r="534" spans="1:32" ht="15.75" customHeight="1">
      <c r="A534" s="158"/>
      <c r="B534" s="201"/>
      <c r="C534" s="158"/>
      <c r="D534" s="158"/>
      <c r="E534" s="158"/>
      <c r="F534" s="202"/>
      <c r="G534" s="202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</row>
    <row r="535" spans="1:32" ht="15.75" customHeight="1">
      <c r="A535" s="158"/>
      <c r="B535" s="201"/>
      <c r="C535" s="158"/>
      <c r="D535" s="158"/>
      <c r="E535" s="158"/>
      <c r="F535" s="202"/>
      <c r="G535" s="202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</row>
    <row r="536" spans="1:32" ht="15.75" customHeight="1">
      <c r="A536" s="158"/>
      <c r="B536" s="201"/>
      <c r="C536" s="158"/>
      <c r="D536" s="158"/>
      <c r="E536" s="158"/>
      <c r="F536" s="202"/>
      <c r="G536" s="202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</row>
    <row r="537" spans="1:32" ht="15.75" customHeight="1">
      <c r="A537" s="158"/>
      <c r="B537" s="201"/>
      <c r="C537" s="158"/>
      <c r="D537" s="158"/>
      <c r="E537" s="158"/>
      <c r="F537" s="202"/>
      <c r="G537" s="202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</row>
    <row r="538" spans="1:32" ht="15.75" customHeight="1">
      <c r="A538" s="158"/>
      <c r="B538" s="201"/>
      <c r="C538" s="158"/>
      <c r="D538" s="158"/>
      <c r="E538" s="158"/>
      <c r="F538" s="202"/>
      <c r="G538" s="202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</row>
    <row r="539" spans="1:32" ht="15.75" customHeight="1">
      <c r="A539" s="158"/>
      <c r="B539" s="201"/>
      <c r="C539" s="158"/>
      <c r="D539" s="158"/>
      <c r="E539" s="158"/>
      <c r="F539" s="202"/>
      <c r="G539" s="202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</row>
    <row r="540" spans="1:32" ht="15.75" customHeight="1">
      <c r="A540" s="158"/>
      <c r="B540" s="201"/>
      <c r="C540" s="158"/>
      <c r="D540" s="158"/>
      <c r="E540" s="158"/>
      <c r="F540" s="202"/>
      <c r="G540" s="202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</row>
    <row r="541" spans="1:32" ht="15.75" customHeight="1">
      <c r="A541" s="158"/>
      <c r="B541" s="201"/>
      <c r="C541" s="158"/>
      <c r="D541" s="158"/>
      <c r="E541" s="158"/>
      <c r="F541" s="202"/>
      <c r="G541" s="202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</row>
    <row r="542" spans="1:32" ht="15.75" customHeight="1">
      <c r="A542" s="158"/>
      <c r="B542" s="201"/>
      <c r="C542" s="158"/>
      <c r="D542" s="158"/>
      <c r="E542" s="158"/>
      <c r="F542" s="202"/>
      <c r="G542" s="202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</row>
    <row r="543" spans="1:32" ht="15.75" customHeight="1">
      <c r="A543" s="158"/>
      <c r="B543" s="201"/>
      <c r="C543" s="158"/>
      <c r="D543" s="158"/>
      <c r="E543" s="158"/>
      <c r="F543" s="202"/>
      <c r="G543" s="202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</row>
    <row r="544" spans="1:32" ht="15.75" customHeight="1">
      <c r="A544" s="158"/>
      <c r="B544" s="201"/>
      <c r="C544" s="158"/>
      <c r="D544" s="158"/>
      <c r="E544" s="158"/>
      <c r="F544" s="202"/>
      <c r="G544" s="202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</row>
    <row r="545" spans="1:32" ht="15.75" customHeight="1">
      <c r="A545" s="158"/>
      <c r="B545" s="201"/>
      <c r="C545" s="158"/>
      <c r="D545" s="158"/>
      <c r="E545" s="158"/>
      <c r="F545" s="202"/>
      <c r="G545" s="202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</row>
    <row r="546" spans="1:32" ht="15.75" customHeight="1">
      <c r="A546" s="158"/>
      <c r="B546" s="201"/>
      <c r="C546" s="158"/>
      <c r="D546" s="158"/>
      <c r="E546" s="158"/>
      <c r="F546" s="202"/>
      <c r="G546" s="202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</row>
    <row r="547" spans="1:32" ht="15.75" customHeight="1">
      <c r="A547" s="158"/>
      <c r="B547" s="201"/>
      <c r="C547" s="158"/>
      <c r="D547" s="158"/>
      <c r="E547" s="158"/>
      <c r="F547" s="202"/>
      <c r="G547" s="202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</row>
    <row r="548" spans="1:32" ht="15.75" customHeight="1">
      <c r="A548" s="158"/>
      <c r="B548" s="201"/>
      <c r="C548" s="158"/>
      <c r="D548" s="158"/>
      <c r="E548" s="158"/>
      <c r="F548" s="202"/>
      <c r="G548" s="202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</row>
    <row r="549" spans="1:32" ht="15.75" customHeight="1">
      <c r="A549" s="158"/>
      <c r="B549" s="201"/>
      <c r="C549" s="158"/>
      <c r="D549" s="158"/>
      <c r="E549" s="158"/>
      <c r="F549" s="202"/>
      <c r="G549" s="202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</row>
    <row r="550" spans="1:32" ht="15.75" customHeight="1">
      <c r="A550" s="158"/>
      <c r="B550" s="201"/>
      <c r="C550" s="158"/>
      <c r="D550" s="158"/>
      <c r="E550" s="158"/>
      <c r="F550" s="202"/>
      <c r="G550" s="202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</row>
    <row r="551" spans="1:32" ht="15.75" customHeight="1">
      <c r="A551" s="158"/>
      <c r="B551" s="201"/>
      <c r="C551" s="158"/>
      <c r="D551" s="158"/>
      <c r="E551" s="158"/>
      <c r="F551" s="202"/>
      <c r="G551" s="202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</row>
    <row r="552" spans="1:32" ht="15.75" customHeight="1">
      <c r="A552" s="158"/>
      <c r="B552" s="201"/>
      <c r="C552" s="158"/>
      <c r="D552" s="158"/>
      <c r="E552" s="158"/>
      <c r="F552" s="202"/>
      <c r="G552" s="202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</row>
    <row r="553" spans="1:32" ht="15.75" customHeight="1">
      <c r="A553" s="158"/>
      <c r="B553" s="201"/>
      <c r="C553" s="158"/>
      <c r="D553" s="158"/>
      <c r="E553" s="158"/>
      <c r="F553" s="202"/>
      <c r="G553" s="202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</row>
    <row r="554" spans="1:32" ht="15.75" customHeight="1">
      <c r="A554" s="158"/>
      <c r="B554" s="201"/>
      <c r="C554" s="158"/>
      <c r="D554" s="158"/>
      <c r="E554" s="158"/>
      <c r="F554" s="202"/>
      <c r="G554" s="202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</row>
    <row r="555" spans="1:32" ht="15.75" customHeight="1">
      <c r="A555" s="158"/>
      <c r="B555" s="201"/>
      <c r="C555" s="158"/>
      <c r="D555" s="158"/>
      <c r="E555" s="158"/>
      <c r="F555" s="202"/>
      <c r="G555" s="202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</row>
    <row r="556" spans="1:32" ht="15.75" customHeight="1">
      <c r="A556" s="158"/>
      <c r="B556" s="201"/>
      <c r="C556" s="158"/>
      <c r="D556" s="158"/>
      <c r="E556" s="158"/>
      <c r="F556" s="202"/>
      <c r="G556" s="202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</row>
    <row r="557" spans="1:32" ht="15.75" customHeight="1">
      <c r="A557" s="158"/>
      <c r="B557" s="201"/>
      <c r="C557" s="158"/>
      <c r="D557" s="158"/>
      <c r="E557" s="158"/>
      <c r="F557" s="202"/>
      <c r="G557" s="202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</row>
    <row r="558" spans="1:32" ht="15.75" customHeight="1">
      <c r="A558" s="158"/>
      <c r="B558" s="201"/>
      <c r="C558" s="158"/>
      <c r="D558" s="158"/>
      <c r="E558" s="158"/>
      <c r="F558" s="202"/>
      <c r="G558" s="202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</row>
    <row r="559" spans="1:32" ht="15.75" customHeight="1">
      <c r="A559" s="158"/>
      <c r="B559" s="201"/>
      <c r="C559" s="158"/>
      <c r="D559" s="158"/>
      <c r="E559" s="158"/>
      <c r="F559" s="202"/>
      <c r="G559" s="202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</row>
    <row r="560" spans="1:32" ht="15.75" customHeight="1">
      <c r="A560" s="158"/>
      <c r="B560" s="201"/>
      <c r="C560" s="158"/>
      <c r="D560" s="158"/>
      <c r="E560" s="158"/>
      <c r="F560" s="202"/>
      <c r="G560" s="202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</row>
    <row r="561" spans="1:32" ht="15.75" customHeight="1">
      <c r="A561" s="158"/>
      <c r="B561" s="201"/>
      <c r="C561" s="158"/>
      <c r="D561" s="158"/>
      <c r="E561" s="158"/>
      <c r="F561" s="202"/>
      <c r="G561" s="202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</row>
    <row r="562" spans="1:32" ht="15.75" customHeight="1">
      <c r="A562" s="158"/>
      <c r="B562" s="201"/>
      <c r="C562" s="158"/>
      <c r="D562" s="158"/>
      <c r="E562" s="158"/>
      <c r="F562" s="202"/>
      <c r="G562" s="202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</row>
    <row r="563" spans="1:32" ht="15.75" customHeight="1">
      <c r="A563" s="158"/>
      <c r="B563" s="201"/>
      <c r="C563" s="158"/>
      <c r="D563" s="158"/>
      <c r="E563" s="158"/>
      <c r="F563" s="202"/>
      <c r="G563" s="202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</row>
    <row r="564" spans="1:32" ht="15.75" customHeight="1">
      <c r="A564" s="158"/>
      <c r="B564" s="201"/>
      <c r="C564" s="158"/>
      <c r="D564" s="158"/>
      <c r="E564" s="158"/>
      <c r="F564" s="202"/>
      <c r="G564" s="202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</row>
    <row r="565" spans="1:32" ht="15.75" customHeight="1">
      <c r="A565" s="158"/>
      <c r="B565" s="201"/>
      <c r="C565" s="158"/>
      <c r="D565" s="158"/>
      <c r="E565" s="158"/>
      <c r="F565" s="202"/>
      <c r="G565" s="202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</row>
    <row r="566" spans="1:32" ht="15.75" customHeight="1">
      <c r="A566" s="158"/>
      <c r="B566" s="201"/>
      <c r="C566" s="158"/>
      <c r="D566" s="158"/>
      <c r="E566" s="158"/>
      <c r="F566" s="202"/>
      <c r="G566" s="202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</row>
    <row r="567" spans="1:32" ht="15.75" customHeight="1">
      <c r="A567" s="158"/>
      <c r="B567" s="201"/>
      <c r="C567" s="158"/>
      <c r="D567" s="158"/>
      <c r="E567" s="158"/>
      <c r="F567" s="202"/>
      <c r="G567" s="202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</row>
    <row r="568" spans="1:32" ht="15.75" customHeight="1">
      <c r="A568" s="158"/>
      <c r="B568" s="201"/>
      <c r="C568" s="158"/>
      <c r="D568" s="158"/>
      <c r="E568" s="158"/>
      <c r="F568" s="202"/>
      <c r="G568" s="202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</row>
    <row r="569" spans="1:32" ht="15.75" customHeight="1">
      <c r="A569" s="158"/>
      <c r="B569" s="201"/>
      <c r="C569" s="158"/>
      <c r="D569" s="158"/>
      <c r="E569" s="158"/>
      <c r="F569" s="202"/>
      <c r="G569" s="202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</row>
    <row r="570" spans="1:32" ht="15.75" customHeight="1">
      <c r="A570" s="158"/>
      <c r="B570" s="201"/>
      <c r="C570" s="158"/>
      <c r="D570" s="158"/>
      <c r="E570" s="158"/>
      <c r="F570" s="202"/>
      <c r="G570" s="202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</row>
    <row r="571" spans="1:32" ht="15.75" customHeight="1">
      <c r="A571" s="158"/>
      <c r="B571" s="201"/>
      <c r="C571" s="158"/>
      <c r="D571" s="158"/>
      <c r="E571" s="158"/>
      <c r="F571" s="202"/>
      <c r="G571" s="202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</row>
    <row r="572" spans="1:32" ht="15.75" customHeight="1">
      <c r="A572" s="158"/>
      <c r="B572" s="201"/>
      <c r="C572" s="158"/>
      <c r="D572" s="158"/>
      <c r="E572" s="158"/>
      <c r="F572" s="202"/>
      <c r="G572" s="202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</row>
    <row r="573" spans="1:32" ht="15.75" customHeight="1">
      <c r="A573" s="158"/>
      <c r="B573" s="201"/>
      <c r="C573" s="158"/>
      <c r="D573" s="158"/>
      <c r="E573" s="158"/>
      <c r="F573" s="202"/>
      <c r="G573" s="202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</row>
    <row r="574" spans="1:32" ht="15.75" customHeight="1">
      <c r="A574" s="158"/>
      <c r="B574" s="201"/>
      <c r="C574" s="158"/>
      <c r="D574" s="158"/>
      <c r="E574" s="158"/>
      <c r="F574" s="202"/>
      <c r="G574" s="202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</row>
    <row r="575" spans="1:32" ht="15.75" customHeight="1">
      <c r="A575" s="158"/>
      <c r="B575" s="201"/>
      <c r="C575" s="158"/>
      <c r="D575" s="158"/>
      <c r="E575" s="158"/>
      <c r="F575" s="202"/>
      <c r="G575" s="202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</row>
    <row r="576" spans="1:32" ht="15.75" customHeight="1">
      <c r="A576" s="158"/>
      <c r="B576" s="201"/>
      <c r="C576" s="158"/>
      <c r="D576" s="158"/>
      <c r="E576" s="158"/>
      <c r="F576" s="202"/>
      <c r="G576" s="202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</row>
    <row r="577" spans="1:32" ht="15.75" customHeight="1">
      <c r="A577" s="158"/>
      <c r="B577" s="201"/>
      <c r="C577" s="158"/>
      <c r="D577" s="158"/>
      <c r="E577" s="158"/>
      <c r="F577" s="202"/>
      <c r="G577" s="202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</row>
    <row r="578" spans="1:32" ht="15.75" customHeight="1">
      <c r="A578" s="158"/>
      <c r="B578" s="201"/>
      <c r="C578" s="158"/>
      <c r="D578" s="158"/>
      <c r="E578" s="158"/>
      <c r="F578" s="202"/>
      <c r="G578" s="202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</row>
    <row r="579" spans="1:32" ht="15.75" customHeight="1">
      <c r="A579" s="158"/>
      <c r="B579" s="201"/>
      <c r="C579" s="158"/>
      <c r="D579" s="158"/>
      <c r="E579" s="158"/>
      <c r="F579" s="202"/>
      <c r="G579" s="202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</row>
    <row r="580" spans="1:32" ht="15.75" customHeight="1">
      <c r="A580" s="158"/>
      <c r="B580" s="201"/>
      <c r="C580" s="158"/>
      <c r="D580" s="158"/>
      <c r="E580" s="158"/>
      <c r="F580" s="202"/>
      <c r="G580" s="202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</row>
    <row r="581" spans="1:32" ht="15.75" customHeight="1">
      <c r="A581" s="158"/>
      <c r="B581" s="201"/>
      <c r="C581" s="158"/>
      <c r="D581" s="158"/>
      <c r="E581" s="158"/>
      <c r="F581" s="202"/>
      <c r="G581" s="202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</row>
    <row r="582" spans="1:32" ht="15.75" customHeight="1">
      <c r="A582" s="158"/>
      <c r="B582" s="201"/>
      <c r="C582" s="158"/>
      <c r="D582" s="158"/>
      <c r="E582" s="158"/>
      <c r="F582" s="202"/>
      <c r="G582" s="202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</row>
    <row r="583" spans="1:32" ht="15.75" customHeight="1">
      <c r="A583" s="158"/>
      <c r="B583" s="201"/>
      <c r="C583" s="158"/>
      <c r="D583" s="158"/>
      <c r="E583" s="158"/>
      <c r="F583" s="202"/>
      <c r="G583" s="202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</row>
    <row r="584" spans="1:32" ht="15.75" customHeight="1">
      <c r="A584" s="158"/>
      <c r="B584" s="201"/>
      <c r="C584" s="158"/>
      <c r="D584" s="158"/>
      <c r="E584" s="158"/>
      <c r="F584" s="202"/>
      <c r="G584" s="202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</row>
    <row r="585" spans="1:32" ht="15.75" customHeight="1">
      <c r="A585" s="158"/>
      <c r="B585" s="201"/>
      <c r="C585" s="158"/>
      <c r="D585" s="158"/>
      <c r="E585" s="158"/>
      <c r="F585" s="202"/>
      <c r="G585" s="202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</row>
    <row r="586" spans="1:32" ht="15.75" customHeight="1">
      <c r="A586" s="158"/>
      <c r="B586" s="201"/>
      <c r="C586" s="158"/>
      <c r="D586" s="158"/>
      <c r="E586" s="158"/>
      <c r="F586" s="202"/>
      <c r="G586" s="202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</row>
    <row r="587" spans="1:32" ht="15.75" customHeight="1">
      <c r="A587" s="158"/>
      <c r="B587" s="201"/>
      <c r="C587" s="158"/>
      <c r="D587" s="158"/>
      <c r="E587" s="158"/>
      <c r="F587" s="202"/>
      <c r="G587" s="202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</row>
    <row r="588" spans="1:32" ht="15.75" customHeight="1">
      <c r="A588" s="158"/>
      <c r="B588" s="201"/>
      <c r="C588" s="158"/>
      <c r="D588" s="158"/>
      <c r="E588" s="158"/>
      <c r="F588" s="202"/>
      <c r="G588" s="202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</row>
    <row r="589" spans="1:32" ht="15.75" customHeight="1">
      <c r="A589" s="158"/>
      <c r="B589" s="201"/>
      <c r="C589" s="158"/>
      <c r="D589" s="158"/>
      <c r="E589" s="158"/>
      <c r="F589" s="202"/>
      <c r="G589" s="202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</row>
    <row r="590" spans="1:32" ht="15.75" customHeight="1">
      <c r="A590" s="158"/>
      <c r="B590" s="201"/>
      <c r="C590" s="158"/>
      <c r="D590" s="158"/>
      <c r="E590" s="158"/>
      <c r="F590" s="202"/>
      <c r="G590" s="202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</row>
    <row r="591" spans="1:32" ht="15.75" customHeight="1">
      <c r="A591" s="158"/>
      <c r="B591" s="201"/>
      <c r="C591" s="158"/>
      <c r="D591" s="158"/>
      <c r="E591" s="158"/>
      <c r="F591" s="202"/>
      <c r="G591" s="202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</row>
    <row r="592" spans="1:32" ht="15.75" customHeight="1">
      <c r="A592" s="158"/>
      <c r="B592" s="201"/>
      <c r="C592" s="158"/>
      <c r="D592" s="158"/>
      <c r="E592" s="158"/>
      <c r="F592" s="202"/>
      <c r="G592" s="202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</row>
    <row r="593" spans="1:32" ht="15.75" customHeight="1">
      <c r="A593" s="158"/>
      <c r="B593" s="201"/>
      <c r="C593" s="158"/>
      <c r="D593" s="158"/>
      <c r="E593" s="158"/>
      <c r="F593" s="202"/>
      <c r="G593" s="202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</row>
    <row r="594" spans="1:32" ht="15.75" customHeight="1">
      <c r="A594" s="158"/>
      <c r="B594" s="201"/>
      <c r="C594" s="158"/>
      <c r="D594" s="158"/>
      <c r="E594" s="158"/>
      <c r="F594" s="202"/>
      <c r="G594" s="202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</row>
    <row r="595" spans="1:32" ht="15.75" customHeight="1">
      <c r="A595" s="158"/>
      <c r="B595" s="201"/>
      <c r="C595" s="158"/>
      <c r="D595" s="158"/>
      <c r="E595" s="158"/>
      <c r="F595" s="202"/>
      <c r="G595" s="202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</row>
    <row r="596" spans="1:32" ht="15.75" customHeight="1">
      <c r="A596" s="158"/>
      <c r="B596" s="201"/>
      <c r="C596" s="158"/>
      <c r="D596" s="158"/>
      <c r="E596" s="158"/>
      <c r="F596" s="202"/>
      <c r="G596" s="202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</row>
    <row r="597" spans="1:32" ht="15.75" customHeight="1">
      <c r="A597" s="158"/>
      <c r="B597" s="201"/>
      <c r="C597" s="158"/>
      <c r="D597" s="158"/>
      <c r="E597" s="158"/>
      <c r="F597" s="202"/>
      <c r="G597" s="202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</row>
    <row r="598" spans="1:32" ht="15.75" customHeight="1">
      <c r="A598" s="158"/>
      <c r="B598" s="201"/>
      <c r="C598" s="158"/>
      <c r="D598" s="158"/>
      <c r="E598" s="158"/>
      <c r="F598" s="202"/>
      <c r="G598" s="202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</row>
    <row r="599" spans="1:32" ht="15.75" customHeight="1">
      <c r="A599" s="158"/>
      <c r="B599" s="201"/>
      <c r="C599" s="158"/>
      <c r="D599" s="158"/>
      <c r="E599" s="158"/>
      <c r="F599" s="202"/>
      <c r="G599" s="202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</row>
    <row r="600" spans="1:32" ht="15.75" customHeight="1">
      <c r="A600" s="158"/>
      <c r="B600" s="201"/>
      <c r="C600" s="158"/>
      <c r="D600" s="158"/>
      <c r="E600" s="158"/>
      <c r="F600" s="202"/>
      <c r="G600" s="202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</row>
    <row r="601" spans="1:32" ht="15.75" customHeight="1">
      <c r="A601" s="158"/>
      <c r="B601" s="201"/>
      <c r="C601" s="158"/>
      <c r="D601" s="158"/>
      <c r="E601" s="158"/>
      <c r="F601" s="202"/>
      <c r="G601" s="202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</row>
    <row r="602" spans="1:32" ht="15.75" customHeight="1">
      <c r="A602" s="158"/>
      <c r="B602" s="201"/>
      <c r="C602" s="158"/>
      <c r="D602" s="158"/>
      <c r="E602" s="158"/>
      <c r="F602" s="202"/>
      <c r="G602" s="202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</row>
    <row r="603" spans="1:32" ht="15.75" customHeight="1">
      <c r="A603" s="158"/>
      <c r="B603" s="201"/>
      <c r="C603" s="158"/>
      <c r="D603" s="158"/>
      <c r="E603" s="158"/>
      <c r="F603" s="202"/>
      <c r="G603" s="202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</row>
    <row r="604" spans="1:32" ht="15.75" customHeight="1">
      <c r="A604" s="158"/>
      <c r="B604" s="201"/>
      <c r="C604" s="158"/>
      <c r="D604" s="158"/>
      <c r="E604" s="158"/>
      <c r="F604" s="202"/>
      <c r="G604" s="202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</row>
    <row r="605" spans="1:32" ht="15.75" customHeight="1">
      <c r="A605" s="158"/>
      <c r="B605" s="201"/>
      <c r="C605" s="158"/>
      <c r="D605" s="158"/>
      <c r="E605" s="158"/>
      <c r="F605" s="202"/>
      <c r="G605" s="202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</row>
    <row r="606" spans="1:32" ht="15.75" customHeight="1">
      <c r="A606" s="158"/>
      <c r="B606" s="201"/>
      <c r="C606" s="158"/>
      <c r="D606" s="158"/>
      <c r="E606" s="158"/>
      <c r="F606" s="202"/>
      <c r="G606" s="202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</row>
    <row r="607" spans="1:32" ht="15.75" customHeight="1">
      <c r="A607" s="158"/>
      <c r="B607" s="201"/>
      <c r="C607" s="158"/>
      <c r="D607" s="158"/>
      <c r="E607" s="158"/>
      <c r="F607" s="202"/>
      <c r="G607" s="202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</row>
    <row r="608" spans="1:32" ht="15.75" customHeight="1">
      <c r="A608" s="158"/>
      <c r="B608" s="201"/>
      <c r="C608" s="158"/>
      <c r="D608" s="158"/>
      <c r="E608" s="158"/>
      <c r="F608" s="202"/>
      <c r="G608" s="202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</row>
    <row r="609" spans="1:32" ht="15.75" customHeight="1">
      <c r="A609" s="158"/>
      <c r="B609" s="201"/>
      <c r="C609" s="158"/>
      <c r="D609" s="158"/>
      <c r="E609" s="158"/>
      <c r="F609" s="202"/>
      <c r="G609" s="202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</row>
    <row r="610" spans="1:32" ht="15.75" customHeight="1">
      <c r="A610" s="158"/>
      <c r="B610" s="201"/>
      <c r="C610" s="158"/>
      <c r="D610" s="158"/>
      <c r="E610" s="158"/>
      <c r="F610" s="202"/>
      <c r="G610" s="202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</row>
    <row r="611" spans="1:32" ht="15.75" customHeight="1">
      <c r="A611" s="158"/>
      <c r="B611" s="201"/>
      <c r="C611" s="158"/>
      <c r="D611" s="158"/>
      <c r="E611" s="158"/>
      <c r="F611" s="202"/>
      <c r="G611" s="202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</row>
    <row r="612" spans="1:32" ht="15.75" customHeight="1">
      <c r="A612" s="158"/>
      <c r="B612" s="201"/>
      <c r="C612" s="158"/>
      <c r="D612" s="158"/>
      <c r="E612" s="158"/>
      <c r="F612" s="202"/>
      <c r="G612" s="202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</row>
    <row r="613" spans="1:32" ht="15.75" customHeight="1">
      <c r="A613" s="158"/>
      <c r="B613" s="201"/>
      <c r="C613" s="158"/>
      <c r="D613" s="158"/>
      <c r="E613" s="158"/>
      <c r="F613" s="202"/>
      <c r="G613" s="202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</row>
    <row r="614" spans="1:32" ht="15.75" customHeight="1">
      <c r="A614" s="158"/>
      <c r="B614" s="201"/>
      <c r="C614" s="158"/>
      <c r="D614" s="158"/>
      <c r="E614" s="158"/>
      <c r="F614" s="202"/>
      <c r="G614" s="202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</row>
    <row r="615" spans="1:32" ht="15.75" customHeight="1">
      <c r="A615" s="158"/>
      <c r="B615" s="201"/>
      <c r="C615" s="158"/>
      <c r="D615" s="158"/>
      <c r="E615" s="158"/>
      <c r="F615" s="202"/>
      <c r="G615" s="202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</row>
    <row r="616" spans="1:32" ht="15.75" customHeight="1">
      <c r="A616" s="158"/>
      <c r="B616" s="201"/>
      <c r="C616" s="158"/>
      <c r="D616" s="158"/>
      <c r="E616" s="158"/>
      <c r="F616" s="202"/>
      <c r="G616" s="202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</row>
    <row r="617" spans="1:32" ht="15.75" customHeight="1">
      <c r="A617" s="158"/>
      <c r="B617" s="201"/>
      <c r="C617" s="158"/>
      <c r="D617" s="158"/>
      <c r="E617" s="158"/>
      <c r="F617" s="202"/>
      <c r="G617" s="202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</row>
    <row r="618" spans="1:32" ht="15.75" customHeight="1">
      <c r="A618" s="158"/>
      <c r="B618" s="201"/>
      <c r="C618" s="158"/>
      <c r="D618" s="158"/>
      <c r="E618" s="158"/>
      <c r="F618" s="202"/>
      <c r="G618" s="202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</row>
    <row r="619" spans="1:32" ht="15.75" customHeight="1">
      <c r="A619" s="158"/>
      <c r="B619" s="201"/>
      <c r="C619" s="158"/>
      <c r="D619" s="158"/>
      <c r="E619" s="158"/>
      <c r="F619" s="202"/>
      <c r="G619" s="202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</row>
    <row r="620" spans="1:32" ht="15.75" customHeight="1">
      <c r="A620" s="158"/>
      <c r="B620" s="201"/>
      <c r="C620" s="158"/>
      <c r="D620" s="158"/>
      <c r="E620" s="158"/>
      <c r="F620" s="202"/>
      <c r="G620" s="202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</row>
    <row r="621" spans="1:32" ht="15.75" customHeight="1">
      <c r="A621" s="158"/>
      <c r="B621" s="201"/>
      <c r="C621" s="158"/>
      <c r="D621" s="158"/>
      <c r="E621" s="158"/>
      <c r="F621" s="202"/>
      <c r="G621" s="202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</row>
    <row r="622" spans="1:32" ht="15.75" customHeight="1">
      <c r="A622" s="158"/>
      <c r="B622" s="201"/>
      <c r="C622" s="158"/>
      <c r="D622" s="158"/>
      <c r="E622" s="158"/>
      <c r="F622" s="202"/>
      <c r="G622" s="202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</row>
    <row r="623" spans="1:32" ht="15.75" customHeight="1">
      <c r="A623" s="158"/>
      <c r="B623" s="201"/>
      <c r="C623" s="158"/>
      <c r="D623" s="158"/>
      <c r="E623" s="158"/>
      <c r="F623" s="202"/>
      <c r="G623" s="202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</row>
    <row r="624" spans="1:32" ht="15.75" customHeight="1">
      <c r="A624" s="158"/>
      <c r="B624" s="201"/>
      <c r="C624" s="158"/>
      <c r="D624" s="158"/>
      <c r="E624" s="158"/>
      <c r="F624" s="202"/>
      <c r="G624" s="202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</row>
    <row r="625" spans="1:32" ht="15.75" customHeight="1">
      <c r="A625" s="158"/>
      <c r="B625" s="201"/>
      <c r="C625" s="158"/>
      <c r="D625" s="158"/>
      <c r="E625" s="158"/>
      <c r="F625" s="202"/>
      <c r="G625" s="202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</row>
    <row r="626" spans="1:32" ht="15.75" customHeight="1">
      <c r="A626" s="158"/>
      <c r="B626" s="201"/>
      <c r="C626" s="158"/>
      <c r="D626" s="158"/>
      <c r="E626" s="158"/>
      <c r="F626" s="202"/>
      <c r="G626" s="202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</row>
    <row r="627" spans="1:32" ht="15.75" customHeight="1">
      <c r="A627" s="158"/>
      <c r="B627" s="201"/>
      <c r="C627" s="158"/>
      <c r="D627" s="158"/>
      <c r="E627" s="158"/>
      <c r="F627" s="202"/>
      <c r="G627" s="202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</row>
    <row r="628" spans="1:32" ht="15.75" customHeight="1">
      <c r="A628" s="158"/>
      <c r="B628" s="201"/>
      <c r="C628" s="158"/>
      <c r="D628" s="158"/>
      <c r="E628" s="158"/>
      <c r="F628" s="202"/>
      <c r="G628" s="202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</row>
    <row r="629" spans="1:32" ht="15.75" customHeight="1">
      <c r="A629" s="158"/>
      <c r="B629" s="201"/>
      <c r="C629" s="158"/>
      <c r="D629" s="158"/>
      <c r="E629" s="158"/>
      <c r="F629" s="202"/>
      <c r="G629" s="202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</row>
    <row r="630" spans="1:32" ht="15.75" customHeight="1">
      <c r="A630" s="158"/>
      <c r="B630" s="201"/>
      <c r="C630" s="158"/>
      <c r="D630" s="158"/>
      <c r="E630" s="158"/>
      <c r="F630" s="202"/>
      <c r="G630" s="202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</row>
    <row r="631" spans="1:32" ht="15.75" customHeight="1">
      <c r="A631" s="158"/>
      <c r="B631" s="201"/>
      <c r="C631" s="158"/>
      <c r="D631" s="158"/>
      <c r="E631" s="158"/>
      <c r="F631" s="202"/>
      <c r="G631" s="202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</row>
    <row r="632" spans="1:32" ht="15.75" customHeight="1">
      <c r="A632" s="158"/>
      <c r="B632" s="201"/>
      <c r="C632" s="158"/>
      <c r="D632" s="158"/>
      <c r="E632" s="158"/>
      <c r="F632" s="202"/>
      <c r="G632" s="202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</row>
    <row r="633" spans="1:32" ht="15.75" customHeight="1">
      <c r="A633" s="158"/>
      <c r="B633" s="201"/>
      <c r="C633" s="158"/>
      <c r="D633" s="158"/>
      <c r="E633" s="158"/>
      <c r="F633" s="202"/>
      <c r="G633" s="202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</row>
    <row r="634" spans="1:32" ht="15.75" customHeight="1">
      <c r="A634" s="158"/>
      <c r="B634" s="201"/>
      <c r="C634" s="158"/>
      <c r="D634" s="158"/>
      <c r="E634" s="158"/>
      <c r="F634" s="202"/>
      <c r="G634" s="202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</row>
    <row r="635" spans="1:32" ht="15.75" customHeight="1">
      <c r="A635" s="158"/>
      <c r="B635" s="201"/>
      <c r="C635" s="158"/>
      <c r="D635" s="158"/>
      <c r="E635" s="158"/>
      <c r="F635" s="202"/>
      <c r="G635" s="202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</row>
    <row r="636" spans="1:32" ht="15.75" customHeight="1">
      <c r="A636" s="158"/>
      <c r="B636" s="201"/>
      <c r="C636" s="158"/>
      <c r="D636" s="158"/>
      <c r="E636" s="158"/>
      <c r="F636" s="202"/>
      <c r="G636" s="202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</row>
    <row r="637" spans="1:32" ht="15.75" customHeight="1">
      <c r="A637" s="158"/>
      <c r="B637" s="201"/>
      <c r="C637" s="158"/>
      <c r="D637" s="158"/>
      <c r="E637" s="158"/>
      <c r="F637" s="202"/>
      <c r="G637" s="202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</row>
    <row r="638" spans="1:32" ht="15.75" customHeight="1">
      <c r="A638" s="158"/>
      <c r="B638" s="201"/>
      <c r="C638" s="158"/>
      <c r="D638" s="158"/>
      <c r="E638" s="158"/>
      <c r="F638" s="202"/>
      <c r="G638" s="202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</row>
    <row r="639" spans="1:32" ht="15.75" customHeight="1">
      <c r="A639" s="158"/>
      <c r="B639" s="201"/>
      <c r="C639" s="158"/>
      <c r="D639" s="158"/>
      <c r="E639" s="158"/>
      <c r="F639" s="202"/>
      <c r="G639" s="202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</row>
    <row r="640" spans="1:32" ht="15.75" customHeight="1">
      <c r="A640" s="158"/>
      <c r="B640" s="201"/>
      <c r="C640" s="158"/>
      <c r="D640" s="158"/>
      <c r="E640" s="158"/>
      <c r="F640" s="202"/>
      <c r="G640" s="202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</row>
    <row r="641" spans="1:32" ht="15.75" customHeight="1">
      <c r="A641" s="158"/>
      <c r="B641" s="201"/>
      <c r="C641" s="158"/>
      <c r="D641" s="158"/>
      <c r="E641" s="158"/>
      <c r="F641" s="202"/>
      <c r="G641" s="202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</row>
    <row r="642" spans="1:32" ht="15.75" customHeight="1">
      <c r="A642" s="158"/>
      <c r="B642" s="201"/>
      <c r="C642" s="158"/>
      <c r="D642" s="158"/>
      <c r="E642" s="158"/>
      <c r="F642" s="202"/>
      <c r="G642" s="202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</row>
    <row r="643" spans="1:32" ht="15.75" customHeight="1">
      <c r="A643" s="158"/>
      <c r="B643" s="201"/>
      <c r="C643" s="158"/>
      <c r="D643" s="158"/>
      <c r="E643" s="158"/>
      <c r="F643" s="202"/>
      <c r="G643" s="202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</row>
    <row r="644" spans="1:32" ht="15.75" customHeight="1">
      <c r="A644" s="158"/>
      <c r="B644" s="201"/>
      <c r="C644" s="158"/>
      <c r="D644" s="158"/>
      <c r="E644" s="158"/>
      <c r="F644" s="202"/>
      <c r="G644" s="202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</row>
    <row r="645" spans="1:32" ht="15.75" customHeight="1">
      <c r="A645" s="158"/>
      <c r="B645" s="201"/>
      <c r="C645" s="158"/>
      <c r="D645" s="158"/>
      <c r="E645" s="158"/>
      <c r="F645" s="202"/>
      <c r="G645" s="202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</row>
    <row r="646" spans="1:32" ht="15.75" customHeight="1">
      <c r="A646" s="158"/>
      <c r="B646" s="201"/>
      <c r="C646" s="158"/>
      <c r="D646" s="158"/>
      <c r="E646" s="158"/>
      <c r="F646" s="202"/>
      <c r="G646" s="202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</row>
    <row r="647" spans="1:32" ht="15.75" customHeight="1">
      <c r="A647" s="158"/>
      <c r="B647" s="201"/>
      <c r="C647" s="158"/>
      <c r="D647" s="158"/>
      <c r="E647" s="158"/>
      <c r="F647" s="202"/>
      <c r="G647" s="202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</row>
    <row r="648" spans="1:32" ht="15.75" customHeight="1">
      <c r="A648" s="158"/>
      <c r="B648" s="201"/>
      <c r="C648" s="158"/>
      <c r="D648" s="158"/>
      <c r="E648" s="158"/>
      <c r="F648" s="202"/>
      <c r="G648" s="202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</row>
    <row r="649" spans="1:32" ht="15.75" customHeight="1">
      <c r="A649" s="158"/>
      <c r="B649" s="201"/>
      <c r="C649" s="158"/>
      <c r="D649" s="158"/>
      <c r="E649" s="158"/>
      <c r="F649" s="202"/>
      <c r="G649" s="202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</row>
    <row r="650" spans="1:32" ht="15.75" customHeight="1">
      <c r="A650" s="158"/>
      <c r="B650" s="201"/>
      <c r="C650" s="158"/>
      <c r="D650" s="158"/>
      <c r="E650" s="158"/>
      <c r="F650" s="202"/>
      <c r="G650" s="202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</row>
    <row r="651" spans="1:32" ht="15.75" customHeight="1">
      <c r="A651" s="158"/>
      <c r="B651" s="201"/>
      <c r="C651" s="158"/>
      <c r="D651" s="158"/>
      <c r="E651" s="158"/>
      <c r="F651" s="202"/>
      <c r="G651" s="202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</row>
    <row r="652" spans="1:32" ht="15.75" customHeight="1">
      <c r="A652" s="158"/>
      <c r="B652" s="201"/>
      <c r="C652" s="158"/>
      <c r="D652" s="158"/>
      <c r="E652" s="158"/>
      <c r="F652" s="202"/>
      <c r="G652" s="202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</row>
    <row r="653" spans="1:32" ht="15.75" customHeight="1">
      <c r="A653" s="158"/>
      <c r="B653" s="201"/>
      <c r="C653" s="158"/>
      <c r="D653" s="158"/>
      <c r="E653" s="158"/>
      <c r="F653" s="202"/>
      <c r="G653" s="202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</row>
    <row r="654" spans="1:32" ht="15.75" customHeight="1">
      <c r="A654" s="158"/>
      <c r="B654" s="201"/>
      <c r="C654" s="158"/>
      <c r="D654" s="158"/>
      <c r="E654" s="158"/>
      <c r="F654" s="202"/>
      <c r="G654" s="202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</row>
    <row r="655" spans="1:32" ht="15.75" customHeight="1">
      <c r="A655" s="158"/>
      <c r="B655" s="201"/>
      <c r="C655" s="158"/>
      <c r="D655" s="158"/>
      <c r="E655" s="158"/>
      <c r="F655" s="202"/>
      <c r="G655" s="202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</row>
    <row r="656" spans="1:32" ht="15.75" customHeight="1">
      <c r="A656" s="158"/>
      <c r="B656" s="201"/>
      <c r="C656" s="158"/>
      <c r="D656" s="158"/>
      <c r="E656" s="158"/>
      <c r="F656" s="202"/>
      <c r="G656" s="202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</row>
    <row r="657" spans="1:32" ht="15.75" customHeight="1">
      <c r="A657" s="158"/>
      <c r="B657" s="201"/>
      <c r="C657" s="158"/>
      <c r="D657" s="158"/>
      <c r="E657" s="158"/>
      <c r="F657" s="202"/>
      <c r="G657" s="202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</row>
    <row r="658" spans="1:32" ht="15.75" customHeight="1">
      <c r="A658" s="158"/>
      <c r="B658" s="201"/>
      <c r="C658" s="158"/>
      <c r="D658" s="158"/>
      <c r="E658" s="158"/>
      <c r="F658" s="202"/>
      <c r="G658" s="202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</row>
    <row r="659" spans="1:32" ht="15.75" customHeight="1">
      <c r="A659" s="158"/>
      <c r="B659" s="201"/>
      <c r="C659" s="158"/>
      <c r="D659" s="158"/>
      <c r="E659" s="158"/>
      <c r="F659" s="202"/>
      <c r="G659" s="202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</row>
    <row r="660" spans="1:32" ht="15.75" customHeight="1">
      <c r="A660" s="158"/>
      <c r="B660" s="201"/>
      <c r="C660" s="158"/>
      <c r="D660" s="158"/>
      <c r="E660" s="158"/>
      <c r="F660" s="202"/>
      <c r="G660" s="202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</row>
    <row r="661" spans="1:32" ht="15.75" customHeight="1">
      <c r="A661" s="158"/>
      <c r="B661" s="201"/>
      <c r="C661" s="158"/>
      <c r="D661" s="158"/>
      <c r="E661" s="158"/>
      <c r="F661" s="202"/>
      <c r="G661" s="202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</row>
    <row r="662" spans="1:32" ht="15.75" customHeight="1">
      <c r="A662" s="158"/>
      <c r="B662" s="201"/>
      <c r="C662" s="158"/>
      <c r="D662" s="158"/>
      <c r="E662" s="158"/>
      <c r="F662" s="202"/>
      <c r="G662" s="202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</row>
    <row r="663" spans="1:32" ht="15.75" customHeight="1">
      <c r="A663" s="158"/>
      <c r="B663" s="201"/>
      <c r="C663" s="158"/>
      <c r="D663" s="158"/>
      <c r="E663" s="158"/>
      <c r="F663" s="202"/>
      <c r="G663" s="202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</row>
    <row r="664" spans="1:32" ht="15.75" customHeight="1">
      <c r="A664" s="158"/>
      <c r="B664" s="201"/>
      <c r="C664" s="158"/>
      <c r="D664" s="158"/>
      <c r="E664" s="158"/>
      <c r="F664" s="202"/>
      <c r="G664" s="202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</row>
    <row r="665" spans="1:32" ht="15.75" customHeight="1">
      <c r="A665" s="158"/>
      <c r="B665" s="201"/>
      <c r="C665" s="158"/>
      <c r="D665" s="158"/>
      <c r="E665" s="158"/>
      <c r="F665" s="202"/>
      <c r="G665" s="202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</row>
    <row r="666" spans="1:32" ht="15.75" customHeight="1">
      <c r="A666" s="158"/>
      <c r="B666" s="201"/>
      <c r="C666" s="158"/>
      <c r="D666" s="158"/>
      <c r="E666" s="158"/>
      <c r="F666" s="202"/>
      <c r="G666" s="202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</row>
    <row r="667" spans="1:32" ht="15.75" customHeight="1">
      <c r="A667" s="158"/>
      <c r="B667" s="201"/>
      <c r="C667" s="158"/>
      <c r="D667" s="158"/>
      <c r="E667" s="158"/>
      <c r="F667" s="202"/>
      <c r="G667" s="202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</row>
    <row r="668" spans="1:32" ht="15.75" customHeight="1">
      <c r="A668" s="158"/>
      <c r="B668" s="201"/>
      <c r="C668" s="158"/>
      <c r="D668" s="158"/>
      <c r="E668" s="158"/>
      <c r="F668" s="202"/>
      <c r="G668" s="202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</row>
    <row r="669" spans="1:32" ht="15.75" customHeight="1">
      <c r="A669" s="158"/>
      <c r="B669" s="201"/>
      <c r="C669" s="158"/>
      <c r="D669" s="158"/>
      <c r="E669" s="158"/>
      <c r="F669" s="202"/>
      <c r="G669" s="202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</row>
    <row r="670" spans="1:32" ht="15.75" customHeight="1">
      <c r="A670" s="158"/>
      <c r="B670" s="201"/>
      <c r="C670" s="158"/>
      <c r="D670" s="158"/>
      <c r="E670" s="158"/>
      <c r="F670" s="202"/>
      <c r="G670" s="202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</row>
    <row r="671" spans="1:32" ht="15.75" customHeight="1">
      <c r="A671" s="158"/>
      <c r="B671" s="201"/>
      <c r="C671" s="158"/>
      <c r="D671" s="158"/>
      <c r="E671" s="158"/>
      <c r="F671" s="202"/>
      <c r="G671" s="202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</row>
    <row r="672" spans="1:32" ht="15.75" customHeight="1">
      <c r="A672" s="158"/>
      <c r="B672" s="201"/>
      <c r="C672" s="158"/>
      <c r="D672" s="158"/>
      <c r="E672" s="158"/>
      <c r="F672" s="202"/>
      <c r="G672" s="202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</row>
    <row r="673" spans="1:32" ht="15.75" customHeight="1">
      <c r="A673" s="158"/>
      <c r="B673" s="201"/>
      <c r="C673" s="158"/>
      <c r="D673" s="158"/>
      <c r="E673" s="158"/>
      <c r="F673" s="202"/>
      <c r="G673" s="202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</row>
    <row r="674" spans="1:32" ht="15.75" customHeight="1">
      <c r="A674" s="158"/>
      <c r="B674" s="201"/>
      <c r="C674" s="158"/>
      <c r="D674" s="158"/>
      <c r="E674" s="158"/>
      <c r="F674" s="202"/>
      <c r="G674" s="202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</row>
    <row r="675" spans="1:32" ht="15.75" customHeight="1">
      <c r="A675" s="158"/>
      <c r="B675" s="201"/>
      <c r="C675" s="158"/>
      <c r="D675" s="158"/>
      <c r="E675" s="158"/>
      <c r="F675" s="202"/>
      <c r="G675" s="202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</row>
    <row r="676" spans="1:32" ht="15.75" customHeight="1">
      <c r="A676" s="158"/>
      <c r="B676" s="201"/>
      <c r="C676" s="158"/>
      <c r="D676" s="158"/>
      <c r="E676" s="158"/>
      <c r="F676" s="202"/>
      <c r="G676" s="202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</row>
    <row r="677" spans="1:32" ht="15.75" customHeight="1">
      <c r="A677" s="158"/>
      <c r="B677" s="201"/>
      <c r="C677" s="158"/>
      <c r="D677" s="158"/>
      <c r="E677" s="158"/>
      <c r="F677" s="202"/>
      <c r="G677" s="202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</row>
    <row r="678" spans="1:32" ht="15.75" customHeight="1">
      <c r="A678" s="158"/>
      <c r="B678" s="201"/>
      <c r="C678" s="158"/>
      <c r="D678" s="158"/>
      <c r="E678" s="158"/>
      <c r="F678" s="202"/>
      <c r="G678" s="202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</row>
    <row r="679" spans="1:32" ht="15.75" customHeight="1">
      <c r="A679" s="158"/>
      <c r="B679" s="201"/>
      <c r="C679" s="158"/>
      <c r="D679" s="158"/>
      <c r="E679" s="158"/>
      <c r="F679" s="202"/>
      <c r="G679" s="202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</row>
    <row r="680" spans="1:32" ht="15.75" customHeight="1">
      <c r="A680" s="158"/>
      <c r="B680" s="201"/>
      <c r="C680" s="158"/>
      <c r="D680" s="158"/>
      <c r="E680" s="158"/>
      <c r="F680" s="202"/>
      <c r="G680" s="202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</row>
    <row r="681" spans="1:32" ht="15.75" customHeight="1">
      <c r="A681" s="158"/>
      <c r="B681" s="201"/>
      <c r="C681" s="158"/>
      <c r="D681" s="158"/>
      <c r="E681" s="158"/>
      <c r="F681" s="202"/>
      <c r="G681" s="202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</row>
    <row r="682" spans="1:32" ht="15.75" customHeight="1">
      <c r="A682" s="158"/>
      <c r="B682" s="201"/>
      <c r="C682" s="158"/>
      <c r="D682" s="158"/>
      <c r="E682" s="158"/>
      <c r="F682" s="202"/>
      <c r="G682" s="202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</row>
    <row r="683" spans="1:32" ht="15.75" customHeight="1">
      <c r="A683" s="158"/>
      <c r="B683" s="201"/>
      <c r="C683" s="158"/>
      <c r="D683" s="158"/>
      <c r="E683" s="158"/>
      <c r="F683" s="202"/>
      <c r="G683" s="202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</row>
    <row r="684" spans="1:32" ht="15.75" customHeight="1">
      <c r="A684" s="158"/>
      <c r="B684" s="201"/>
      <c r="C684" s="158"/>
      <c r="D684" s="158"/>
      <c r="E684" s="158"/>
      <c r="F684" s="202"/>
      <c r="G684" s="202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</row>
    <row r="685" spans="1:32" ht="15.75" customHeight="1">
      <c r="A685" s="158"/>
      <c r="B685" s="201"/>
      <c r="C685" s="158"/>
      <c r="D685" s="158"/>
      <c r="E685" s="158"/>
      <c r="F685" s="202"/>
      <c r="G685" s="202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</row>
    <row r="686" spans="1:32" ht="15.75" customHeight="1">
      <c r="A686" s="158"/>
      <c r="B686" s="201"/>
      <c r="C686" s="158"/>
      <c r="D686" s="158"/>
      <c r="E686" s="158"/>
      <c r="F686" s="202"/>
      <c r="G686" s="202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</row>
    <row r="687" spans="1:32" ht="15.75" customHeight="1">
      <c r="A687" s="158"/>
      <c r="B687" s="201"/>
      <c r="C687" s="158"/>
      <c r="D687" s="158"/>
      <c r="E687" s="158"/>
      <c r="F687" s="202"/>
      <c r="G687" s="202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</row>
    <row r="688" spans="1:32" ht="15.75" customHeight="1">
      <c r="A688" s="158"/>
      <c r="B688" s="201"/>
      <c r="C688" s="158"/>
      <c r="D688" s="158"/>
      <c r="E688" s="158"/>
      <c r="F688" s="202"/>
      <c r="G688" s="202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</row>
    <row r="689" spans="1:32" ht="15.75" customHeight="1">
      <c r="A689" s="158"/>
      <c r="B689" s="201"/>
      <c r="C689" s="158"/>
      <c r="D689" s="158"/>
      <c r="E689" s="158"/>
      <c r="F689" s="202"/>
      <c r="G689" s="202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</row>
    <row r="690" spans="1:32" ht="15.75" customHeight="1">
      <c r="A690" s="158"/>
      <c r="B690" s="201"/>
      <c r="C690" s="158"/>
      <c r="D690" s="158"/>
      <c r="E690" s="158"/>
      <c r="F690" s="202"/>
      <c r="G690" s="202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</row>
    <row r="691" spans="1:32" ht="15.75" customHeight="1">
      <c r="A691" s="158"/>
      <c r="B691" s="201"/>
      <c r="C691" s="158"/>
      <c r="D691" s="158"/>
      <c r="E691" s="158"/>
      <c r="F691" s="202"/>
      <c r="G691" s="202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</row>
    <row r="692" spans="1:32" ht="15.75" customHeight="1">
      <c r="A692" s="158"/>
      <c r="B692" s="201"/>
      <c r="C692" s="158"/>
      <c r="D692" s="158"/>
      <c r="E692" s="158"/>
      <c r="F692" s="202"/>
      <c r="G692" s="202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</row>
    <row r="693" spans="1:32" ht="15.75" customHeight="1">
      <c r="A693" s="158"/>
      <c r="B693" s="201"/>
      <c r="C693" s="158"/>
      <c r="D693" s="158"/>
      <c r="E693" s="158"/>
      <c r="F693" s="202"/>
      <c r="G693" s="202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</row>
    <row r="694" spans="1:32" ht="15.75" customHeight="1">
      <c r="A694" s="158"/>
      <c r="B694" s="201"/>
      <c r="C694" s="158"/>
      <c r="D694" s="158"/>
      <c r="E694" s="158"/>
      <c r="F694" s="202"/>
      <c r="G694" s="202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</row>
    <row r="695" spans="1:32" ht="15.75" customHeight="1">
      <c r="A695" s="158"/>
      <c r="B695" s="201"/>
      <c r="C695" s="158"/>
      <c r="D695" s="158"/>
      <c r="E695" s="158"/>
      <c r="F695" s="202"/>
      <c r="G695" s="202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</row>
    <row r="696" spans="1:32" ht="15.75" customHeight="1">
      <c r="A696" s="158"/>
      <c r="B696" s="201"/>
      <c r="C696" s="158"/>
      <c r="D696" s="158"/>
      <c r="E696" s="158"/>
      <c r="F696" s="202"/>
      <c r="G696" s="202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</row>
    <row r="697" spans="1:32" ht="15.75" customHeight="1">
      <c r="A697" s="158"/>
      <c r="B697" s="201"/>
      <c r="C697" s="158"/>
      <c r="D697" s="158"/>
      <c r="E697" s="158"/>
      <c r="F697" s="202"/>
      <c r="G697" s="202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</row>
    <row r="698" spans="1:32" ht="15.75" customHeight="1">
      <c r="A698" s="158"/>
      <c r="B698" s="201"/>
      <c r="C698" s="158"/>
      <c r="D698" s="158"/>
      <c r="E698" s="158"/>
      <c r="F698" s="202"/>
      <c r="G698" s="202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</row>
    <row r="699" spans="1:32" ht="15.75" customHeight="1">
      <c r="A699" s="158"/>
      <c r="B699" s="201"/>
      <c r="C699" s="158"/>
      <c r="D699" s="158"/>
      <c r="E699" s="158"/>
      <c r="F699" s="202"/>
      <c r="G699" s="202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</row>
    <row r="700" spans="1:32" ht="15.75" customHeight="1">
      <c r="A700" s="158"/>
      <c r="B700" s="201"/>
      <c r="C700" s="158"/>
      <c r="D700" s="158"/>
      <c r="E700" s="158"/>
      <c r="F700" s="202"/>
      <c r="G700" s="202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</row>
    <row r="701" spans="1:32" ht="15.75" customHeight="1">
      <c r="A701" s="158"/>
      <c r="B701" s="201"/>
      <c r="C701" s="158"/>
      <c r="D701" s="158"/>
      <c r="E701" s="158"/>
      <c r="F701" s="202"/>
      <c r="G701" s="202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</row>
    <row r="702" spans="1:32" ht="15.75" customHeight="1">
      <c r="A702" s="158"/>
      <c r="B702" s="201"/>
      <c r="C702" s="158"/>
      <c r="D702" s="158"/>
      <c r="E702" s="158"/>
      <c r="F702" s="202"/>
      <c r="G702" s="202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</row>
    <row r="703" spans="1:32" ht="15.75" customHeight="1">
      <c r="A703" s="158"/>
      <c r="B703" s="201"/>
      <c r="C703" s="158"/>
      <c r="D703" s="158"/>
      <c r="E703" s="158"/>
      <c r="F703" s="202"/>
      <c r="G703" s="202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</row>
    <row r="704" spans="1:32" ht="15.75" customHeight="1">
      <c r="A704" s="158"/>
      <c r="B704" s="201"/>
      <c r="C704" s="158"/>
      <c r="D704" s="158"/>
      <c r="E704" s="158"/>
      <c r="F704" s="202"/>
      <c r="G704" s="202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</row>
    <row r="705" spans="1:32" ht="15.75" customHeight="1">
      <c r="A705" s="158"/>
      <c r="B705" s="201"/>
      <c r="C705" s="158"/>
      <c r="D705" s="158"/>
      <c r="E705" s="158"/>
      <c r="F705" s="202"/>
      <c r="G705" s="202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</row>
    <row r="706" spans="1:32" ht="15.75" customHeight="1">
      <c r="A706" s="158"/>
      <c r="B706" s="201"/>
      <c r="C706" s="158"/>
      <c r="D706" s="158"/>
      <c r="E706" s="158"/>
      <c r="F706" s="202"/>
      <c r="G706" s="202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</row>
    <row r="707" spans="1:32" ht="15.75" customHeight="1">
      <c r="A707" s="158"/>
      <c r="B707" s="201"/>
      <c r="C707" s="158"/>
      <c r="D707" s="158"/>
      <c r="E707" s="158"/>
      <c r="F707" s="202"/>
      <c r="G707" s="202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</row>
    <row r="708" spans="1:32" ht="15.75" customHeight="1">
      <c r="A708" s="158"/>
      <c r="B708" s="201"/>
      <c r="C708" s="158"/>
      <c r="D708" s="158"/>
      <c r="E708" s="158"/>
      <c r="F708" s="202"/>
      <c r="G708" s="202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</row>
    <row r="709" spans="1:32" ht="15.75" customHeight="1">
      <c r="A709" s="158"/>
      <c r="B709" s="201"/>
      <c r="C709" s="158"/>
      <c r="D709" s="158"/>
      <c r="E709" s="158"/>
      <c r="F709" s="202"/>
      <c r="G709" s="202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</row>
    <row r="710" spans="1:32" ht="15.75" customHeight="1">
      <c r="A710" s="158"/>
      <c r="B710" s="201"/>
      <c r="C710" s="158"/>
      <c r="D710" s="158"/>
      <c r="E710" s="158"/>
      <c r="F710" s="202"/>
      <c r="G710" s="202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</row>
    <row r="711" spans="1:32" ht="15.75" customHeight="1">
      <c r="A711" s="158"/>
      <c r="B711" s="201"/>
      <c r="C711" s="158"/>
      <c r="D711" s="158"/>
      <c r="E711" s="158"/>
      <c r="F711" s="202"/>
      <c r="G711" s="202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</row>
    <row r="712" spans="1:32" ht="15.75" customHeight="1">
      <c r="A712" s="158"/>
      <c r="B712" s="201"/>
      <c r="C712" s="158"/>
      <c r="D712" s="158"/>
      <c r="E712" s="158"/>
      <c r="F712" s="202"/>
      <c r="G712" s="202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</row>
    <row r="713" spans="1:32" ht="15.75" customHeight="1">
      <c r="A713" s="158"/>
      <c r="B713" s="201"/>
      <c r="C713" s="158"/>
      <c r="D713" s="158"/>
      <c r="E713" s="158"/>
      <c r="F713" s="202"/>
      <c r="G713" s="202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</row>
    <row r="714" spans="1:32" ht="15.75" customHeight="1">
      <c r="A714" s="158"/>
      <c r="B714" s="201"/>
      <c r="C714" s="158"/>
      <c r="D714" s="158"/>
      <c r="E714" s="158"/>
      <c r="F714" s="202"/>
      <c r="G714" s="202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</row>
    <row r="715" spans="1:32" ht="15.75" customHeight="1">
      <c r="A715" s="158"/>
      <c r="B715" s="201"/>
      <c r="C715" s="158"/>
      <c r="D715" s="158"/>
      <c r="E715" s="158"/>
      <c r="F715" s="202"/>
      <c r="G715" s="202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</row>
    <row r="716" spans="1:32" ht="15.75" customHeight="1">
      <c r="A716" s="158"/>
      <c r="B716" s="201"/>
      <c r="C716" s="158"/>
      <c r="D716" s="158"/>
      <c r="E716" s="158"/>
      <c r="F716" s="202"/>
      <c r="G716" s="202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</row>
    <row r="717" spans="1:32" ht="15.75" customHeight="1">
      <c r="A717" s="158"/>
      <c r="B717" s="201"/>
      <c r="C717" s="158"/>
      <c r="D717" s="158"/>
      <c r="E717" s="158"/>
      <c r="F717" s="202"/>
      <c r="G717" s="202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</row>
    <row r="718" spans="1:32" ht="15.75" customHeight="1">
      <c r="A718" s="158"/>
      <c r="B718" s="201"/>
      <c r="C718" s="158"/>
      <c r="D718" s="158"/>
      <c r="E718" s="158"/>
      <c r="F718" s="202"/>
      <c r="G718" s="202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</row>
    <row r="719" spans="1:32" ht="15.75" customHeight="1">
      <c r="A719" s="158"/>
      <c r="B719" s="201"/>
      <c r="C719" s="158"/>
      <c r="D719" s="158"/>
      <c r="E719" s="158"/>
      <c r="F719" s="202"/>
      <c r="G719" s="202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</row>
    <row r="720" spans="1:32" ht="15.75" customHeight="1">
      <c r="A720" s="158"/>
      <c r="B720" s="201"/>
      <c r="C720" s="158"/>
      <c r="D720" s="158"/>
      <c r="E720" s="158"/>
      <c r="F720" s="202"/>
      <c r="G720" s="202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</row>
    <row r="721" spans="1:32" ht="15.75" customHeight="1">
      <c r="A721" s="158"/>
      <c r="B721" s="201"/>
      <c r="C721" s="158"/>
      <c r="D721" s="158"/>
      <c r="E721" s="158"/>
      <c r="F721" s="202"/>
      <c r="G721" s="202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</row>
    <row r="722" spans="1:32" ht="15.75" customHeight="1">
      <c r="A722" s="158"/>
      <c r="B722" s="201"/>
      <c r="C722" s="158"/>
      <c r="D722" s="158"/>
      <c r="E722" s="158"/>
      <c r="F722" s="202"/>
      <c r="G722" s="202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</row>
    <row r="723" spans="1:32" ht="15.75" customHeight="1">
      <c r="A723" s="158"/>
      <c r="B723" s="201"/>
      <c r="C723" s="158"/>
      <c r="D723" s="158"/>
      <c r="E723" s="158"/>
      <c r="F723" s="202"/>
      <c r="G723" s="202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</row>
    <row r="724" spans="1:32" ht="15.75" customHeight="1">
      <c r="A724" s="158"/>
      <c r="B724" s="201"/>
      <c r="C724" s="158"/>
      <c r="D724" s="158"/>
      <c r="E724" s="158"/>
      <c r="F724" s="202"/>
      <c r="G724" s="202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</row>
    <row r="725" spans="1:32" ht="15.75" customHeight="1">
      <c r="A725" s="158"/>
      <c r="B725" s="201"/>
      <c r="C725" s="158"/>
      <c r="D725" s="158"/>
      <c r="E725" s="158"/>
      <c r="F725" s="202"/>
      <c r="G725" s="202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</row>
    <row r="726" spans="1:32" ht="15.75" customHeight="1">
      <c r="A726" s="158"/>
      <c r="B726" s="201"/>
      <c r="C726" s="158"/>
      <c r="D726" s="158"/>
      <c r="E726" s="158"/>
      <c r="F726" s="202"/>
      <c r="G726" s="202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</row>
    <row r="727" spans="1:32" ht="15.75" customHeight="1">
      <c r="A727" s="158"/>
      <c r="B727" s="201"/>
      <c r="C727" s="158"/>
      <c r="D727" s="158"/>
      <c r="E727" s="158"/>
      <c r="F727" s="202"/>
      <c r="G727" s="202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</row>
    <row r="728" spans="1:32" ht="15.75" customHeight="1">
      <c r="A728" s="158"/>
      <c r="B728" s="201"/>
      <c r="C728" s="158"/>
      <c r="D728" s="158"/>
      <c r="E728" s="158"/>
      <c r="F728" s="202"/>
      <c r="G728" s="202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</row>
    <row r="729" spans="1:32" ht="15.75" customHeight="1">
      <c r="A729" s="158"/>
      <c r="B729" s="201"/>
      <c r="C729" s="158"/>
      <c r="D729" s="158"/>
      <c r="E729" s="158"/>
      <c r="F729" s="202"/>
      <c r="G729" s="202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</row>
    <row r="730" spans="1:32" ht="15.75" customHeight="1">
      <c r="A730" s="158"/>
      <c r="B730" s="201"/>
      <c r="C730" s="158"/>
      <c r="D730" s="158"/>
      <c r="E730" s="158"/>
      <c r="F730" s="202"/>
      <c r="G730" s="202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</row>
    <row r="731" spans="1:32" ht="15.75" customHeight="1">
      <c r="A731" s="158"/>
      <c r="B731" s="201"/>
      <c r="C731" s="158"/>
      <c r="D731" s="158"/>
      <c r="E731" s="158"/>
      <c r="F731" s="202"/>
      <c r="G731" s="202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</row>
    <row r="732" spans="1:32" ht="15.75" customHeight="1">
      <c r="A732" s="158"/>
      <c r="B732" s="201"/>
      <c r="C732" s="158"/>
      <c r="D732" s="158"/>
      <c r="E732" s="158"/>
      <c r="F732" s="202"/>
      <c r="G732" s="202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</row>
    <row r="733" spans="1:32" ht="15.75" customHeight="1">
      <c r="A733" s="158"/>
      <c r="B733" s="201"/>
      <c r="C733" s="158"/>
      <c r="D733" s="158"/>
      <c r="E733" s="158"/>
      <c r="F733" s="202"/>
      <c r="G733" s="202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</row>
    <row r="734" spans="1:32" ht="15.75" customHeight="1">
      <c r="A734" s="158"/>
      <c r="B734" s="201"/>
      <c r="C734" s="158"/>
      <c r="D734" s="158"/>
      <c r="E734" s="158"/>
      <c r="F734" s="202"/>
      <c r="G734" s="202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</row>
    <row r="735" spans="1:32" ht="15.75" customHeight="1">
      <c r="A735" s="158"/>
      <c r="B735" s="201"/>
      <c r="C735" s="158"/>
      <c r="D735" s="158"/>
      <c r="E735" s="158"/>
      <c r="F735" s="202"/>
      <c r="G735" s="202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</row>
    <row r="736" spans="1:32" ht="15.75" customHeight="1">
      <c r="A736" s="158"/>
      <c r="B736" s="201"/>
      <c r="C736" s="158"/>
      <c r="D736" s="158"/>
      <c r="E736" s="158"/>
      <c r="F736" s="202"/>
      <c r="G736" s="202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</row>
    <row r="737" spans="1:32" ht="15.75" customHeight="1">
      <c r="A737" s="158"/>
      <c r="B737" s="201"/>
      <c r="C737" s="158"/>
      <c r="D737" s="158"/>
      <c r="E737" s="158"/>
      <c r="F737" s="202"/>
      <c r="G737" s="202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</row>
    <row r="738" spans="1:32" ht="15.75" customHeight="1">
      <c r="A738" s="158"/>
      <c r="B738" s="201"/>
      <c r="C738" s="158"/>
      <c r="D738" s="158"/>
      <c r="E738" s="158"/>
      <c r="F738" s="202"/>
      <c r="G738" s="202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</row>
    <row r="739" spans="1:32" ht="15.75" customHeight="1">
      <c r="A739" s="158"/>
      <c r="B739" s="201"/>
      <c r="C739" s="158"/>
      <c r="D739" s="158"/>
      <c r="E739" s="158"/>
      <c r="F739" s="202"/>
      <c r="G739" s="202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</row>
    <row r="740" spans="1:32" ht="15.75" customHeight="1">
      <c r="A740" s="158"/>
      <c r="B740" s="201"/>
      <c r="C740" s="158"/>
      <c r="D740" s="158"/>
      <c r="E740" s="158"/>
      <c r="F740" s="202"/>
      <c r="G740" s="202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</row>
    <row r="741" spans="1:32" ht="15.75" customHeight="1">
      <c r="A741" s="158"/>
      <c r="B741" s="201"/>
      <c r="C741" s="158"/>
      <c r="D741" s="158"/>
      <c r="E741" s="158"/>
      <c r="F741" s="202"/>
      <c r="G741" s="202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</row>
    <row r="742" spans="1:32" ht="15.75" customHeight="1">
      <c r="A742" s="158"/>
      <c r="B742" s="201"/>
      <c r="C742" s="158"/>
      <c r="D742" s="158"/>
      <c r="E742" s="158"/>
      <c r="F742" s="202"/>
      <c r="G742" s="202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</row>
    <row r="743" spans="1:32" ht="15.75" customHeight="1">
      <c r="A743" s="158"/>
      <c r="B743" s="201"/>
      <c r="C743" s="158"/>
      <c r="D743" s="158"/>
      <c r="E743" s="158"/>
      <c r="F743" s="202"/>
      <c r="G743" s="202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</row>
    <row r="744" spans="1:32" ht="15.75" customHeight="1">
      <c r="A744" s="158"/>
      <c r="B744" s="201"/>
      <c r="C744" s="158"/>
      <c r="D744" s="158"/>
      <c r="E744" s="158"/>
      <c r="F744" s="202"/>
      <c r="G744" s="202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</row>
    <row r="745" spans="1:32" ht="15.75" customHeight="1">
      <c r="A745" s="158"/>
      <c r="B745" s="201"/>
      <c r="C745" s="158"/>
      <c r="D745" s="158"/>
      <c r="E745" s="158"/>
      <c r="F745" s="202"/>
      <c r="G745" s="202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</row>
    <row r="746" spans="1:32" ht="15.75" customHeight="1">
      <c r="A746" s="158"/>
      <c r="B746" s="201"/>
      <c r="C746" s="158"/>
      <c r="D746" s="158"/>
      <c r="E746" s="158"/>
      <c r="F746" s="202"/>
      <c r="G746" s="202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</row>
    <row r="747" spans="1:32" ht="15.75" customHeight="1">
      <c r="A747" s="158"/>
      <c r="B747" s="201"/>
      <c r="C747" s="158"/>
      <c r="D747" s="158"/>
      <c r="E747" s="158"/>
      <c r="F747" s="202"/>
      <c r="G747" s="202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</row>
    <row r="748" spans="1:32" ht="15.75" customHeight="1">
      <c r="A748" s="158"/>
      <c r="B748" s="201"/>
      <c r="C748" s="158"/>
      <c r="D748" s="158"/>
      <c r="E748" s="158"/>
      <c r="F748" s="202"/>
      <c r="G748" s="202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</row>
    <row r="749" spans="1:32" ht="15.75" customHeight="1">
      <c r="A749" s="158"/>
      <c r="B749" s="201"/>
      <c r="C749" s="158"/>
      <c r="D749" s="158"/>
      <c r="E749" s="158"/>
      <c r="F749" s="202"/>
      <c r="G749" s="202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</row>
    <row r="750" spans="1:32" ht="15.75" customHeight="1">
      <c r="A750" s="158"/>
      <c r="B750" s="201"/>
      <c r="C750" s="158"/>
      <c r="D750" s="158"/>
      <c r="E750" s="158"/>
      <c r="F750" s="202"/>
      <c r="G750" s="202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</row>
    <row r="751" spans="1:32" ht="15.75" customHeight="1">
      <c r="A751" s="158"/>
      <c r="B751" s="201"/>
      <c r="C751" s="158"/>
      <c r="D751" s="158"/>
      <c r="E751" s="158"/>
      <c r="F751" s="202"/>
      <c r="G751" s="202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</row>
    <row r="752" spans="1:32" ht="15.75" customHeight="1">
      <c r="A752" s="158"/>
      <c r="B752" s="201"/>
      <c r="C752" s="158"/>
      <c r="D752" s="158"/>
      <c r="E752" s="158"/>
      <c r="F752" s="202"/>
      <c r="G752" s="202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</row>
    <row r="753" spans="1:32" ht="15.75" customHeight="1">
      <c r="A753" s="158"/>
      <c r="B753" s="201"/>
      <c r="C753" s="158"/>
      <c r="D753" s="158"/>
      <c r="E753" s="158"/>
      <c r="F753" s="202"/>
      <c r="G753" s="202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</row>
    <row r="754" spans="1:32" ht="15.75" customHeight="1">
      <c r="A754" s="158"/>
      <c r="B754" s="201"/>
      <c r="C754" s="158"/>
      <c r="D754" s="158"/>
      <c r="E754" s="158"/>
      <c r="F754" s="202"/>
      <c r="G754" s="202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</row>
    <row r="755" spans="1:32" ht="15.75" customHeight="1">
      <c r="A755" s="158"/>
      <c r="B755" s="201"/>
      <c r="C755" s="158"/>
      <c r="D755" s="158"/>
      <c r="E755" s="158"/>
      <c r="F755" s="202"/>
      <c r="G755" s="202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</row>
    <row r="756" spans="1:32" ht="15.75" customHeight="1">
      <c r="A756" s="158"/>
      <c r="B756" s="201"/>
      <c r="C756" s="158"/>
      <c r="D756" s="158"/>
      <c r="E756" s="158"/>
      <c r="F756" s="202"/>
      <c r="G756" s="202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</row>
    <row r="757" spans="1:32" ht="15.75" customHeight="1">
      <c r="A757" s="158"/>
      <c r="B757" s="201"/>
      <c r="C757" s="158"/>
      <c r="D757" s="158"/>
      <c r="E757" s="158"/>
      <c r="F757" s="202"/>
      <c r="G757" s="202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</row>
    <row r="758" spans="1:32" ht="15.75" customHeight="1">
      <c r="A758" s="158"/>
      <c r="B758" s="201"/>
      <c r="C758" s="158"/>
      <c r="D758" s="158"/>
      <c r="E758" s="158"/>
      <c r="F758" s="202"/>
      <c r="G758" s="202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</row>
    <row r="759" spans="1:32" ht="15.75" customHeight="1">
      <c r="A759" s="158"/>
      <c r="B759" s="201"/>
      <c r="C759" s="158"/>
      <c r="D759" s="158"/>
      <c r="E759" s="158"/>
      <c r="F759" s="202"/>
      <c r="G759" s="202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</row>
    <row r="760" spans="1:32" ht="15.75" customHeight="1">
      <c r="A760" s="158"/>
      <c r="B760" s="201"/>
      <c r="C760" s="158"/>
      <c r="D760" s="158"/>
      <c r="E760" s="158"/>
      <c r="F760" s="202"/>
      <c r="G760" s="202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</row>
    <row r="761" spans="1:32" ht="15.75" customHeight="1">
      <c r="A761" s="158"/>
      <c r="B761" s="201"/>
      <c r="C761" s="158"/>
      <c r="D761" s="158"/>
      <c r="E761" s="158"/>
      <c r="F761" s="202"/>
      <c r="G761" s="202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</row>
    <row r="762" spans="1:32" ht="15.75" customHeight="1">
      <c r="A762" s="158"/>
      <c r="B762" s="201"/>
      <c r="C762" s="158"/>
      <c r="D762" s="158"/>
      <c r="E762" s="158"/>
      <c r="F762" s="202"/>
      <c r="G762" s="202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</row>
    <row r="763" spans="1:32" ht="15.75" customHeight="1">
      <c r="A763" s="158"/>
      <c r="B763" s="201"/>
      <c r="C763" s="158"/>
      <c r="D763" s="158"/>
      <c r="E763" s="158"/>
      <c r="F763" s="202"/>
      <c r="G763" s="202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</row>
    <row r="764" spans="1:32" ht="15.75" customHeight="1">
      <c r="A764" s="158"/>
      <c r="B764" s="201"/>
      <c r="C764" s="158"/>
      <c r="D764" s="158"/>
      <c r="E764" s="158"/>
      <c r="F764" s="202"/>
      <c r="G764" s="202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</row>
    <row r="765" spans="1:32" ht="15.75" customHeight="1">
      <c r="A765" s="158"/>
      <c r="B765" s="201"/>
      <c r="C765" s="158"/>
      <c r="D765" s="158"/>
      <c r="E765" s="158"/>
      <c r="F765" s="202"/>
      <c r="G765" s="202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</row>
    <row r="766" spans="1:32" ht="15.75" customHeight="1">
      <c r="A766" s="158"/>
      <c r="B766" s="201"/>
      <c r="C766" s="158"/>
      <c r="D766" s="158"/>
      <c r="E766" s="158"/>
      <c r="F766" s="202"/>
      <c r="G766" s="202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</row>
    <row r="767" spans="1:32" ht="15.75" customHeight="1">
      <c r="A767" s="158"/>
      <c r="B767" s="201"/>
      <c r="C767" s="158"/>
      <c r="D767" s="158"/>
      <c r="E767" s="158"/>
      <c r="F767" s="202"/>
      <c r="G767" s="202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</row>
    <row r="768" spans="1:32" ht="15.75" customHeight="1">
      <c r="A768" s="158"/>
      <c r="B768" s="201"/>
      <c r="C768" s="158"/>
      <c r="D768" s="158"/>
      <c r="E768" s="158"/>
      <c r="F768" s="202"/>
      <c r="G768" s="202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</row>
    <row r="769" spans="1:32" ht="15.75" customHeight="1">
      <c r="A769" s="158"/>
      <c r="B769" s="201"/>
      <c r="C769" s="158"/>
      <c r="D769" s="158"/>
      <c r="E769" s="158"/>
      <c r="F769" s="202"/>
      <c r="G769" s="202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</row>
    <row r="770" spans="1:32" ht="15.75" customHeight="1">
      <c r="A770" s="158"/>
      <c r="B770" s="201"/>
      <c r="C770" s="158"/>
      <c r="D770" s="158"/>
      <c r="E770" s="158"/>
      <c r="F770" s="202"/>
      <c r="G770" s="202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</row>
    <row r="771" spans="1:32" ht="15.75" customHeight="1">
      <c r="A771" s="158"/>
      <c r="B771" s="201"/>
      <c r="C771" s="158"/>
      <c r="D771" s="158"/>
      <c r="E771" s="158"/>
      <c r="F771" s="202"/>
      <c r="G771" s="202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</row>
    <row r="772" spans="1:32" ht="15.75" customHeight="1">
      <c r="A772" s="158"/>
      <c r="B772" s="201"/>
      <c r="C772" s="158"/>
      <c r="D772" s="158"/>
      <c r="E772" s="158"/>
      <c r="F772" s="202"/>
      <c r="G772" s="202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</row>
    <row r="773" spans="1:32" ht="15.75" customHeight="1">
      <c r="A773" s="158"/>
      <c r="B773" s="201"/>
      <c r="C773" s="158"/>
      <c r="D773" s="158"/>
      <c r="E773" s="158"/>
      <c r="F773" s="202"/>
      <c r="G773" s="202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</row>
    <row r="774" spans="1:32" ht="15.75" customHeight="1">
      <c r="A774" s="158"/>
      <c r="B774" s="201"/>
      <c r="C774" s="158"/>
      <c r="D774" s="158"/>
      <c r="E774" s="158"/>
      <c r="F774" s="202"/>
      <c r="G774" s="202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</row>
    <row r="775" spans="1:32" ht="15.75" customHeight="1">
      <c r="A775" s="158"/>
      <c r="B775" s="201"/>
      <c r="C775" s="158"/>
      <c r="D775" s="158"/>
      <c r="E775" s="158"/>
      <c r="F775" s="202"/>
      <c r="G775" s="202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</row>
    <row r="776" spans="1:32" ht="15.75" customHeight="1">
      <c r="A776" s="158"/>
      <c r="B776" s="201"/>
      <c r="C776" s="158"/>
      <c r="D776" s="158"/>
      <c r="E776" s="158"/>
      <c r="F776" s="202"/>
      <c r="G776" s="202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</row>
    <row r="777" spans="1:32" ht="15.75" customHeight="1">
      <c r="A777" s="158"/>
      <c r="B777" s="201"/>
      <c r="C777" s="158"/>
      <c r="D777" s="158"/>
      <c r="E777" s="158"/>
      <c r="F777" s="202"/>
      <c r="G777" s="202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</row>
    <row r="778" spans="1:32" ht="15.75" customHeight="1">
      <c r="A778" s="158"/>
      <c r="B778" s="201"/>
      <c r="C778" s="158"/>
      <c r="D778" s="158"/>
      <c r="E778" s="158"/>
      <c r="F778" s="202"/>
      <c r="G778" s="202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</row>
    <row r="779" spans="1:32" ht="15.75" customHeight="1">
      <c r="A779" s="158"/>
      <c r="B779" s="201"/>
      <c r="C779" s="158"/>
      <c r="D779" s="158"/>
      <c r="E779" s="158"/>
      <c r="F779" s="202"/>
      <c r="G779" s="202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</row>
    <row r="780" spans="1:32" ht="15.75" customHeight="1">
      <c r="A780" s="158"/>
      <c r="B780" s="201"/>
      <c r="C780" s="158"/>
      <c r="D780" s="158"/>
      <c r="E780" s="158"/>
      <c r="F780" s="202"/>
      <c r="G780" s="202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</row>
    <row r="781" spans="1:32" ht="15.75" customHeight="1">
      <c r="A781" s="158"/>
      <c r="B781" s="201"/>
      <c r="C781" s="158"/>
      <c r="D781" s="158"/>
      <c r="E781" s="158"/>
      <c r="F781" s="202"/>
      <c r="G781" s="202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</row>
    <row r="782" spans="1:32" ht="15.75" customHeight="1">
      <c r="A782" s="158"/>
      <c r="B782" s="201"/>
      <c r="C782" s="158"/>
      <c r="D782" s="158"/>
      <c r="E782" s="158"/>
      <c r="F782" s="202"/>
      <c r="G782" s="202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</row>
    <row r="783" spans="1:32" ht="15.75" customHeight="1">
      <c r="A783" s="158"/>
      <c r="B783" s="201"/>
      <c r="C783" s="158"/>
      <c r="D783" s="158"/>
      <c r="E783" s="158"/>
      <c r="F783" s="202"/>
      <c r="G783" s="202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</row>
    <row r="784" spans="1:32" ht="15.75" customHeight="1">
      <c r="A784" s="158"/>
      <c r="B784" s="201"/>
      <c r="C784" s="158"/>
      <c r="D784" s="158"/>
      <c r="E784" s="158"/>
      <c r="F784" s="202"/>
      <c r="G784" s="202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</row>
    <row r="785" spans="1:32" ht="15.75" customHeight="1">
      <c r="A785" s="158"/>
      <c r="B785" s="201"/>
      <c r="C785" s="158"/>
      <c r="D785" s="158"/>
      <c r="E785" s="158"/>
      <c r="F785" s="202"/>
      <c r="G785" s="202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</row>
    <row r="786" spans="1:32" ht="15.75" customHeight="1">
      <c r="A786" s="158"/>
      <c r="B786" s="201"/>
      <c r="C786" s="158"/>
      <c r="D786" s="158"/>
      <c r="E786" s="158"/>
      <c r="F786" s="202"/>
      <c r="G786" s="202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</row>
    <row r="787" spans="1:32" ht="15.75" customHeight="1">
      <c r="A787" s="158"/>
      <c r="B787" s="201"/>
      <c r="C787" s="158"/>
      <c r="D787" s="158"/>
      <c r="E787" s="158"/>
      <c r="F787" s="202"/>
      <c r="G787" s="202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</row>
    <row r="788" spans="1:32" ht="15.75" customHeight="1">
      <c r="A788" s="158"/>
      <c r="B788" s="201"/>
      <c r="C788" s="158"/>
      <c r="D788" s="158"/>
      <c r="E788" s="158"/>
      <c r="F788" s="202"/>
      <c r="G788" s="202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</row>
    <row r="789" spans="1:32" ht="15.75" customHeight="1">
      <c r="A789" s="158"/>
      <c r="B789" s="201"/>
      <c r="C789" s="158"/>
      <c r="D789" s="158"/>
      <c r="E789" s="158"/>
      <c r="F789" s="202"/>
      <c r="G789" s="202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</row>
    <row r="790" spans="1:32" ht="15.75" customHeight="1">
      <c r="A790" s="158"/>
      <c r="B790" s="201"/>
      <c r="C790" s="158"/>
      <c r="D790" s="158"/>
      <c r="E790" s="158"/>
      <c r="F790" s="202"/>
      <c r="G790" s="202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</row>
    <row r="791" spans="1:32" ht="15.75" customHeight="1">
      <c r="A791" s="158"/>
      <c r="B791" s="201"/>
      <c r="C791" s="158"/>
      <c r="D791" s="158"/>
      <c r="E791" s="158"/>
      <c r="F791" s="202"/>
      <c r="G791" s="202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</row>
    <row r="792" spans="1:32" ht="15.75" customHeight="1">
      <c r="A792" s="158"/>
      <c r="B792" s="201"/>
      <c r="C792" s="158"/>
      <c r="D792" s="158"/>
      <c r="E792" s="158"/>
      <c r="F792" s="202"/>
      <c r="G792" s="202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</row>
    <row r="793" spans="1:32" ht="15.75" customHeight="1">
      <c r="A793" s="158"/>
      <c r="B793" s="201"/>
      <c r="C793" s="158"/>
      <c r="D793" s="158"/>
      <c r="E793" s="158"/>
      <c r="F793" s="202"/>
      <c r="G793" s="202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</row>
    <row r="794" spans="1:32" ht="15.75" customHeight="1">
      <c r="A794" s="158"/>
      <c r="B794" s="201"/>
      <c r="C794" s="158"/>
      <c r="D794" s="158"/>
      <c r="E794" s="158"/>
      <c r="F794" s="202"/>
      <c r="G794" s="202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</row>
    <row r="795" spans="1:32" ht="15.75" customHeight="1">
      <c r="A795" s="158"/>
      <c r="B795" s="201"/>
      <c r="C795" s="158"/>
      <c r="D795" s="158"/>
      <c r="E795" s="158"/>
      <c r="F795" s="202"/>
      <c r="G795" s="202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</row>
    <row r="796" spans="1:32" ht="15.75" customHeight="1">
      <c r="A796" s="158"/>
      <c r="B796" s="201"/>
      <c r="C796" s="158"/>
      <c r="D796" s="158"/>
      <c r="E796" s="158"/>
      <c r="F796" s="202"/>
      <c r="G796" s="202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</row>
    <row r="797" spans="1:32" ht="15.75" customHeight="1">
      <c r="A797" s="158"/>
      <c r="B797" s="201"/>
      <c r="C797" s="158"/>
      <c r="D797" s="158"/>
      <c r="E797" s="158"/>
      <c r="F797" s="202"/>
      <c r="G797" s="202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</row>
    <row r="798" spans="1:32" ht="15.75" customHeight="1">
      <c r="A798" s="158"/>
      <c r="B798" s="201"/>
      <c r="C798" s="158"/>
      <c r="D798" s="158"/>
      <c r="E798" s="158"/>
      <c r="F798" s="202"/>
      <c r="G798" s="202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</row>
    <row r="799" spans="1:32" ht="15.75" customHeight="1">
      <c r="A799" s="158"/>
      <c r="B799" s="201"/>
      <c r="C799" s="158"/>
      <c r="D799" s="158"/>
      <c r="E799" s="158"/>
      <c r="F799" s="202"/>
      <c r="G799" s="202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</row>
    <row r="800" spans="1:32" ht="15.75" customHeight="1">
      <c r="A800" s="158"/>
      <c r="B800" s="201"/>
      <c r="C800" s="158"/>
      <c r="D800" s="158"/>
      <c r="E800" s="158"/>
      <c r="F800" s="202"/>
      <c r="G800" s="202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</row>
    <row r="801" spans="1:32" ht="15.75" customHeight="1">
      <c r="A801" s="158"/>
      <c r="B801" s="201"/>
      <c r="C801" s="158"/>
      <c r="D801" s="158"/>
      <c r="E801" s="158"/>
      <c r="F801" s="202"/>
      <c r="G801" s="202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</row>
    <row r="802" spans="1:32" ht="15.75" customHeight="1">
      <c r="A802" s="158"/>
      <c r="B802" s="201"/>
      <c r="C802" s="158"/>
      <c r="D802" s="158"/>
      <c r="E802" s="158"/>
      <c r="F802" s="202"/>
      <c r="G802" s="202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</row>
    <row r="803" spans="1:32" ht="15.75" customHeight="1">
      <c r="A803" s="158"/>
      <c r="B803" s="201"/>
      <c r="C803" s="158"/>
      <c r="D803" s="158"/>
      <c r="E803" s="158"/>
      <c r="F803" s="202"/>
      <c r="G803" s="202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</row>
    <row r="804" spans="1:32" ht="15.75" customHeight="1">
      <c r="A804" s="158"/>
      <c r="B804" s="201"/>
      <c r="C804" s="158"/>
      <c r="D804" s="158"/>
      <c r="E804" s="158"/>
      <c r="F804" s="202"/>
      <c r="G804" s="202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</row>
    <row r="805" spans="1:32" ht="15.75" customHeight="1">
      <c r="A805" s="158"/>
      <c r="B805" s="201"/>
      <c r="C805" s="158"/>
      <c r="D805" s="158"/>
      <c r="E805" s="158"/>
      <c r="F805" s="202"/>
      <c r="G805" s="202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</row>
    <row r="806" spans="1:32" ht="15.75" customHeight="1">
      <c r="A806" s="158"/>
      <c r="B806" s="201"/>
      <c r="C806" s="158"/>
      <c r="D806" s="158"/>
      <c r="E806" s="158"/>
      <c r="F806" s="202"/>
      <c r="G806" s="202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</row>
    <row r="807" spans="1:32" ht="15.75" customHeight="1">
      <c r="A807" s="158"/>
      <c r="B807" s="201"/>
      <c r="C807" s="158"/>
      <c r="D807" s="158"/>
      <c r="E807" s="158"/>
      <c r="F807" s="202"/>
      <c r="G807" s="202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</row>
    <row r="808" spans="1:32" ht="15.75" customHeight="1">
      <c r="A808" s="158"/>
      <c r="B808" s="201"/>
      <c r="C808" s="158"/>
      <c r="D808" s="158"/>
      <c r="E808" s="158"/>
      <c r="F808" s="202"/>
      <c r="G808" s="202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</row>
    <row r="809" spans="1:32" ht="15.75" customHeight="1">
      <c r="A809" s="158"/>
      <c r="B809" s="201"/>
      <c r="C809" s="158"/>
      <c r="D809" s="158"/>
      <c r="E809" s="158"/>
      <c r="F809" s="202"/>
      <c r="G809" s="202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</row>
    <row r="810" spans="1:32" ht="15.75" customHeight="1">
      <c r="A810" s="158"/>
      <c r="B810" s="201"/>
      <c r="C810" s="158"/>
      <c r="D810" s="158"/>
      <c r="E810" s="158"/>
      <c r="F810" s="202"/>
      <c r="G810" s="202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</row>
    <row r="811" spans="1:32" ht="15.75" customHeight="1">
      <c r="A811" s="158"/>
      <c r="B811" s="201"/>
      <c r="C811" s="158"/>
      <c r="D811" s="158"/>
      <c r="E811" s="158"/>
      <c r="F811" s="202"/>
      <c r="G811" s="202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</row>
    <row r="812" spans="1:32" ht="15.75" customHeight="1">
      <c r="A812" s="158"/>
      <c r="B812" s="201"/>
      <c r="C812" s="158"/>
      <c r="D812" s="158"/>
      <c r="E812" s="158"/>
      <c r="F812" s="202"/>
      <c r="G812" s="202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</row>
    <row r="813" spans="1:32" ht="15.75" customHeight="1">
      <c r="A813" s="158"/>
      <c r="B813" s="201"/>
      <c r="C813" s="158"/>
      <c r="D813" s="158"/>
      <c r="E813" s="158"/>
      <c r="F813" s="202"/>
      <c r="G813" s="202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</row>
    <row r="814" spans="1:32" ht="15.75" customHeight="1">
      <c r="A814" s="158"/>
      <c r="B814" s="201"/>
      <c r="C814" s="158"/>
      <c r="D814" s="158"/>
      <c r="E814" s="158"/>
      <c r="F814" s="202"/>
      <c r="G814" s="202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</row>
    <row r="815" spans="1:32" ht="15.75" customHeight="1">
      <c r="A815" s="158"/>
      <c r="B815" s="201"/>
      <c r="C815" s="158"/>
      <c r="D815" s="158"/>
      <c r="E815" s="158"/>
      <c r="F815" s="202"/>
      <c r="G815" s="202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</row>
    <row r="816" spans="1:32" ht="15.75" customHeight="1">
      <c r="A816" s="158"/>
      <c r="B816" s="201"/>
      <c r="C816" s="158"/>
      <c r="D816" s="158"/>
      <c r="E816" s="158"/>
      <c r="F816" s="202"/>
      <c r="G816" s="202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</row>
    <row r="817" spans="1:32" ht="15.75" customHeight="1">
      <c r="A817" s="158"/>
      <c r="B817" s="201"/>
      <c r="C817" s="158"/>
      <c r="D817" s="158"/>
      <c r="E817" s="158"/>
      <c r="F817" s="202"/>
      <c r="G817" s="202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</row>
    <row r="818" spans="1:32" ht="15.75" customHeight="1">
      <c r="A818" s="158"/>
      <c r="B818" s="201"/>
      <c r="C818" s="158"/>
      <c r="D818" s="158"/>
      <c r="E818" s="158"/>
      <c r="F818" s="202"/>
      <c r="G818" s="202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</row>
    <row r="819" spans="1:32" ht="15.75" customHeight="1">
      <c r="A819" s="158"/>
      <c r="B819" s="201"/>
      <c r="C819" s="158"/>
      <c r="D819" s="158"/>
      <c r="E819" s="158"/>
      <c r="F819" s="202"/>
      <c r="G819" s="202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</row>
    <row r="820" spans="1:32" ht="15.75" customHeight="1">
      <c r="A820" s="158"/>
      <c r="B820" s="201"/>
      <c r="C820" s="158"/>
      <c r="D820" s="158"/>
      <c r="E820" s="158"/>
      <c r="F820" s="202"/>
      <c r="G820" s="202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</row>
    <row r="821" spans="1:32" ht="15.75" customHeight="1">
      <c r="A821" s="158"/>
      <c r="B821" s="201"/>
      <c r="C821" s="158"/>
      <c r="D821" s="158"/>
      <c r="E821" s="158"/>
      <c r="F821" s="202"/>
      <c r="G821" s="202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</row>
    <row r="822" spans="1:32" ht="15.75" customHeight="1">
      <c r="A822" s="158"/>
      <c r="B822" s="201"/>
      <c r="C822" s="158"/>
      <c r="D822" s="158"/>
      <c r="E822" s="158"/>
      <c r="F822" s="202"/>
      <c r="G822" s="202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</row>
    <row r="823" spans="1:32" ht="15.75" customHeight="1">
      <c r="A823" s="158"/>
      <c r="B823" s="201"/>
      <c r="C823" s="158"/>
      <c r="D823" s="158"/>
      <c r="E823" s="158"/>
      <c r="F823" s="202"/>
      <c r="G823" s="202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</row>
    <row r="824" spans="1:32" ht="15.75" customHeight="1">
      <c r="A824" s="158"/>
      <c r="B824" s="201"/>
      <c r="C824" s="158"/>
      <c r="D824" s="158"/>
      <c r="E824" s="158"/>
      <c r="F824" s="202"/>
      <c r="G824" s="202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</row>
    <row r="825" spans="1:32" ht="15.75" customHeight="1">
      <c r="A825" s="158"/>
      <c r="B825" s="201"/>
      <c r="C825" s="158"/>
      <c r="D825" s="158"/>
      <c r="E825" s="158"/>
      <c r="F825" s="202"/>
      <c r="G825" s="202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</row>
    <row r="826" spans="1:32" ht="15.75" customHeight="1">
      <c r="A826" s="158"/>
      <c r="B826" s="201"/>
      <c r="C826" s="158"/>
      <c r="D826" s="158"/>
      <c r="E826" s="158"/>
      <c r="F826" s="202"/>
      <c r="G826" s="202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</row>
    <row r="827" spans="1:32" ht="15.75" customHeight="1">
      <c r="A827" s="158"/>
      <c r="B827" s="201"/>
      <c r="C827" s="158"/>
      <c r="D827" s="158"/>
      <c r="E827" s="158"/>
      <c r="F827" s="202"/>
      <c r="G827" s="202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</row>
    <row r="828" spans="1:32" ht="15.75" customHeight="1">
      <c r="A828" s="158"/>
      <c r="B828" s="201"/>
      <c r="C828" s="158"/>
      <c r="D828" s="158"/>
      <c r="E828" s="158"/>
      <c r="F828" s="202"/>
      <c r="G828" s="202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</row>
    <row r="829" spans="1:32" ht="15.75" customHeight="1">
      <c r="A829" s="158"/>
      <c r="B829" s="201"/>
      <c r="C829" s="158"/>
      <c r="D829" s="158"/>
      <c r="E829" s="158"/>
      <c r="F829" s="202"/>
      <c r="G829" s="202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</row>
    <row r="830" spans="1:32" ht="15.75" customHeight="1">
      <c r="A830" s="158"/>
      <c r="B830" s="201"/>
      <c r="C830" s="158"/>
      <c r="D830" s="158"/>
      <c r="E830" s="158"/>
      <c r="F830" s="202"/>
      <c r="G830" s="202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</row>
    <row r="831" spans="1:32" ht="15.75" customHeight="1">
      <c r="A831" s="158"/>
      <c r="B831" s="201"/>
      <c r="C831" s="158"/>
      <c r="D831" s="158"/>
      <c r="E831" s="158"/>
      <c r="F831" s="202"/>
      <c r="G831" s="202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</row>
    <row r="832" spans="1:32" ht="15.75" customHeight="1">
      <c r="A832" s="158"/>
      <c r="B832" s="201"/>
      <c r="C832" s="158"/>
      <c r="D832" s="158"/>
      <c r="E832" s="158"/>
      <c r="F832" s="202"/>
      <c r="G832" s="202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</row>
    <row r="833" spans="1:32" ht="15.75" customHeight="1">
      <c r="A833" s="158"/>
      <c r="B833" s="201"/>
      <c r="C833" s="158"/>
      <c r="D833" s="158"/>
      <c r="E833" s="158"/>
      <c r="F833" s="202"/>
      <c r="G833" s="202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</row>
    <row r="834" spans="1:32" ht="15.75" customHeight="1">
      <c r="A834" s="158"/>
      <c r="B834" s="201"/>
      <c r="C834" s="158"/>
      <c r="D834" s="158"/>
      <c r="E834" s="158"/>
      <c r="F834" s="202"/>
      <c r="G834" s="202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</row>
    <row r="835" spans="1:32" ht="15.75" customHeight="1">
      <c r="A835" s="158"/>
      <c r="B835" s="201"/>
      <c r="C835" s="158"/>
      <c r="D835" s="158"/>
      <c r="E835" s="158"/>
      <c r="F835" s="202"/>
      <c r="G835" s="202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</row>
    <row r="836" spans="1:32" ht="15.75" customHeight="1">
      <c r="A836" s="158"/>
      <c r="B836" s="201"/>
      <c r="C836" s="158"/>
      <c r="D836" s="158"/>
      <c r="E836" s="158"/>
      <c r="F836" s="202"/>
      <c r="G836" s="202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</row>
    <row r="837" spans="1:32" ht="15.75" customHeight="1">
      <c r="A837" s="158"/>
      <c r="B837" s="201"/>
      <c r="C837" s="158"/>
      <c r="D837" s="158"/>
      <c r="E837" s="158"/>
      <c r="F837" s="202"/>
      <c r="G837" s="202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</row>
    <row r="838" spans="1:32" ht="15.75" customHeight="1">
      <c r="A838" s="158"/>
      <c r="B838" s="201"/>
      <c r="C838" s="158"/>
      <c r="D838" s="158"/>
      <c r="E838" s="158"/>
      <c r="F838" s="202"/>
      <c r="G838" s="202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</row>
    <row r="839" spans="1:32" ht="15.75" customHeight="1">
      <c r="A839" s="158"/>
      <c r="B839" s="201"/>
      <c r="C839" s="158"/>
      <c r="D839" s="158"/>
      <c r="E839" s="158"/>
      <c r="F839" s="202"/>
      <c r="G839" s="202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</row>
    <row r="840" spans="1:32" ht="15.75" customHeight="1">
      <c r="A840" s="158"/>
      <c r="B840" s="201"/>
      <c r="C840" s="158"/>
      <c r="D840" s="158"/>
      <c r="E840" s="158"/>
      <c r="F840" s="202"/>
      <c r="G840" s="202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</row>
    <row r="841" spans="1:32" ht="15.75" customHeight="1">
      <c r="A841" s="158"/>
      <c r="B841" s="201"/>
      <c r="C841" s="158"/>
      <c r="D841" s="158"/>
      <c r="E841" s="158"/>
      <c r="F841" s="202"/>
      <c r="G841" s="202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</row>
    <row r="842" spans="1:32" ht="15.75" customHeight="1">
      <c r="A842" s="158"/>
      <c r="B842" s="201"/>
      <c r="C842" s="158"/>
      <c r="D842" s="158"/>
      <c r="E842" s="158"/>
      <c r="F842" s="202"/>
      <c r="G842" s="202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</row>
    <row r="843" spans="1:32" ht="15.75" customHeight="1">
      <c r="A843" s="158"/>
      <c r="B843" s="201"/>
      <c r="C843" s="158"/>
      <c r="D843" s="158"/>
      <c r="E843" s="158"/>
      <c r="F843" s="202"/>
      <c r="G843" s="202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</row>
    <row r="844" spans="1:32" ht="15.75" customHeight="1">
      <c r="A844" s="158"/>
      <c r="B844" s="201"/>
      <c r="C844" s="158"/>
      <c r="D844" s="158"/>
      <c r="E844" s="158"/>
      <c r="F844" s="202"/>
      <c r="G844" s="202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</row>
    <row r="845" spans="1:32" ht="15.75" customHeight="1">
      <c r="A845" s="158"/>
      <c r="B845" s="201"/>
      <c r="C845" s="158"/>
      <c r="D845" s="158"/>
      <c r="E845" s="158"/>
      <c r="F845" s="202"/>
      <c r="G845" s="202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</row>
    <row r="846" spans="1:32" ht="15.75" customHeight="1">
      <c r="A846" s="158"/>
      <c r="B846" s="201"/>
      <c r="C846" s="158"/>
      <c r="D846" s="158"/>
      <c r="E846" s="158"/>
      <c r="F846" s="202"/>
      <c r="G846" s="202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</row>
    <row r="847" spans="1:32" ht="15.75" customHeight="1">
      <c r="A847" s="158"/>
      <c r="B847" s="201"/>
      <c r="C847" s="158"/>
      <c r="D847" s="158"/>
      <c r="E847" s="158"/>
      <c r="F847" s="202"/>
      <c r="G847" s="202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</row>
    <row r="848" spans="1:32" ht="15.75" customHeight="1">
      <c r="A848" s="158"/>
      <c r="B848" s="201"/>
      <c r="C848" s="158"/>
      <c r="D848" s="158"/>
      <c r="E848" s="158"/>
      <c r="F848" s="202"/>
      <c r="G848" s="202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</row>
    <row r="849" spans="1:32" ht="15.75" customHeight="1">
      <c r="A849" s="158"/>
      <c r="B849" s="201"/>
      <c r="C849" s="158"/>
      <c r="D849" s="158"/>
      <c r="E849" s="158"/>
      <c r="F849" s="202"/>
      <c r="G849" s="202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</row>
    <row r="850" spans="1:32" ht="15.75" customHeight="1">
      <c r="A850" s="158"/>
      <c r="B850" s="201"/>
      <c r="C850" s="158"/>
      <c r="D850" s="158"/>
      <c r="E850" s="158"/>
      <c r="F850" s="202"/>
      <c r="G850" s="202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</row>
    <row r="851" spans="1:32" ht="15.75" customHeight="1">
      <c r="A851" s="158"/>
      <c r="B851" s="201"/>
      <c r="C851" s="158"/>
      <c r="D851" s="158"/>
      <c r="E851" s="158"/>
      <c r="F851" s="202"/>
      <c r="G851" s="202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</row>
    <row r="852" spans="1:32" ht="15.75" customHeight="1">
      <c r="A852" s="158"/>
      <c r="B852" s="201"/>
      <c r="C852" s="158"/>
      <c r="D852" s="158"/>
      <c r="E852" s="158"/>
      <c r="F852" s="202"/>
      <c r="G852" s="202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</row>
    <row r="853" spans="1:32" ht="15.75" customHeight="1">
      <c r="A853" s="158"/>
      <c r="B853" s="201"/>
      <c r="C853" s="158"/>
      <c r="D853" s="158"/>
      <c r="E853" s="158"/>
      <c r="F853" s="202"/>
      <c r="G853" s="202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</row>
    <row r="854" spans="1:32" ht="15.75" customHeight="1">
      <c r="A854" s="158"/>
      <c r="B854" s="201"/>
      <c r="C854" s="158"/>
      <c r="D854" s="158"/>
      <c r="E854" s="158"/>
      <c r="F854" s="202"/>
      <c r="G854" s="202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</row>
    <row r="855" spans="1:32" ht="15.75" customHeight="1">
      <c r="A855" s="158"/>
      <c r="B855" s="201"/>
      <c r="C855" s="158"/>
      <c r="D855" s="158"/>
      <c r="E855" s="158"/>
      <c r="F855" s="202"/>
      <c r="G855" s="202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</row>
    <row r="856" spans="1:32" ht="15.75" customHeight="1">
      <c r="A856" s="158"/>
      <c r="B856" s="201"/>
      <c r="C856" s="158"/>
      <c r="D856" s="158"/>
      <c r="E856" s="158"/>
      <c r="F856" s="202"/>
      <c r="G856" s="202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</row>
    <row r="857" spans="1:32" ht="15.75" customHeight="1">
      <c r="A857" s="158"/>
      <c r="B857" s="201"/>
      <c r="C857" s="158"/>
      <c r="D857" s="158"/>
      <c r="E857" s="158"/>
      <c r="F857" s="202"/>
      <c r="G857" s="202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</row>
    <row r="858" spans="1:32" ht="15.75" customHeight="1">
      <c r="A858" s="158"/>
      <c r="B858" s="201"/>
      <c r="C858" s="158"/>
      <c r="D858" s="158"/>
      <c r="E858" s="158"/>
      <c r="F858" s="202"/>
      <c r="G858" s="202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</row>
    <row r="859" spans="1:32" ht="15.75" customHeight="1">
      <c r="A859" s="158"/>
      <c r="B859" s="201"/>
      <c r="C859" s="158"/>
      <c r="D859" s="158"/>
      <c r="E859" s="158"/>
      <c r="F859" s="202"/>
      <c r="G859" s="202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</row>
    <row r="860" spans="1:32" ht="15.75" customHeight="1">
      <c r="A860" s="158"/>
      <c r="B860" s="201"/>
      <c r="C860" s="158"/>
      <c r="D860" s="158"/>
      <c r="E860" s="158"/>
      <c r="F860" s="202"/>
      <c r="G860" s="202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</row>
    <row r="861" spans="1:32" ht="15.75" customHeight="1">
      <c r="A861" s="158"/>
      <c r="B861" s="201"/>
      <c r="C861" s="158"/>
      <c r="D861" s="158"/>
      <c r="E861" s="158"/>
      <c r="F861" s="202"/>
      <c r="G861" s="202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</row>
    <row r="862" spans="1:32" ht="15.75" customHeight="1">
      <c r="A862" s="158"/>
      <c r="B862" s="201"/>
      <c r="C862" s="158"/>
      <c r="D862" s="158"/>
      <c r="E862" s="158"/>
      <c r="F862" s="202"/>
      <c r="G862" s="202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</row>
    <row r="863" spans="1:32" ht="15.75" customHeight="1">
      <c r="A863" s="158"/>
      <c r="B863" s="201"/>
      <c r="C863" s="158"/>
      <c r="D863" s="158"/>
      <c r="E863" s="158"/>
      <c r="F863" s="202"/>
      <c r="G863" s="202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</row>
    <row r="864" spans="1:32" ht="15.75" customHeight="1">
      <c r="A864" s="158"/>
      <c r="B864" s="201"/>
      <c r="C864" s="158"/>
      <c r="D864" s="158"/>
      <c r="E864" s="158"/>
      <c r="F864" s="202"/>
      <c r="G864" s="202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</row>
    <row r="865" spans="1:32" ht="15.75" customHeight="1">
      <c r="A865" s="158"/>
      <c r="B865" s="201"/>
      <c r="C865" s="158"/>
      <c r="D865" s="158"/>
      <c r="E865" s="158"/>
      <c r="F865" s="202"/>
      <c r="G865" s="202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</row>
    <row r="866" spans="1:32" ht="15.75" customHeight="1">
      <c r="A866" s="158"/>
      <c r="B866" s="201"/>
      <c r="C866" s="158"/>
      <c r="D866" s="158"/>
      <c r="E866" s="158"/>
      <c r="F866" s="202"/>
      <c r="G866" s="202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</row>
    <row r="867" spans="1:32" ht="15.75" customHeight="1">
      <c r="A867" s="158"/>
      <c r="B867" s="201"/>
      <c r="C867" s="158"/>
      <c r="D867" s="158"/>
      <c r="E867" s="158"/>
      <c r="F867" s="202"/>
      <c r="G867" s="202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</row>
    <row r="868" spans="1:32" ht="15.75" customHeight="1">
      <c r="A868" s="158"/>
      <c r="B868" s="201"/>
      <c r="C868" s="158"/>
      <c r="D868" s="158"/>
      <c r="E868" s="158"/>
      <c r="F868" s="202"/>
      <c r="G868" s="202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</row>
    <row r="869" spans="1:32" ht="15.75" customHeight="1">
      <c r="A869" s="158"/>
      <c r="B869" s="201"/>
      <c r="C869" s="158"/>
      <c r="D869" s="158"/>
      <c r="E869" s="158"/>
      <c r="F869" s="202"/>
      <c r="G869" s="202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</row>
    <row r="870" spans="1:32" ht="15.75" customHeight="1">
      <c r="A870" s="158"/>
      <c r="B870" s="201"/>
      <c r="C870" s="158"/>
      <c r="D870" s="158"/>
      <c r="E870" s="158"/>
      <c r="F870" s="202"/>
      <c r="G870" s="202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</row>
    <row r="871" spans="1:32" ht="15.75" customHeight="1">
      <c r="A871" s="158"/>
      <c r="B871" s="201"/>
      <c r="C871" s="158"/>
      <c r="D871" s="158"/>
      <c r="E871" s="158"/>
      <c r="F871" s="202"/>
      <c r="G871" s="202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</row>
    <row r="872" spans="1:32" ht="15.75" customHeight="1">
      <c r="A872" s="158"/>
      <c r="B872" s="201"/>
      <c r="C872" s="158"/>
      <c r="D872" s="158"/>
      <c r="E872" s="158"/>
      <c r="F872" s="202"/>
      <c r="G872" s="202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</row>
    <row r="873" spans="1:32" ht="15.75" customHeight="1">
      <c r="A873" s="158"/>
      <c r="B873" s="201"/>
      <c r="C873" s="158"/>
      <c r="D873" s="158"/>
      <c r="E873" s="158"/>
      <c r="F873" s="202"/>
      <c r="G873" s="202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</row>
    <row r="874" spans="1:32" ht="15.75" customHeight="1">
      <c r="A874" s="158"/>
      <c r="B874" s="201"/>
      <c r="C874" s="158"/>
      <c r="D874" s="158"/>
      <c r="E874" s="158"/>
      <c r="F874" s="202"/>
      <c r="G874" s="202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</row>
    <row r="875" spans="1:32" ht="15.75" customHeight="1">
      <c r="A875" s="158"/>
      <c r="B875" s="201"/>
      <c r="C875" s="158"/>
      <c r="D875" s="158"/>
      <c r="E875" s="158"/>
      <c r="F875" s="202"/>
      <c r="G875" s="202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</row>
    <row r="876" spans="1:32" ht="15.75" customHeight="1">
      <c r="A876" s="158"/>
      <c r="B876" s="201"/>
      <c r="C876" s="158"/>
      <c r="D876" s="158"/>
      <c r="E876" s="158"/>
      <c r="F876" s="202"/>
      <c r="G876" s="202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</row>
    <row r="877" spans="1:32" ht="15.75" customHeight="1">
      <c r="A877" s="158"/>
      <c r="B877" s="201"/>
      <c r="C877" s="158"/>
      <c r="D877" s="158"/>
      <c r="E877" s="158"/>
      <c r="F877" s="202"/>
      <c r="G877" s="202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</row>
    <row r="878" spans="1:32" ht="15.75" customHeight="1">
      <c r="A878" s="158"/>
      <c r="B878" s="201"/>
      <c r="C878" s="158"/>
      <c r="D878" s="158"/>
      <c r="E878" s="158"/>
      <c r="F878" s="202"/>
      <c r="G878" s="202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</row>
    <row r="879" spans="1:32" ht="15.75" customHeight="1">
      <c r="A879" s="158"/>
      <c r="B879" s="201"/>
      <c r="C879" s="158"/>
      <c r="D879" s="158"/>
      <c r="E879" s="158"/>
      <c r="F879" s="202"/>
      <c r="G879" s="202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</row>
    <row r="880" spans="1:32" ht="15.75" customHeight="1">
      <c r="A880" s="158"/>
      <c r="B880" s="201"/>
      <c r="C880" s="158"/>
      <c r="D880" s="158"/>
      <c r="E880" s="158"/>
      <c r="F880" s="202"/>
      <c r="G880" s="202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</row>
    <row r="881" spans="1:32" ht="15.75" customHeight="1">
      <c r="A881" s="158"/>
      <c r="B881" s="201"/>
      <c r="C881" s="158"/>
      <c r="D881" s="158"/>
      <c r="E881" s="158"/>
      <c r="F881" s="202"/>
      <c r="G881" s="202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</row>
    <row r="882" spans="1:32" ht="15.75" customHeight="1">
      <c r="A882" s="158"/>
      <c r="B882" s="201"/>
      <c r="C882" s="158"/>
      <c r="D882" s="158"/>
      <c r="E882" s="158"/>
      <c r="F882" s="202"/>
      <c r="G882" s="202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</row>
    <row r="883" spans="1:32" ht="15.75" customHeight="1">
      <c r="A883" s="158"/>
      <c r="B883" s="201"/>
      <c r="C883" s="158"/>
      <c r="D883" s="158"/>
      <c r="E883" s="158"/>
      <c r="F883" s="202"/>
      <c r="G883" s="202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</row>
    <row r="884" spans="1:32" ht="15.75" customHeight="1">
      <c r="A884" s="158"/>
      <c r="B884" s="201"/>
      <c r="C884" s="158"/>
      <c r="D884" s="158"/>
      <c r="E884" s="158"/>
      <c r="F884" s="202"/>
      <c r="G884" s="202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</row>
    <row r="885" spans="1:32" ht="15.75" customHeight="1">
      <c r="A885" s="158"/>
      <c r="B885" s="201"/>
      <c r="C885" s="158"/>
      <c r="D885" s="158"/>
      <c r="E885" s="158"/>
      <c r="F885" s="202"/>
      <c r="G885" s="202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</row>
    <row r="886" spans="1:32" ht="15.75" customHeight="1">
      <c r="A886" s="158"/>
      <c r="B886" s="201"/>
      <c r="C886" s="158"/>
      <c r="D886" s="158"/>
      <c r="E886" s="158"/>
      <c r="F886" s="202"/>
      <c r="G886" s="202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</row>
    <row r="887" spans="1:32" ht="15.75" customHeight="1">
      <c r="A887" s="158"/>
      <c r="B887" s="201"/>
      <c r="C887" s="158"/>
      <c r="D887" s="158"/>
      <c r="E887" s="158"/>
      <c r="F887" s="202"/>
      <c r="G887" s="202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</row>
    <row r="888" spans="1:32" ht="15.75" customHeight="1">
      <c r="A888" s="158"/>
      <c r="B888" s="201"/>
      <c r="C888" s="158"/>
      <c r="D888" s="158"/>
      <c r="E888" s="158"/>
      <c r="F888" s="202"/>
      <c r="G888" s="202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</row>
    <row r="889" spans="1:32" ht="15.75" customHeight="1">
      <c r="A889" s="158"/>
      <c r="B889" s="201"/>
      <c r="C889" s="158"/>
      <c r="D889" s="158"/>
      <c r="E889" s="158"/>
      <c r="F889" s="202"/>
      <c r="G889" s="202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</row>
    <row r="890" spans="1:32" ht="15.75" customHeight="1">
      <c r="A890" s="158"/>
      <c r="B890" s="201"/>
      <c r="C890" s="158"/>
      <c r="D890" s="158"/>
      <c r="E890" s="158"/>
      <c r="F890" s="202"/>
      <c r="G890" s="202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</row>
    <row r="891" spans="1:32" ht="15.75" customHeight="1">
      <c r="A891" s="158"/>
      <c r="B891" s="201"/>
      <c r="C891" s="158"/>
      <c r="D891" s="158"/>
      <c r="E891" s="158"/>
      <c r="F891" s="202"/>
      <c r="G891" s="202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</row>
    <row r="892" spans="1:32" ht="15.75" customHeight="1">
      <c r="A892" s="158"/>
      <c r="B892" s="201"/>
      <c r="C892" s="158"/>
      <c r="D892" s="158"/>
      <c r="E892" s="158"/>
      <c r="F892" s="202"/>
      <c r="G892" s="202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</row>
    <row r="893" spans="1:32" ht="15.75" customHeight="1">
      <c r="A893" s="158"/>
      <c r="B893" s="201"/>
      <c r="C893" s="158"/>
      <c r="D893" s="158"/>
      <c r="E893" s="158"/>
      <c r="F893" s="202"/>
      <c r="G893" s="202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</row>
    <row r="894" spans="1:32" ht="15.75" customHeight="1">
      <c r="A894" s="158"/>
      <c r="B894" s="201"/>
      <c r="C894" s="158"/>
      <c r="D894" s="158"/>
      <c r="E894" s="158"/>
      <c r="F894" s="202"/>
      <c r="G894" s="202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</row>
    <row r="895" spans="1:32" ht="15.75" customHeight="1">
      <c r="A895" s="158"/>
      <c r="B895" s="201"/>
      <c r="C895" s="158"/>
      <c r="D895" s="158"/>
      <c r="E895" s="158"/>
      <c r="F895" s="202"/>
      <c r="G895" s="202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</row>
    <row r="896" spans="1:32" ht="15.75" customHeight="1">
      <c r="A896" s="158"/>
      <c r="B896" s="201"/>
      <c r="C896" s="158"/>
      <c r="D896" s="158"/>
      <c r="E896" s="158"/>
      <c r="F896" s="202"/>
      <c r="G896" s="202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</row>
    <row r="897" spans="1:32" ht="15.75" customHeight="1">
      <c r="A897" s="158"/>
      <c r="B897" s="201"/>
      <c r="C897" s="158"/>
      <c r="D897" s="158"/>
      <c r="E897" s="158"/>
      <c r="F897" s="202"/>
      <c r="G897" s="202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</row>
    <row r="898" spans="1:32" ht="15.75" customHeight="1">
      <c r="A898" s="158"/>
      <c r="B898" s="201"/>
      <c r="C898" s="158"/>
      <c r="D898" s="158"/>
      <c r="E898" s="158"/>
      <c r="F898" s="202"/>
      <c r="G898" s="202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</row>
    <row r="899" spans="1:32" ht="15.75" customHeight="1">
      <c r="A899" s="158"/>
      <c r="B899" s="201"/>
      <c r="C899" s="158"/>
      <c r="D899" s="158"/>
      <c r="E899" s="158"/>
      <c r="F899" s="202"/>
      <c r="G899" s="202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</row>
    <row r="900" spans="1:32" ht="15.75" customHeight="1">
      <c r="A900" s="158"/>
      <c r="B900" s="201"/>
      <c r="C900" s="158"/>
      <c r="D900" s="158"/>
      <c r="E900" s="158"/>
      <c r="F900" s="202"/>
      <c r="G900" s="202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</row>
    <row r="901" spans="1:32" ht="15.75" customHeight="1">
      <c r="A901" s="158"/>
      <c r="B901" s="201"/>
      <c r="C901" s="158"/>
      <c r="D901" s="158"/>
      <c r="E901" s="158"/>
      <c r="F901" s="202"/>
      <c r="G901" s="202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</row>
    <row r="902" spans="1:32" ht="15.75" customHeight="1">
      <c r="A902" s="158"/>
      <c r="B902" s="201"/>
      <c r="C902" s="158"/>
      <c r="D902" s="158"/>
      <c r="E902" s="158"/>
      <c r="F902" s="202"/>
      <c r="G902" s="202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</row>
    <row r="903" spans="1:32" ht="15.75" customHeight="1">
      <c r="A903" s="158"/>
      <c r="B903" s="201"/>
      <c r="C903" s="158"/>
      <c r="D903" s="158"/>
      <c r="E903" s="158"/>
      <c r="F903" s="202"/>
      <c r="G903" s="202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</row>
    <row r="904" spans="1:32" ht="15.75" customHeight="1">
      <c r="A904" s="158"/>
      <c r="B904" s="201"/>
      <c r="C904" s="158"/>
      <c r="D904" s="158"/>
      <c r="E904" s="158"/>
      <c r="F904" s="202"/>
      <c r="G904" s="202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</row>
    <row r="905" spans="1:32" ht="15.75" customHeight="1">
      <c r="A905" s="158"/>
      <c r="B905" s="201"/>
      <c r="C905" s="158"/>
      <c r="D905" s="158"/>
      <c r="E905" s="158"/>
      <c r="F905" s="202"/>
      <c r="G905" s="202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</row>
    <row r="906" spans="1:32" ht="15.75" customHeight="1">
      <c r="A906" s="158"/>
      <c r="B906" s="201"/>
      <c r="C906" s="158"/>
      <c r="D906" s="158"/>
      <c r="E906" s="158"/>
      <c r="F906" s="202"/>
      <c r="G906" s="202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</row>
    <row r="907" spans="1:32" ht="15.75" customHeight="1">
      <c r="A907" s="158"/>
      <c r="B907" s="201"/>
      <c r="C907" s="158"/>
      <c r="D907" s="158"/>
      <c r="E907" s="158"/>
      <c r="F907" s="202"/>
      <c r="G907" s="202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</row>
    <row r="908" spans="1:32" ht="15.75" customHeight="1">
      <c r="A908" s="158"/>
      <c r="B908" s="201"/>
      <c r="C908" s="158"/>
      <c r="D908" s="158"/>
      <c r="E908" s="158"/>
      <c r="F908" s="202"/>
      <c r="G908" s="202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</row>
    <row r="909" spans="1:32" ht="15.75" customHeight="1">
      <c r="A909" s="158"/>
      <c r="B909" s="201"/>
      <c r="C909" s="158"/>
      <c r="D909" s="158"/>
      <c r="E909" s="158"/>
      <c r="F909" s="202"/>
      <c r="G909" s="202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</row>
    <row r="910" spans="1:32" ht="15.75" customHeight="1">
      <c r="A910" s="158"/>
      <c r="B910" s="201"/>
      <c r="C910" s="158"/>
      <c r="D910" s="158"/>
      <c r="E910" s="158"/>
      <c r="F910" s="202"/>
      <c r="G910" s="202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</row>
    <row r="911" spans="1:32" ht="15.75" customHeight="1">
      <c r="A911" s="158"/>
      <c r="B911" s="201"/>
      <c r="C911" s="158"/>
      <c r="D911" s="158"/>
      <c r="E911" s="158"/>
      <c r="F911" s="202"/>
      <c r="G911" s="202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</row>
    <row r="912" spans="1:32" ht="15.75" customHeight="1">
      <c r="A912" s="158"/>
      <c r="B912" s="201"/>
      <c r="C912" s="158"/>
      <c r="D912" s="158"/>
      <c r="E912" s="158"/>
      <c r="F912" s="202"/>
      <c r="G912" s="202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</row>
    <row r="913" spans="1:32" ht="15.75" customHeight="1">
      <c r="A913" s="158"/>
      <c r="B913" s="201"/>
      <c r="C913" s="158"/>
      <c r="D913" s="158"/>
      <c r="E913" s="158"/>
      <c r="F913" s="202"/>
      <c r="G913" s="202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</row>
    <row r="914" spans="1:32" ht="15.75" customHeight="1">
      <c r="A914" s="158"/>
      <c r="B914" s="201"/>
      <c r="C914" s="158"/>
      <c r="D914" s="158"/>
      <c r="E914" s="158"/>
      <c r="F914" s="202"/>
      <c r="G914" s="202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</row>
    <row r="915" spans="1:32" ht="15.75" customHeight="1">
      <c r="A915" s="158"/>
      <c r="B915" s="201"/>
      <c r="C915" s="158"/>
      <c r="D915" s="158"/>
      <c r="E915" s="158"/>
      <c r="F915" s="202"/>
      <c r="G915" s="202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</row>
    <row r="916" spans="1:32" ht="15.75" customHeight="1">
      <c r="A916" s="158"/>
      <c r="B916" s="201"/>
      <c r="C916" s="158"/>
      <c r="D916" s="158"/>
      <c r="E916" s="158"/>
      <c r="F916" s="202"/>
      <c r="G916" s="202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</row>
    <row r="917" spans="1:32" ht="15.75" customHeight="1">
      <c r="A917" s="158"/>
      <c r="B917" s="201"/>
      <c r="C917" s="158"/>
      <c r="D917" s="158"/>
      <c r="E917" s="158"/>
      <c r="F917" s="202"/>
      <c r="G917" s="202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</row>
    <row r="918" spans="1:32" ht="15.75" customHeight="1">
      <c r="A918" s="158"/>
      <c r="B918" s="201"/>
      <c r="C918" s="158"/>
      <c r="D918" s="158"/>
      <c r="E918" s="158"/>
      <c r="F918" s="202"/>
      <c r="G918" s="202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</row>
    <row r="919" spans="1:32" ht="15.75" customHeight="1">
      <c r="A919" s="158"/>
      <c r="B919" s="201"/>
      <c r="C919" s="158"/>
      <c r="D919" s="158"/>
      <c r="E919" s="158"/>
      <c r="F919" s="202"/>
      <c r="G919" s="202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</row>
    <row r="920" spans="1:32" ht="15.75" customHeight="1">
      <c r="A920" s="158"/>
      <c r="B920" s="201"/>
      <c r="C920" s="158"/>
      <c r="D920" s="158"/>
      <c r="E920" s="158"/>
      <c r="F920" s="202"/>
      <c r="G920" s="202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</row>
    <row r="921" spans="1:32" ht="15.75" customHeight="1">
      <c r="A921" s="158"/>
      <c r="B921" s="201"/>
      <c r="C921" s="158"/>
      <c r="D921" s="158"/>
      <c r="E921" s="158"/>
      <c r="F921" s="202"/>
      <c r="G921" s="202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</row>
    <row r="922" spans="1:32" ht="15.75" customHeight="1">
      <c r="A922" s="158"/>
      <c r="B922" s="201"/>
      <c r="C922" s="158"/>
      <c r="D922" s="158"/>
      <c r="E922" s="158"/>
      <c r="F922" s="202"/>
      <c r="G922" s="202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</row>
    <row r="923" spans="1:32" ht="15.75" customHeight="1">
      <c r="A923" s="158"/>
      <c r="B923" s="201"/>
      <c r="C923" s="158"/>
      <c r="D923" s="158"/>
      <c r="E923" s="158"/>
      <c r="F923" s="202"/>
      <c r="G923" s="202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</row>
    <row r="924" spans="1:32" ht="15.75" customHeight="1">
      <c r="A924" s="158"/>
      <c r="B924" s="201"/>
      <c r="C924" s="158"/>
      <c r="D924" s="158"/>
      <c r="E924" s="158"/>
      <c r="F924" s="202"/>
      <c r="G924" s="202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</row>
    <row r="925" spans="1:32" ht="15.75" customHeight="1">
      <c r="A925" s="158"/>
      <c r="B925" s="201"/>
      <c r="C925" s="158"/>
      <c r="D925" s="158"/>
      <c r="E925" s="158"/>
      <c r="F925" s="202"/>
      <c r="G925" s="202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</row>
    <row r="926" spans="1:32" ht="15.75" customHeight="1">
      <c r="A926" s="158"/>
      <c r="B926" s="201"/>
      <c r="C926" s="158"/>
      <c r="D926" s="158"/>
      <c r="E926" s="158"/>
      <c r="F926" s="202"/>
      <c r="G926" s="202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</row>
    <row r="927" spans="1:32" ht="15.75" customHeight="1">
      <c r="A927" s="158"/>
      <c r="B927" s="201"/>
      <c r="C927" s="158"/>
      <c r="D927" s="158"/>
      <c r="E927" s="158"/>
      <c r="F927" s="202"/>
      <c r="G927" s="202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</row>
    <row r="928" spans="1:32" ht="15.75" customHeight="1">
      <c r="A928" s="158"/>
      <c r="B928" s="201"/>
      <c r="C928" s="158"/>
      <c r="D928" s="158"/>
      <c r="E928" s="158"/>
      <c r="F928" s="202"/>
      <c r="G928" s="202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</row>
    <row r="929" spans="1:32" ht="15.75" customHeight="1">
      <c r="A929" s="158"/>
      <c r="B929" s="201"/>
      <c r="C929" s="158"/>
      <c r="D929" s="158"/>
      <c r="E929" s="158"/>
      <c r="F929" s="202"/>
      <c r="G929" s="202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</row>
    <row r="930" spans="1:32" ht="15.75" customHeight="1">
      <c r="A930" s="158"/>
      <c r="B930" s="201"/>
      <c r="C930" s="158"/>
      <c r="D930" s="158"/>
      <c r="E930" s="158"/>
      <c r="F930" s="202"/>
      <c r="G930" s="202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</row>
    <row r="931" spans="1:32" ht="15.75" customHeight="1">
      <c r="A931" s="158"/>
      <c r="B931" s="201"/>
      <c r="C931" s="158"/>
      <c r="D931" s="158"/>
      <c r="E931" s="158"/>
      <c r="F931" s="202"/>
      <c r="G931" s="202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</row>
    <row r="932" spans="1:32" ht="15.75" customHeight="1">
      <c r="A932" s="158"/>
      <c r="B932" s="201"/>
      <c r="C932" s="158"/>
      <c r="D932" s="158"/>
      <c r="E932" s="158"/>
      <c r="F932" s="202"/>
      <c r="G932" s="202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</row>
    <row r="933" spans="1:32" ht="15.75" customHeight="1">
      <c r="A933" s="158"/>
      <c r="B933" s="201"/>
      <c r="C933" s="158"/>
      <c r="D933" s="158"/>
      <c r="E933" s="158"/>
      <c r="F933" s="202"/>
      <c r="G933" s="202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</row>
    <row r="934" spans="1:32" ht="15.75" customHeight="1">
      <c r="A934" s="158"/>
      <c r="B934" s="201"/>
      <c r="C934" s="158"/>
      <c r="D934" s="158"/>
      <c r="E934" s="158"/>
      <c r="F934" s="202"/>
      <c r="G934" s="202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</row>
    <row r="935" spans="1:32" ht="15.75" customHeight="1">
      <c r="A935" s="158"/>
      <c r="B935" s="201"/>
      <c r="C935" s="158"/>
      <c r="D935" s="158"/>
      <c r="E935" s="158"/>
      <c r="F935" s="202"/>
      <c r="G935" s="202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</row>
    <row r="936" spans="1:32" ht="15.75" customHeight="1">
      <c r="A936" s="158"/>
      <c r="B936" s="201"/>
      <c r="C936" s="158"/>
      <c r="D936" s="158"/>
      <c r="E936" s="158"/>
      <c r="F936" s="202"/>
      <c r="G936" s="202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</row>
    <row r="937" spans="1:32" ht="15.75" customHeight="1">
      <c r="A937" s="158"/>
      <c r="B937" s="201"/>
      <c r="C937" s="158"/>
      <c r="D937" s="158"/>
      <c r="E937" s="158"/>
      <c r="F937" s="202"/>
      <c r="G937" s="202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</row>
    <row r="938" spans="1:32" ht="15.75" customHeight="1">
      <c r="A938" s="158"/>
      <c r="B938" s="201"/>
      <c r="C938" s="158"/>
      <c r="D938" s="158"/>
      <c r="E938" s="158"/>
      <c r="F938" s="202"/>
      <c r="G938" s="202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</row>
    <row r="939" spans="1:32" ht="15.75" customHeight="1">
      <c r="A939" s="158"/>
      <c r="B939" s="201"/>
      <c r="C939" s="158"/>
      <c r="D939" s="158"/>
      <c r="E939" s="158"/>
      <c r="F939" s="202"/>
      <c r="G939" s="202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</row>
    <row r="940" spans="1:32" ht="15.75" customHeight="1">
      <c r="A940" s="158"/>
      <c r="B940" s="201"/>
      <c r="C940" s="158"/>
      <c r="D940" s="158"/>
      <c r="E940" s="158"/>
      <c r="F940" s="202"/>
      <c r="G940" s="202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</row>
    <row r="941" spans="1:32" ht="15.75" customHeight="1">
      <c r="A941" s="158"/>
      <c r="B941" s="201"/>
      <c r="C941" s="158"/>
      <c r="D941" s="158"/>
      <c r="E941" s="158"/>
      <c r="F941" s="202"/>
      <c r="G941" s="202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</row>
    <row r="942" spans="1:32" ht="15.75" customHeight="1">
      <c r="A942" s="158"/>
      <c r="B942" s="201"/>
      <c r="C942" s="158"/>
      <c r="D942" s="158"/>
      <c r="E942" s="158"/>
      <c r="F942" s="202"/>
      <c r="G942" s="202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</row>
    <row r="943" spans="1:32" ht="15.75" customHeight="1">
      <c r="A943" s="158"/>
      <c r="B943" s="201"/>
      <c r="C943" s="158"/>
      <c r="D943" s="158"/>
      <c r="E943" s="158"/>
      <c r="F943" s="202"/>
      <c r="G943" s="202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</row>
    <row r="944" spans="1:32" ht="15.75" customHeight="1">
      <c r="A944" s="158"/>
      <c r="B944" s="201"/>
      <c r="C944" s="158"/>
      <c r="D944" s="158"/>
      <c r="E944" s="158"/>
      <c r="F944" s="202"/>
      <c r="G944" s="202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</row>
    <row r="945" spans="1:32" ht="15.75" customHeight="1">
      <c r="A945" s="158"/>
      <c r="B945" s="201"/>
      <c r="C945" s="158"/>
      <c r="D945" s="158"/>
      <c r="E945" s="158"/>
      <c r="F945" s="202"/>
      <c r="G945" s="202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</row>
    <row r="946" spans="1:32" ht="15.75" customHeight="1">
      <c r="A946" s="158"/>
      <c r="B946" s="201"/>
      <c r="C946" s="158"/>
      <c r="D946" s="158"/>
      <c r="E946" s="158"/>
      <c r="F946" s="202"/>
      <c r="G946" s="202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</row>
    <row r="947" spans="1:32" ht="15.75" customHeight="1">
      <c r="A947" s="158"/>
      <c r="B947" s="201"/>
      <c r="C947" s="158"/>
      <c r="D947" s="158"/>
      <c r="E947" s="158"/>
      <c r="F947" s="202"/>
      <c r="G947" s="202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</row>
    <row r="948" spans="1:32" ht="15.75" customHeight="1">
      <c r="A948" s="158"/>
      <c r="B948" s="201"/>
      <c r="C948" s="158"/>
      <c r="D948" s="158"/>
      <c r="E948" s="158"/>
      <c r="F948" s="202"/>
      <c r="G948" s="202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</row>
    <row r="949" spans="1:32" ht="15.75" customHeight="1">
      <c r="A949" s="158"/>
      <c r="B949" s="201"/>
      <c r="C949" s="158"/>
      <c r="D949" s="158"/>
      <c r="E949" s="158"/>
      <c r="F949" s="202"/>
      <c r="G949" s="202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</row>
    <row r="950" spans="1:32" ht="15.75" customHeight="1">
      <c r="A950" s="158"/>
      <c r="B950" s="201"/>
      <c r="C950" s="158"/>
      <c r="D950" s="158"/>
      <c r="E950" s="158"/>
      <c r="F950" s="202"/>
      <c r="G950" s="202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</row>
    <row r="951" spans="1:32" ht="15.75" customHeight="1">
      <c r="A951" s="158"/>
      <c r="B951" s="201"/>
      <c r="C951" s="158"/>
      <c r="D951" s="158"/>
      <c r="E951" s="158"/>
      <c r="F951" s="202"/>
      <c r="G951" s="202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</row>
  </sheetData>
  <mergeCells count="5">
    <mergeCell ref="C9:C10"/>
    <mergeCell ref="N9:N10"/>
    <mergeCell ref="B11:B12"/>
    <mergeCell ref="B18:B26"/>
    <mergeCell ref="B27:B30"/>
  </mergeCells>
  <pageMargins left="0.70866141732283472" right="0.31496062992125984" top="0.74803149606299213" bottom="0.74803149606299213" header="0" footer="0"/>
  <pageSetup paperSize="14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B975"/>
  <sheetViews>
    <sheetView workbookViewId="0"/>
  </sheetViews>
  <sheetFormatPr defaultColWidth="14.44140625" defaultRowHeight="15" customHeight="1"/>
  <cols>
    <col min="1" max="1" width="4.6640625" customWidth="1"/>
    <col min="2" max="2" width="45.6640625" customWidth="1"/>
    <col min="3" max="3" width="20.5546875" customWidth="1"/>
    <col min="4" max="4" width="16.6640625" customWidth="1"/>
    <col min="5" max="6" width="27" customWidth="1"/>
    <col min="7" max="7" width="38.5546875" customWidth="1"/>
    <col min="8" max="8" width="24" customWidth="1"/>
    <col min="9" max="9" width="13.5546875" customWidth="1"/>
    <col min="10" max="10" width="22" customWidth="1"/>
    <col min="11" max="11" width="20.6640625" customWidth="1"/>
    <col min="12" max="12" width="45.5546875" customWidth="1"/>
    <col min="13" max="13" width="54.33203125" customWidth="1"/>
    <col min="14" max="28" width="8.6640625" customWidth="1"/>
  </cols>
  <sheetData>
    <row r="1" spans="1:28" ht="14.4">
      <c r="A1" s="204"/>
      <c r="B1" s="204"/>
      <c r="C1" s="204"/>
      <c r="D1" s="520"/>
      <c r="E1" s="204"/>
      <c r="F1" s="204"/>
      <c r="G1" s="204"/>
      <c r="H1" s="204"/>
      <c r="I1" s="204"/>
      <c r="J1" s="204"/>
      <c r="K1" s="204"/>
      <c r="L1" s="204"/>
      <c r="M1" s="204"/>
      <c r="N1" s="204"/>
    </row>
    <row r="2" spans="1:28" ht="14.4">
      <c r="A2" s="204"/>
      <c r="B2" s="204"/>
      <c r="C2" s="204"/>
      <c r="D2" s="520"/>
      <c r="E2" s="204"/>
      <c r="F2" s="204"/>
      <c r="G2" s="204"/>
      <c r="H2" s="204"/>
      <c r="I2" s="204"/>
      <c r="J2" s="204"/>
      <c r="K2" s="204"/>
      <c r="L2" s="204"/>
      <c r="M2" s="204"/>
      <c r="N2" s="204"/>
    </row>
    <row r="3" spans="1:28" ht="15.6">
      <c r="A3" s="204"/>
      <c r="B3" s="204"/>
      <c r="C3" s="204"/>
      <c r="D3" s="520"/>
      <c r="E3" s="204"/>
      <c r="F3" s="204"/>
      <c r="G3" s="204"/>
      <c r="H3" s="204"/>
      <c r="I3" s="204"/>
      <c r="J3" s="521"/>
      <c r="K3" s="204"/>
      <c r="L3" s="204"/>
      <c r="M3" s="204"/>
      <c r="N3" s="204"/>
    </row>
    <row r="4" spans="1:28" ht="23.4">
      <c r="A4" s="203"/>
      <c r="B4" s="203"/>
      <c r="C4" s="203"/>
      <c r="D4" s="522"/>
      <c r="E4" s="203"/>
      <c r="F4" s="203"/>
      <c r="G4" s="203"/>
      <c r="H4" s="203"/>
      <c r="I4" s="203"/>
      <c r="J4" s="203"/>
      <c r="K4" s="203"/>
      <c r="L4" s="521"/>
      <c r="M4" s="203"/>
      <c r="N4" s="203"/>
    </row>
    <row r="5" spans="1:28" ht="23.4">
      <c r="A5" s="203"/>
      <c r="B5" s="203"/>
      <c r="C5" s="203"/>
      <c r="D5" s="522"/>
      <c r="E5" s="203"/>
      <c r="F5" s="203"/>
      <c r="G5" s="203"/>
      <c r="H5" s="203"/>
      <c r="I5" s="203"/>
      <c r="J5" s="203"/>
      <c r="K5" s="203"/>
      <c r="L5" s="203"/>
      <c r="M5" s="203"/>
      <c r="N5" s="203"/>
    </row>
    <row r="6" spans="1:28" ht="23.4">
      <c r="A6" s="203"/>
      <c r="B6" s="203"/>
      <c r="C6" s="203"/>
      <c r="D6" s="522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</row>
    <row r="7" spans="1:28" ht="28.8">
      <c r="C7" s="228"/>
      <c r="D7" s="523"/>
      <c r="E7" s="228"/>
      <c r="G7" s="228" t="s">
        <v>539</v>
      </c>
      <c r="H7" s="228"/>
      <c r="I7" s="228"/>
      <c r="L7" s="228"/>
      <c r="M7" s="228"/>
      <c r="N7" s="203"/>
    </row>
    <row r="8" spans="1:28" ht="14.4">
      <c r="A8" s="204"/>
      <c r="B8" s="204"/>
      <c r="C8" s="204"/>
      <c r="D8" s="520"/>
      <c r="E8" s="204"/>
      <c r="F8" s="204"/>
      <c r="G8" s="204"/>
      <c r="H8" s="204"/>
      <c r="I8" s="204"/>
      <c r="J8" s="204"/>
      <c r="K8" s="204"/>
      <c r="L8" s="204"/>
      <c r="M8" s="204"/>
      <c r="N8" s="204"/>
    </row>
    <row r="9" spans="1:28" ht="22.2">
      <c r="A9" s="524"/>
      <c r="B9" s="525" t="s">
        <v>41</v>
      </c>
      <c r="C9" s="526" t="s">
        <v>42</v>
      </c>
      <c r="D9" s="527" t="s">
        <v>43</v>
      </c>
      <c r="E9" s="525" t="s">
        <v>932</v>
      </c>
      <c r="F9" s="525" t="s">
        <v>53</v>
      </c>
      <c r="G9" s="525" t="s">
        <v>54</v>
      </c>
      <c r="H9" s="525" t="s">
        <v>55</v>
      </c>
      <c r="I9" s="525" t="s">
        <v>45</v>
      </c>
      <c r="J9" s="525" t="s">
        <v>540</v>
      </c>
      <c r="K9" s="525" t="s">
        <v>48</v>
      </c>
      <c r="L9" s="525" t="s">
        <v>47</v>
      </c>
      <c r="M9" s="525" t="s">
        <v>544</v>
      </c>
      <c r="N9" s="204"/>
    </row>
    <row r="10" spans="1:28" ht="21">
      <c r="A10" s="528"/>
      <c r="B10" s="528"/>
      <c r="C10" s="528"/>
      <c r="D10" s="529"/>
      <c r="E10" s="528"/>
      <c r="F10" s="528"/>
      <c r="G10" s="528"/>
      <c r="H10" s="528"/>
      <c r="I10" s="528"/>
      <c r="J10" s="528"/>
      <c r="K10" s="528"/>
      <c r="L10" s="528"/>
      <c r="M10" s="528"/>
      <c r="N10" s="204"/>
    </row>
    <row r="11" spans="1:28" ht="24.6">
      <c r="A11" s="172">
        <v>1</v>
      </c>
      <c r="B11" s="446" t="s">
        <v>80</v>
      </c>
      <c r="C11" s="530" t="s">
        <v>81</v>
      </c>
      <c r="D11" s="505">
        <v>69963</v>
      </c>
      <c r="E11" s="531">
        <v>27002</v>
      </c>
      <c r="F11" s="444" t="s">
        <v>82</v>
      </c>
      <c r="G11" s="444" t="s">
        <v>83</v>
      </c>
      <c r="H11" s="444" t="s">
        <v>84</v>
      </c>
      <c r="I11" s="173" t="s">
        <v>85</v>
      </c>
      <c r="J11" s="173" t="s">
        <v>58</v>
      </c>
      <c r="K11" s="532"/>
      <c r="L11" s="533" t="s">
        <v>749</v>
      </c>
      <c r="M11" s="534" t="s">
        <v>16</v>
      </c>
      <c r="N11" s="204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</row>
    <row r="12" spans="1:28" ht="24.6">
      <c r="A12" s="172">
        <v>2</v>
      </c>
      <c r="B12" s="446" t="s">
        <v>80</v>
      </c>
      <c r="C12" s="530" t="s">
        <v>81</v>
      </c>
      <c r="D12" s="505">
        <v>69963</v>
      </c>
      <c r="E12" s="535" t="s">
        <v>933</v>
      </c>
      <c r="F12" s="444" t="s">
        <v>87</v>
      </c>
      <c r="G12" s="444" t="s">
        <v>88</v>
      </c>
      <c r="H12" s="444" t="s">
        <v>89</v>
      </c>
      <c r="I12" s="173" t="s">
        <v>85</v>
      </c>
      <c r="J12" s="173" t="s">
        <v>58</v>
      </c>
      <c r="K12" s="532"/>
      <c r="L12" s="536" t="s">
        <v>90</v>
      </c>
      <c r="M12" s="534" t="s">
        <v>17</v>
      </c>
      <c r="N12" s="204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</row>
    <row r="13" spans="1:28" ht="24.6">
      <c r="A13" s="461">
        <v>3</v>
      </c>
      <c r="B13" s="446" t="s">
        <v>80</v>
      </c>
      <c r="C13" s="530" t="s">
        <v>81</v>
      </c>
      <c r="D13" s="505">
        <v>71511</v>
      </c>
      <c r="E13" s="537">
        <v>23575</v>
      </c>
      <c r="F13" s="444" t="s">
        <v>70</v>
      </c>
      <c r="G13" s="444" t="s">
        <v>71</v>
      </c>
      <c r="H13" s="444" t="s">
        <v>72</v>
      </c>
      <c r="I13" s="173" t="s">
        <v>64</v>
      </c>
      <c r="J13" s="173" t="s">
        <v>58</v>
      </c>
      <c r="K13" s="532"/>
      <c r="L13" s="536" t="s">
        <v>710</v>
      </c>
      <c r="M13" s="534" t="s">
        <v>18</v>
      </c>
      <c r="N13" s="204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</row>
    <row r="14" spans="1:28" ht="24.6">
      <c r="A14" s="172">
        <v>4</v>
      </c>
      <c r="B14" s="446" t="s">
        <v>245</v>
      </c>
      <c r="C14" s="530" t="s">
        <v>98</v>
      </c>
      <c r="D14" s="505">
        <v>49835</v>
      </c>
      <c r="E14" s="537">
        <v>26101</v>
      </c>
      <c r="F14" s="444" t="s">
        <v>92</v>
      </c>
      <c r="G14" s="444" t="s">
        <v>93</v>
      </c>
      <c r="H14" s="444" t="s">
        <v>94</v>
      </c>
      <c r="I14" s="173" t="s">
        <v>85</v>
      </c>
      <c r="J14" s="173" t="s">
        <v>58</v>
      </c>
      <c r="K14" s="532"/>
      <c r="L14" s="536" t="s">
        <v>95</v>
      </c>
      <c r="M14" s="534" t="s">
        <v>13</v>
      </c>
      <c r="N14" s="204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</row>
    <row r="15" spans="1:28" ht="24.6">
      <c r="A15" s="172">
        <v>5</v>
      </c>
      <c r="B15" s="446" t="s">
        <v>105</v>
      </c>
      <c r="C15" s="530" t="s">
        <v>98</v>
      </c>
      <c r="D15" s="505">
        <v>51357</v>
      </c>
      <c r="E15" s="538" t="s">
        <v>934</v>
      </c>
      <c r="F15" s="444" t="s">
        <v>75</v>
      </c>
      <c r="G15" s="444" t="s">
        <v>76</v>
      </c>
      <c r="H15" s="444" t="s">
        <v>77</v>
      </c>
      <c r="I15" s="173" t="s">
        <v>64</v>
      </c>
      <c r="J15" s="173" t="s">
        <v>58</v>
      </c>
      <c r="K15" s="532"/>
      <c r="L15" s="536" t="s">
        <v>78</v>
      </c>
      <c r="M15" s="534" t="s">
        <v>15</v>
      </c>
      <c r="N15" s="204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</row>
    <row r="16" spans="1:28" ht="15.75" customHeight="1">
      <c r="A16" s="461">
        <v>6</v>
      </c>
      <c r="B16" s="198" t="s">
        <v>519</v>
      </c>
      <c r="C16" s="530" t="s">
        <v>120</v>
      </c>
      <c r="D16" s="539">
        <v>38463.4</v>
      </c>
      <c r="E16" s="540" t="s">
        <v>935</v>
      </c>
      <c r="F16" s="444" t="s">
        <v>276</v>
      </c>
      <c r="G16" s="444" t="s">
        <v>277</v>
      </c>
      <c r="H16" s="444" t="s">
        <v>278</v>
      </c>
      <c r="I16" s="173" t="s">
        <v>85</v>
      </c>
      <c r="J16" s="173" t="s">
        <v>545</v>
      </c>
      <c r="K16" s="532" t="s">
        <v>320</v>
      </c>
      <c r="L16" s="536" t="s">
        <v>572</v>
      </c>
      <c r="M16" s="534" t="s">
        <v>34</v>
      </c>
      <c r="N16" s="204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</row>
    <row r="17" spans="1:28" ht="15.75" customHeight="1">
      <c r="A17" s="172">
        <v>7</v>
      </c>
      <c r="B17" s="438" t="s">
        <v>274</v>
      </c>
      <c r="C17" s="530" t="s">
        <v>275</v>
      </c>
      <c r="D17" s="541">
        <v>42127.199999999997</v>
      </c>
      <c r="E17" s="542">
        <v>33434</v>
      </c>
      <c r="F17" s="439" t="s">
        <v>111</v>
      </c>
      <c r="G17" s="439" t="s">
        <v>112</v>
      </c>
      <c r="H17" s="439" t="s">
        <v>101</v>
      </c>
      <c r="I17" s="173" t="s">
        <v>85</v>
      </c>
      <c r="J17" s="440" t="s">
        <v>545</v>
      </c>
      <c r="K17" s="532" t="s">
        <v>567</v>
      </c>
      <c r="L17" s="533" t="s">
        <v>569</v>
      </c>
      <c r="M17" s="534" t="s">
        <v>31</v>
      </c>
      <c r="N17" s="204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</row>
    <row r="18" spans="1:28" ht="15.75" customHeight="1">
      <c r="A18" s="172">
        <v>8</v>
      </c>
      <c r="B18" s="438" t="s">
        <v>245</v>
      </c>
      <c r="C18" s="530" t="s">
        <v>98</v>
      </c>
      <c r="D18" s="543">
        <v>56149.2</v>
      </c>
      <c r="E18" s="542">
        <v>34086</v>
      </c>
      <c r="F18" s="439" t="s">
        <v>114</v>
      </c>
      <c r="G18" s="439" t="s">
        <v>115</v>
      </c>
      <c r="H18" s="439" t="s">
        <v>116</v>
      </c>
      <c r="I18" s="173" t="s">
        <v>85</v>
      </c>
      <c r="J18" s="440" t="s">
        <v>545</v>
      </c>
      <c r="K18" s="532" t="s">
        <v>320</v>
      </c>
      <c r="L18" s="533" t="s">
        <v>117</v>
      </c>
      <c r="M18" s="534" t="s">
        <v>33</v>
      </c>
      <c r="N18" s="204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</row>
    <row r="19" spans="1:28" ht="15.75" customHeight="1">
      <c r="A19" s="461">
        <v>9</v>
      </c>
      <c r="B19" s="444" t="s">
        <v>575</v>
      </c>
      <c r="C19" s="530" t="s">
        <v>120</v>
      </c>
      <c r="D19" s="539">
        <v>38463.4</v>
      </c>
      <c r="E19" s="542">
        <v>33856</v>
      </c>
      <c r="F19" s="544" t="s">
        <v>514</v>
      </c>
      <c r="G19" s="544" t="s">
        <v>515</v>
      </c>
      <c r="H19" s="544" t="s">
        <v>516</v>
      </c>
      <c r="I19" s="173" t="s">
        <v>85</v>
      </c>
      <c r="J19" s="173" t="s">
        <v>545</v>
      </c>
      <c r="K19" s="532" t="s">
        <v>320</v>
      </c>
      <c r="L19" s="536" t="s">
        <v>578</v>
      </c>
      <c r="M19" s="534" t="s">
        <v>36</v>
      </c>
      <c r="N19" s="204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</row>
    <row r="20" spans="1:28" ht="15.75" customHeight="1">
      <c r="A20" s="172">
        <v>10</v>
      </c>
      <c r="B20" s="438" t="s">
        <v>274</v>
      </c>
      <c r="C20" s="530" t="s">
        <v>275</v>
      </c>
      <c r="D20" s="541">
        <v>42127.199999999997</v>
      </c>
      <c r="E20" s="542">
        <v>32673</v>
      </c>
      <c r="F20" s="439" t="s">
        <v>579</v>
      </c>
      <c r="G20" s="439" t="s">
        <v>580</v>
      </c>
      <c r="H20" s="439" t="s">
        <v>581</v>
      </c>
      <c r="I20" s="173" t="s">
        <v>85</v>
      </c>
      <c r="J20" s="173" t="s">
        <v>545</v>
      </c>
      <c r="K20" s="532" t="s">
        <v>320</v>
      </c>
      <c r="L20" s="533" t="s">
        <v>584</v>
      </c>
      <c r="M20" s="534" t="s">
        <v>920</v>
      </c>
      <c r="N20" s="204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</row>
    <row r="21" spans="1:28" ht="15.75" customHeight="1">
      <c r="A21" s="172">
        <v>11</v>
      </c>
      <c r="B21" s="198" t="s">
        <v>519</v>
      </c>
      <c r="C21" s="530" t="s">
        <v>120</v>
      </c>
      <c r="D21" s="539">
        <v>38463.4</v>
      </c>
      <c r="E21" s="545">
        <v>44749</v>
      </c>
      <c r="F21" s="546" t="s">
        <v>128</v>
      </c>
      <c r="G21" s="546" t="s">
        <v>129</v>
      </c>
      <c r="H21" s="546" t="s">
        <v>130</v>
      </c>
      <c r="I21" s="546" t="s">
        <v>721</v>
      </c>
      <c r="J21" s="530" t="s">
        <v>545</v>
      </c>
      <c r="K21" s="530" t="s">
        <v>299</v>
      </c>
      <c r="L21" s="547">
        <v>9060069530</v>
      </c>
      <c r="M21" s="546" t="s">
        <v>29</v>
      </c>
      <c r="N21" s="204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</row>
    <row r="22" spans="1:28" ht="15.75" customHeight="1">
      <c r="A22" s="461">
        <v>12</v>
      </c>
      <c r="B22" s="438" t="s">
        <v>518</v>
      </c>
      <c r="C22" s="530" t="s">
        <v>120</v>
      </c>
      <c r="D22" s="539">
        <v>38463.4</v>
      </c>
      <c r="E22" s="542">
        <v>34927</v>
      </c>
      <c r="F22" s="439" t="s">
        <v>141</v>
      </c>
      <c r="G22" s="439" t="s">
        <v>142</v>
      </c>
      <c r="H22" s="439" t="s">
        <v>143</v>
      </c>
      <c r="I22" s="173" t="s">
        <v>85</v>
      </c>
      <c r="J22" s="440" t="s">
        <v>545</v>
      </c>
      <c r="K22" s="532" t="s">
        <v>455</v>
      </c>
      <c r="L22" s="533" t="s">
        <v>549</v>
      </c>
      <c r="M22" s="534" t="s">
        <v>27</v>
      </c>
      <c r="N22" s="204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</row>
    <row r="23" spans="1:28" ht="15.75" customHeight="1">
      <c r="A23" s="172">
        <v>13</v>
      </c>
      <c r="B23" s="446" t="s">
        <v>575</v>
      </c>
      <c r="C23" s="530" t="s">
        <v>120</v>
      </c>
      <c r="D23" s="539">
        <v>38463.4</v>
      </c>
      <c r="E23" s="542">
        <v>34639</v>
      </c>
      <c r="F23" s="444" t="s">
        <v>585</v>
      </c>
      <c r="G23" s="444" t="s">
        <v>586</v>
      </c>
      <c r="H23" s="444" t="s">
        <v>587</v>
      </c>
      <c r="I23" s="173" t="s">
        <v>85</v>
      </c>
      <c r="J23" s="173" t="s">
        <v>545</v>
      </c>
      <c r="K23" s="532" t="s">
        <v>320</v>
      </c>
      <c r="L23" s="536" t="s">
        <v>590</v>
      </c>
      <c r="M23" s="534" t="s">
        <v>913</v>
      </c>
      <c r="N23" s="204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</row>
    <row r="24" spans="1:28" ht="15.75" customHeight="1">
      <c r="A24" s="172">
        <v>14</v>
      </c>
      <c r="B24" s="198" t="s">
        <v>519</v>
      </c>
      <c r="C24" s="530" t="s">
        <v>120</v>
      </c>
      <c r="D24" s="539">
        <v>38463.4</v>
      </c>
      <c r="E24" s="542">
        <v>34771</v>
      </c>
      <c r="F24" s="444" t="s">
        <v>300</v>
      </c>
      <c r="G24" s="444" t="s">
        <v>301</v>
      </c>
      <c r="H24" s="444" t="s">
        <v>302</v>
      </c>
      <c r="I24" s="173" t="s">
        <v>85</v>
      </c>
      <c r="J24" s="173" t="s">
        <v>545</v>
      </c>
      <c r="K24" s="532" t="s">
        <v>320</v>
      </c>
      <c r="L24" s="533" t="s">
        <v>593</v>
      </c>
      <c r="M24" s="534" t="s">
        <v>35</v>
      </c>
      <c r="N24" s="204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</row>
    <row r="25" spans="1:28" ht="15.75" customHeight="1">
      <c r="A25" s="461">
        <v>15</v>
      </c>
      <c r="B25" s="548" t="s">
        <v>461</v>
      </c>
      <c r="C25" s="549">
        <v>44896</v>
      </c>
      <c r="D25" s="550">
        <v>29394</v>
      </c>
      <c r="E25" s="551">
        <v>33544</v>
      </c>
      <c r="F25" s="444" t="s">
        <v>282</v>
      </c>
      <c r="G25" s="444" t="s">
        <v>283</v>
      </c>
      <c r="H25" s="444" t="s">
        <v>199</v>
      </c>
      <c r="I25" s="173" t="s">
        <v>85</v>
      </c>
      <c r="J25" s="173" t="s">
        <v>545</v>
      </c>
      <c r="K25" s="532" t="s">
        <v>617</v>
      </c>
      <c r="L25" s="536" t="s">
        <v>619</v>
      </c>
      <c r="M25" s="534" t="s">
        <v>37</v>
      </c>
      <c r="N25" s="204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</row>
    <row r="26" spans="1:28" ht="15.75" customHeight="1">
      <c r="A26" s="172">
        <v>16</v>
      </c>
      <c r="B26" s="446" t="s">
        <v>461</v>
      </c>
      <c r="C26" s="549">
        <v>44896</v>
      </c>
      <c r="D26" s="552">
        <v>29394</v>
      </c>
      <c r="E26" s="553" t="s">
        <v>936</v>
      </c>
      <c r="F26" s="446" t="s">
        <v>291</v>
      </c>
      <c r="G26" s="446" t="s">
        <v>292</v>
      </c>
      <c r="H26" s="446" t="s">
        <v>293</v>
      </c>
      <c r="I26" s="461" t="s">
        <v>85</v>
      </c>
      <c r="J26" s="461" t="s">
        <v>545</v>
      </c>
      <c r="K26" s="532" t="s">
        <v>320</v>
      </c>
      <c r="L26" s="536" t="s">
        <v>596</v>
      </c>
      <c r="M26" s="534" t="s">
        <v>32</v>
      </c>
      <c r="N26" s="204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</row>
    <row r="27" spans="1:28" ht="15.75" customHeight="1">
      <c r="A27" s="172">
        <v>17</v>
      </c>
      <c r="B27" s="446" t="s">
        <v>461</v>
      </c>
      <c r="C27" s="549">
        <v>44896</v>
      </c>
      <c r="D27" s="505">
        <v>29394</v>
      </c>
      <c r="E27" s="542">
        <v>33989</v>
      </c>
      <c r="F27" s="444" t="s">
        <v>598</v>
      </c>
      <c r="G27" s="444" t="s">
        <v>599</v>
      </c>
      <c r="H27" s="444" t="s">
        <v>600</v>
      </c>
      <c r="I27" s="173" t="s">
        <v>85</v>
      </c>
      <c r="J27" s="440" t="s">
        <v>545</v>
      </c>
      <c r="K27" s="532" t="s">
        <v>320</v>
      </c>
      <c r="L27" s="536" t="s">
        <v>603</v>
      </c>
      <c r="M27" s="534" t="s">
        <v>604</v>
      </c>
      <c r="N27" s="204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</row>
    <row r="28" spans="1:28" ht="15.75" customHeight="1">
      <c r="A28" s="461">
        <v>18</v>
      </c>
      <c r="B28" s="444" t="s">
        <v>520</v>
      </c>
      <c r="C28" s="530" t="s">
        <v>923</v>
      </c>
      <c r="D28" s="554">
        <v>26779.200000000001</v>
      </c>
      <c r="E28" s="542">
        <v>32384</v>
      </c>
      <c r="F28" s="444" t="s">
        <v>363</v>
      </c>
      <c r="G28" s="444" t="s">
        <v>364</v>
      </c>
      <c r="H28" s="444" t="s">
        <v>365</v>
      </c>
      <c r="I28" s="173" t="s">
        <v>64</v>
      </c>
      <c r="J28" s="173" t="s">
        <v>545</v>
      </c>
      <c r="K28" s="532" t="s">
        <v>922</v>
      </c>
      <c r="L28" s="536" t="s">
        <v>547</v>
      </c>
      <c r="M28" s="555" t="s">
        <v>26</v>
      </c>
      <c r="N28" s="204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</row>
    <row r="29" spans="1:28" ht="15.75" customHeight="1">
      <c r="A29" s="172">
        <v>19</v>
      </c>
      <c r="B29" s="438" t="s">
        <v>621</v>
      </c>
      <c r="C29" s="530" t="s">
        <v>275</v>
      </c>
      <c r="D29" s="505">
        <v>42127.199999999997</v>
      </c>
      <c r="E29" s="556">
        <v>29591</v>
      </c>
      <c r="F29" s="439" t="s">
        <v>622</v>
      </c>
      <c r="G29" s="439" t="s">
        <v>623</v>
      </c>
      <c r="H29" s="439" t="s">
        <v>624</v>
      </c>
      <c r="I29" s="173" t="s">
        <v>85</v>
      </c>
      <c r="J29" s="440" t="s">
        <v>545</v>
      </c>
      <c r="K29" s="532" t="s">
        <v>620</v>
      </c>
      <c r="L29" s="533" t="s">
        <v>626</v>
      </c>
      <c r="M29" s="534" t="s">
        <v>40</v>
      </c>
      <c r="N29" s="204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</row>
    <row r="30" spans="1:28" ht="15.75" customHeight="1">
      <c r="A30" s="172">
        <v>20</v>
      </c>
      <c r="B30" s="438" t="s">
        <v>139</v>
      </c>
      <c r="C30" s="549">
        <v>44896</v>
      </c>
      <c r="D30" s="505">
        <v>29394</v>
      </c>
      <c r="E30" s="542">
        <v>34365</v>
      </c>
      <c r="F30" s="439" t="s">
        <v>473</v>
      </c>
      <c r="G30" s="439" t="s">
        <v>627</v>
      </c>
      <c r="H30" s="439" t="s">
        <v>628</v>
      </c>
      <c r="I30" s="173" t="s">
        <v>85</v>
      </c>
      <c r="J30" s="440" t="s">
        <v>545</v>
      </c>
      <c r="K30" s="532" t="s">
        <v>620</v>
      </c>
      <c r="L30" s="536" t="s">
        <v>630</v>
      </c>
      <c r="M30" s="555" t="s">
        <v>38</v>
      </c>
      <c r="N30" s="204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</row>
    <row r="31" spans="1:28" ht="15.75" customHeight="1">
      <c r="A31" s="461">
        <v>21</v>
      </c>
      <c r="B31" s="438" t="s">
        <v>139</v>
      </c>
      <c r="C31" s="549">
        <v>44896</v>
      </c>
      <c r="D31" s="505">
        <v>27608</v>
      </c>
      <c r="E31" s="553" t="s">
        <v>937</v>
      </c>
      <c r="F31" s="439" t="s">
        <v>106</v>
      </c>
      <c r="G31" s="439" t="s">
        <v>107</v>
      </c>
      <c r="H31" s="439" t="s">
        <v>108</v>
      </c>
      <c r="I31" s="173" t="s">
        <v>64</v>
      </c>
      <c r="J31" s="440" t="s">
        <v>58</v>
      </c>
      <c r="K31" s="532"/>
      <c r="L31" s="533" t="s">
        <v>784</v>
      </c>
      <c r="M31" s="534" t="s">
        <v>14</v>
      </c>
      <c r="N31" s="204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</row>
    <row r="32" spans="1:28" ht="15.75" customHeight="1">
      <c r="A32" s="172">
        <v>22</v>
      </c>
      <c r="B32" s="438" t="s">
        <v>139</v>
      </c>
      <c r="C32" s="549">
        <v>44896</v>
      </c>
      <c r="D32" s="505">
        <v>29394</v>
      </c>
      <c r="E32" s="542">
        <v>35911</v>
      </c>
      <c r="F32" s="439" t="s">
        <v>298</v>
      </c>
      <c r="G32" s="439" t="s">
        <v>635</v>
      </c>
      <c r="H32" s="439" t="s">
        <v>636</v>
      </c>
      <c r="I32" s="173" t="s">
        <v>85</v>
      </c>
      <c r="J32" s="440" t="s">
        <v>545</v>
      </c>
      <c r="K32" s="532" t="s">
        <v>620</v>
      </c>
      <c r="L32" s="536" t="s">
        <v>638</v>
      </c>
      <c r="M32" s="534" t="s">
        <v>39</v>
      </c>
      <c r="N32" s="204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</row>
    <row r="33" spans="1:28" ht="15.75" customHeight="1">
      <c r="A33" s="172">
        <v>23</v>
      </c>
      <c r="B33" s="444" t="s">
        <v>520</v>
      </c>
      <c r="C33" s="549">
        <v>44866</v>
      </c>
      <c r="D33" s="557">
        <v>26779.200000000001</v>
      </c>
      <c r="E33" s="558">
        <v>36349</v>
      </c>
      <c r="F33" s="534" t="s">
        <v>560</v>
      </c>
      <c r="G33" s="534" t="s">
        <v>561</v>
      </c>
      <c r="H33" s="534" t="s">
        <v>562</v>
      </c>
      <c r="I33" s="559" t="s">
        <v>700</v>
      </c>
      <c r="J33" s="532" t="s">
        <v>545</v>
      </c>
      <c r="K33" s="532" t="s">
        <v>379</v>
      </c>
      <c r="L33" s="544" t="s">
        <v>564</v>
      </c>
      <c r="M33" s="546" t="s">
        <v>30</v>
      </c>
      <c r="N33" s="204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</row>
    <row r="34" spans="1:28" ht="15.75" customHeight="1">
      <c r="A34" s="461">
        <v>24</v>
      </c>
      <c r="B34" s="438" t="s">
        <v>921</v>
      </c>
      <c r="C34" s="549">
        <v>44866</v>
      </c>
      <c r="D34" s="557">
        <v>26779.200000000001</v>
      </c>
      <c r="E34" s="560" t="s">
        <v>938</v>
      </c>
      <c r="F34" s="439" t="s">
        <v>63</v>
      </c>
      <c r="G34" s="439" t="s">
        <v>230</v>
      </c>
      <c r="H34" s="439" t="s">
        <v>517</v>
      </c>
      <c r="I34" s="173" t="s">
        <v>85</v>
      </c>
      <c r="J34" s="440" t="s">
        <v>545</v>
      </c>
      <c r="K34" s="532" t="s">
        <v>922</v>
      </c>
      <c r="L34" s="536" t="s">
        <v>232</v>
      </c>
      <c r="M34" s="534" t="s">
        <v>233</v>
      </c>
      <c r="N34" s="204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</row>
    <row r="35" spans="1:28" ht="15.75" customHeight="1">
      <c r="A35" s="172">
        <v>25</v>
      </c>
      <c r="B35" s="446" t="s">
        <v>550</v>
      </c>
      <c r="C35" s="549">
        <v>44866</v>
      </c>
      <c r="D35" s="557">
        <v>26779.200000000001</v>
      </c>
      <c r="E35" s="561">
        <v>35555</v>
      </c>
      <c r="F35" s="444" t="s">
        <v>296</v>
      </c>
      <c r="G35" s="444" t="s">
        <v>297</v>
      </c>
      <c r="H35" s="444" t="s">
        <v>298</v>
      </c>
      <c r="I35" s="173" t="s">
        <v>64</v>
      </c>
      <c r="J35" s="440" t="s">
        <v>545</v>
      </c>
      <c r="K35" s="532" t="s">
        <v>299</v>
      </c>
      <c r="L35" s="536" t="s">
        <v>552</v>
      </c>
      <c r="M35" s="534" t="s">
        <v>28</v>
      </c>
      <c r="N35" s="204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</row>
    <row r="36" spans="1:28" ht="15.75" customHeight="1">
      <c r="A36" s="172">
        <v>26</v>
      </c>
      <c r="B36" s="446" t="s">
        <v>151</v>
      </c>
      <c r="C36" s="549">
        <v>44812</v>
      </c>
      <c r="D36" s="562">
        <v>21626</v>
      </c>
      <c r="E36" s="563" t="s">
        <v>939</v>
      </c>
      <c r="F36" s="534" t="s">
        <v>147</v>
      </c>
      <c r="G36" s="534" t="s">
        <v>148</v>
      </c>
      <c r="H36" s="534" t="s">
        <v>149</v>
      </c>
      <c r="I36" s="173" t="s">
        <v>64</v>
      </c>
      <c r="J36" s="173" t="s">
        <v>58</v>
      </c>
      <c r="K36" s="532"/>
      <c r="L36" s="533" t="s">
        <v>771</v>
      </c>
      <c r="M36" s="534" t="s">
        <v>4</v>
      </c>
      <c r="N36" s="204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</row>
    <row r="37" spans="1:28" ht="15.75" customHeight="1">
      <c r="A37" s="461">
        <v>27</v>
      </c>
      <c r="B37" s="446" t="s">
        <v>151</v>
      </c>
      <c r="C37" s="549">
        <v>44809</v>
      </c>
      <c r="D37" s="505">
        <v>21093</v>
      </c>
      <c r="E37" s="561">
        <v>26146</v>
      </c>
      <c r="F37" s="444" t="s">
        <v>153</v>
      </c>
      <c r="G37" s="444" t="s">
        <v>154</v>
      </c>
      <c r="H37" s="444" t="s">
        <v>155</v>
      </c>
      <c r="I37" s="173" t="s">
        <v>85</v>
      </c>
      <c r="J37" s="173" t="s">
        <v>58</v>
      </c>
      <c r="K37" s="532"/>
      <c r="L37" s="533" t="s">
        <v>674</v>
      </c>
      <c r="M37" s="534" t="s">
        <v>8</v>
      </c>
      <c r="N37" s="204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</row>
    <row r="38" spans="1:28" ht="15.75" customHeight="1">
      <c r="A38" s="172">
        <v>28</v>
      </c>
      <c r="B38" s="446" t="s">
        <v>151</v>
      </c>
      <c r="C38" s="549">
        <v>44809</v>
      </c>
      <c r="D38" s="505">
        <v>21093</v>
      </c>
      <c r="E38" s="560" t="s">
        <v>940</v>
      </c>
      <c r="F38" s="444" t="s">
        <v>157</v>
      </c>
      <c r="G38" s="444" t="s">
        <v>158</v>
      </c>
      <c r="H38" s="444" t="s">
        <v>159</v>
      </c>
      <c r="I38" s="173" t="s">
        <v>85</v>
      </c>
      <c r="J38" s="173" t="s">
        <v>58</v>
      </c>
      <c r="K38" s="532"/>
      <c r="L38" s="536" t="s">
        <v>160</v>
      </c>
      <c r="M38" s="534" t="s">
        <v>24</v>
      </c>
      <c r="N38" s="204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</row>
    <row r="39" spans="1:28" ht="15.75" customHeight="1">
      <c r="A39" s="172">
        <v>29</v>
      </c>
      <c r="B39" s="446" t="s">
        <v>151</v>
      </c>
      <c r="C39" s="549">
        <v>44808</v>
      </c>
      <c r="D39" s="505">
        <v>20918</v>
      </c>
      <c r="E39" s="561">
        <v>23689</v>
      </c>
      <c r="F39" s="444" t="s">
        <v>153</v>
      </c>
      <c r="G39" s="444" t="s">
        <v>167</v>
      </c>
      <c r="H39" s="444" t="s">
        <v>155</v>
      </c>
      <c r="I39" s="173" t="s">
        <v>85</v>
      </c>
      <c r="J39" s="173" t="s">
        <v>58</v>
      </c>
      <c r="K39" s="532"/>
      <c r="L39" s="533" t="s">
        <v>678</v>
      </c>
      <c r="M39" s="534" t="s">
        <v>9</v>
      </c>
      <c r="N39" s="204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</row>
    <row r="40" spans="1:28" ht="15.75" customHeight="1">
      <c r="A40" s="461">
        <v>30</v>
      </c>
      <c r="B40" s="446" t="s">
        <v>151</v>
      </c>
      <c r="C40" s="549">
        <v>44808</v>
      </c>
      <c r="D40" s="505">
        <v>20918</v>
      </c>
      <c r="E40" s="564"/>
      <c r="F40" s="444" t="s">
        <v>163</v>
      </c>
      <c r="G40" s="444" t="s">
        <v>164</v>
      </c>
      <c r="H40" s="444" t="s">
        <v>82</v>
      </c>
      <c r="I40" s="173" t="s">
        <v>85</v>
      </c>
      <c r="J40" s="173" t="s">
        <v>58</v>
      </c>
      <c r="K40" s="532"/>
      <c r="L40" s="533" t="s">
        <v>165</v>
      </c>
      <c r="M40" s="534" t="s">
        <v>7</v>
      </c>
      <c r="N40" s="204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</row>
    <row r="41" spans="1:28" ht="15.75" customHeight="1">
      <c r="A41" s="172">
        <v>31</v>
      </c>
      <c r="B41" s="446" t="s">
        <v>151</v>
      </c>
      <c r="C41" s="549">
        <v>44808</v>
      </c>
      <c r="D41" s="505">
        <v>20918</v>
      </c>
      <c r="E41" s="560" t="s">
        <v>941</v>
      </c>
      <c r="F41" s="444" t="s">
        <v>173</v>
      </c>
      <c r="G41" s="444" t="s">
        <v>174</v>
      </c>
      <c r="H41" s="444" t="s">
        <v>175</v>
      </c>
      <c r="I41" s="173" t="s">
        <v>85</v>
      </c>
      <c r="J41" s="173" t="s">
        <v>58</v>
      </c>
      <c r="K41" s="532"/>
      <c r="L41" s="533" t="s">
        <v>176</v>
      </c>
      <c r="M41" s="534" t="s">
        <v>25</v>
      </c>
      <c r="N41" s="204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</row>
    <row r="42" spans="1:28" ht="17.25" customHeight="1">
      <c r="A42" s="172">
        <v>32</v>
      </c>
      <c r="B42" s="446" t="s">
        <v>151</v>
      </c>
      <c r="C42" s="549">
        <v>44808</v>
      </c>
      <c r="D42" s="505">
        <v>20918</v>
      </c>
      <c r="E42" s="561">
        <v>27564</v>
      </c>
      <c r="F42" s="444" t="s">
        <v>169</v>
      </c>
      <c r="G42" s="444" t="s">
        <v>170</v>
      </c>
      <c r="H42" s="444" t="s">
        <v>171</v>
      </c>
      <c r="I42" s="173" t="s">
        <v>64</v>
      </c>
      <c r="J42" s="173" t="s">
        <v>58</v>
      </c>
      <c r="K42" s="532"/>
      <c r="L42" s="536" t="s">
        <v>760</v>
      </c>
      <c r="M42" s="534" t="s">
        <v>10</v>
      </c>
      <c r="N42" s="204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</row>
    <row r="43" spans="1:28" ht="17.25" customHeight="1">
      <c r="A43" s="461">
        <v>33</v>
      </c>
      <c r="B43" s="446" t="s">
        <v>178</v>
      </c>
      <c r="C43" s="565">
        <v>44720</v>
      </c>
      <c r="D43" s="505">
        <v>17806</v>
      </c>
      <c r="E43" s="561">
        <v>23752</v>
      </c>
      <c r="F43" s="444" t="s">
        <v>180</v>
      </c>
      <c r="G43" s="444" t="s">
        <v>181</v>
      </c>
      <c r="H43" s="444" t="s">
        <v>182</v>
      </c>
      <c r="I43" s="173" t="s">
        <v>85</v>
      </c>
      <c r="J43" s="173" t="s">
        <v>58</v>
      </c>
      <c r="K43" s="566"/>
      <c r="L43" s="536" t="s">
        <v>739</v>
      </c>
      <c r="M43" s="534" t="s">
        <v>11</v>
      </c>
      <c r="N43" s="204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</row>
    <row r="44" spans="1:28" ht="17.25" customHeight="1">
      <c r="A44" s="172">
        <v>34</v>
      </c>
      <c r="B44" s="446" t="s">
        <v>178</v>
      </c>
      <c r="C44" s="549">
        <v>44718</v>
      </c>
      <c r="D44" s="505">
        <v>18739</v>
      </c>
      <c r="E44" s="561">
        <v>25168</v>
      </c>
      <c r="F44" s="444" t="s">
        <v>184</v>
      </c>
      <c r="G44" s="444" t="s">
        <v>185</v>
      </c>
      <c r="H44" s="444" t="s">
        <v>186</v>
      </c>
      <c r="I44" s="173" t="s">
        <v>85</v>
      </c>
      <c r="J44" s="173" t="s">
        <v>58</v>
      </c>
      <c r="K44" s="532"/>
      <c r="L44" s="533" t="s">
        <v>187</v>
      </c>
      <c r="M44" s="534" t="s">
        <v>22</v>
      </c>
      <c r="N44" s="204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</row>
    <row r="45" spans="1:28" ht="17.25" customHeight="1">
      <c r="A45" s="172">
        <v>35</v>
      </c>
      <c r="B45" s="469" t="s">
        <v>189</v>
      </c>
      <c r="C45" s="567">
        <v>44716</v>
      </c>
      <c r="D45" s="492">
        <v>17269</v>
      </c>
      <c r="E45" s="568">
        <v>26078</v>
      </c>
      <c r="F45" s="470" t="s">
        <v>737</v>
      </c>
      <c r="G45" s="470" t="s">
        <v>192</v>
      </c>
      <c r="H45" s="470" t="s">
        <v>193</v>
      </c>
      <c r="I45" s="188" t="s">
        <v>85</v>
      </c>
      <c r="J45" s="188" t="s">
        <v>58</v>
      </c>
      <c r="K45" s="569"/>
      <c r="L45" s="570" t="s">
        <v>736</v>
      </c>
      <c r="M45" s="571" t="s">
        <v>3</v>
      </c>
      <c r="N45" s="204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</row>
    <row r="46" spans="1:28" ht="15.75" customHeight="1">
      <c r="A46" s="461">
        <v>36</v>
      </c>
      <c r="B46" s="446" t="s">
        <v>189</v>
      </c>
      <c r="C46" s="549">
        <v>44716</v>
      </c>
      <c r="D46" s="492">
        <v>17269</v>
      </c>
      <c r="E46" s="568">
        <v>27966</v>
      </c>
      <c r="F46" s="444" t="s">
        <v>195</v>
      </c>
      <c r="G46" s="444" t="s">
        <v>196</v>
      </c>
      <c r="H46" s="444" t="s">
        <v>197</v>
      </c>
      <c r="I46" s="173" t="s">
        <v>85</v>
      </c>
      <c r="J46" s="173" t="s">
        <v>58</v>
      </c>
      <c r="K46" s="532"/>
      <c r="L46" s="533" t="s">
        <v>666</v>
      </c>
      <c r="M46" s="534" t="s">
        <v>5</v>
      </c>
      <c r="N46" s="204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</row>
    <row r="47" spans="1:28" ht="15.75" customHeight="1">
      <c r="A47" s="172">
        <v>37</v>
      </c>
      <c r="B47" s="446" t="s">
        <v>178</v>
      </c>
      <c r="C47" s="549">
        <v>44716</v>
      </c>
      <c r="D47" s="492">
        <v>17269</v>
      </c>
      <c r="E47" s="572" t="s">
        <v>942</v>
      </c>
      <c r="F47" s="444" t="s">
        <v>211</v>
      </c>
      <c r="G47" s="444" t="s">
        <v>212</v>
      </c>
      <c r="H47" s="444" t="s">
        <v>213</v>
      </c>
      <c r="I47" s="173" t="s">
        <v>85</v>
      </c>
      <c r="J47" s="173" t="s">
        <v>58</v>
      </c>
      <c r="K47" s="532"/>
      <c r="L47" s="536" t="s">
        <v>214</v>
      </c>
      <c r="M47" s="534" t="s">
        <v>21</v>
      </c>
      <c r="N47" s="204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</row>
    <row r="48" spans="1:28" ht="15.75" customHeight="1">
      <c r="A48" s="172">
        <v>38</v>
      </c>
      <c r="B48" s="446" t="s">
        <v>764</v>
      </c>
      <c r="C48" s="549">
        <v>44716</v>
      </c>
      <c r="D48" s="505">
        <v>17269</v>
      </c>
      <c r="E48" s="560" t="s">
        <v>943</v>
      </c>
      <c r="F48" s="444" t="s">
        <v>199</v>
      </c>
      <c r="G48" s="444" t="s">
        <v>200</v>
      </c>
      <c r="H48" s="444" t="s">
        <v>197</v>
      </c>
      <c r="I48" s="173" t="s">
        <v>64</v>
      </c>
      <c r="J48" s="173" t="s">
        <v>58</v>
      </c>
      <c r="K48" s="532"/>
      <c r="L48" s="536" t="s">
        <v>201</v>
      </c>
      <c r="M48" s="534" t="s">
        <v>6</v>
      </c>
      <c r="N48" s="204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</row>
    <row r="49" spans="1:28" ht="15.75" customHeight="1">
      <c r="A49" s="461">
        <v>39</v>
      </c>
      <c r="B49" s="446" t="s">
        <v>207</v>
      </c>
      <c r="C49" s="549">
        <v>44716</v>
      </c>
      <c r="D49" s="505">
        <v>17269</v>
      </c>
      <c r="E49" s="560" t="s">
        <v>944</v>
      </c>
      <c r="F49" s="444" t="s">
        <v>147</v>
      </c>
      <c r="G49" s="444" t="s">
        <v>208</v>
      </c>
      <c r="H49" s="444" t="s">
        <v>209</v>
      </c>
      <c r="I49" s="173" t="s">
        <v>85</v>
      </c>
      <c r="J49" s="173" t="s">
        <v>58</v>
      </c>
      <c r="K49" s="532"/>
      <c r="L49" s="533" t="s">
        <v>775</v>
      </c>
      <c r="M49" s="534" t="s">
        <v>20</v>
      </c>
      <c r="N49" s="204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</row>
    <row r="50" spans="1:28" ht="15.75" customHeight="1">
      <c r="A50" s="172">
        <v>40</v>
      </c>
      <c r="B50" s="446" t="s">
        <v>178</v>
      </c>
      <c r="C50" s="549">
        <v>44716</v>
      </c>
      <c r="D50" s="505">
        <v>17269</v>
      </c>
      <c r="E50" s="573">
        <v>26844</v>
      </c>
      <c r="F50" s="444" t="s">
        <v>203</v>
      </c>
      <c r="G50" s="444" t="s">
        <v>204</v>
      </c>
      <c r="H50" s="444" t="s">
        <v>205</v>
      </c>
      <c r="I50" s="173" t="s">
        <v>85</v>
      </c>
      <c r="J50" s="173" t="s">
        <v>58</v>
      </c>
      <c r="K50" s="532"/>
      <c r="L50" s="533" t="s">
        <v>681</v>
      </c>
      <c r="M50" s="534" t="s">
        <v>12</v>
      </c>
      <c r="N50" s="204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</row>
    <row r="51" spans="1:28" ht="15.75" customHeight="1">
      <c r="A51" s="172">
        <v>41</v>
      </c>
      <c r="B51" s="446" t="s">
        <v>178</v>
      </c>
      <c r="C51" s="549">
        <v>44713</v>
      </c>
      <c r="D51" s="505">
        <v>16877</v>
      </c>
      <c r="E51" s="574">
        <v>26348</v>
      </c>
      <c r="F51" s="444" t="s">
        <v>216</v>
      </c>
      <c r="G51" s="444" t="s">
        <v>217</v>
      </c>
      <c r="H51" s="444" t="s">
        <v>184</v>
      </c>
      <c r="I51" s="173" t="s">
        <v>85</v>
      </c>
      <c r="J51" s="173" t="s">
        <v>58</v>
      </c>
      <c r="K51" s="532"/>
      <c r="L51" s="533" t="s">
        <v>218</v>
      </c>
      <c r="M51" s="534" t="s">
        <v>23</v>
      </c>
      <c r="N51" s="204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</row>
    <row r="52" spans="1:28" ht="15.75" customHeight="1">
      <c r="A52" s="461">
        <v>42</v>
      </c>
      <c r="B52" s="438" t="s">
        <v>682</v>
      </c>
      <c r="C52" s="549">
        <v>44652</v>
      </c>
      <c r="D52" s="505">
        <v>14993</v>
      </c>
      <c r="E52" s="560" t="s">
        <v>945</v>
      </c>
      <c r="F52" s="439" t="s">
        <v>225</v>
      </c>
      <c r="G52" s="439" t="s">
        <v>226</v>
      </c>
      <c r="H52" s="439" t="s">
        <v>227</v>
      </c>
      <c r="I52" s="173" t="s">
        <v>85</v>
      </c>
      <c r="J52" s="440" t="s">
        <v>58</v>
      </c>
      <c r="K52" s="532"/>
      <c r="L52" s="536" t="s">
        <v>670</v>
      </c>
      <c r="M52" s="534" t="s">
        <v>2</v>
      </c>
      <c r="N52" s="204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</row>
    <row r="53" spans="1:28" ht="15.75" customHeight="1">
      <c r="A53" s="172">
        <v>43</v>
      </c>
      <c r="B53" s="446" t="s">
        <v>686</v>
      </c>
      <c r="C53" s="549">
        <v>44652</v>
      </c>
      <c r="D53" s="505">
        <v>14993</v>
      </c>
      <c r="E53" s="560" t="s">
        <v>946</v>
      </c>
      <c r="F53" s="444" t="s">
        <v>63</v>
      </c>
      <c r="G53" s="444" t="s">
        <v>222</v>
      </c>
      <c r="H53" s="444" t="s">
        <v>223</v>
      </c>
      <c r="I53" s="173" t="s">
        <v>85</v>
      </c>
      <c r="J53" s="173" t="s">
        <v>58</v>
      </c>
      <c r="K53" s="532"/>
      <c r="L53" s="536" t="s">
        <v>685</v>
      </c>
      <c r="M53" s="534" t="s">
        <v>1</v>
      </c>
      <c r="N53" s="204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</row>
    <row r="54" spans="1:28" ht="15.75" customHeight="1">
      <c r="A54" s="172">
        <v>44</v>
      </c>
      <c r="B54" s="446" t="s">
        <v>832</v>
      </c>
      <c r="C54" s="549">
        <v>44628</v>
      </c>
      <c r="D54" s="505">
        <v>14903</v>
      </c>
      <c r="E54" s="561">
        <v>24915</v>
      </c>
      <c r="F54" s="444" t="s">
        <v>237</v>
      </c>
      <c r="G54" s="444" t="s">
        <v>238</v>
      </c>
      <c r="H54" s="444" t="s">
        <v>239</v>
      </c>
      <c r="I54" s="173" t="s">
        <v>85</v>
      </c>
      <c r="J54" s="173" t="s">
        <v>58</v>
      </c>
      <c r="K54" s="532"/>
      <c r="L54" s="536" t="s">
        <v>240</v>
      </c>
      <c r="M54" s="534" t="s">
        <v>19</v>
      </c>
      <c r="N54" s="204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</row>
    <row r="55" spans="1:28" ht="15.75" customHeight="1">
      <c r="A55" s="461">
        <v>45</v>
      </c>
      <c r="B55" s="575" t="s">
        <v>931</v>
      </c>
      <c r="C55" s="576">
        <v>44866</v>
      </c>
      <c r="D55" s="557">
        <v>26779.200000000001</v>
      </c>
      <c r="E55" s="577">
        <v>34241</v>
      </c>
      <c r="F55" s="575" t="s">
        <v>947</v>
      </c>
      <c r="G55" s="575" t="s">
        <v>632</v>
      </c>
      <c r="H55" s="575" t="s">
        <v>633</v>
      </c>
      <c r="I55" s="578" t="s">
        <v>85</v>
      </c>
      <c r="J55" s="578" t="s">
        <v>545</v>
      </c>
      <c r="K55" s="575"/>
      <c r="L55" s="575"/>
      <c r="M55" s="575" t="s">
        <v>948</v>
      </c>
      <c r="N55" s="204"/>
    </row>
    <row r="56" spans="1:28" ht="15.75" customHeight="1">
      <c r="A56" s="579"/>
      <c r="B56" s="580"/>
      <c r="C56" s="580"/>
      <c r="D56" s="293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5.75" customHeight="1">
      <c r="B57" s="204"/>
      <c r="C57" s="204"/>
      <c r="D57" s="520"/>
      <c r="E57" s="204"/>
      <c r="F57" s="204"/>
      <c r="G57" s="204"/>
      <c r="H57" s="204"/>
      <c r="I57" s="204"/>
      <c r="J57" s="204"/>
      <c r="K57" s="204"/>
      <c r="L57" s="204"/>
      <c r="M57" s="204"/>
      <c r="N57" s="204"/>
    </row>
    <row r="58" spans="1:28" ht="15.75" customHeight="1">
      <c r="B58" s="204"/>
      <c r="C58" s="204"/>
      <c r="D58" s="520"/>
      <c r="E58" s="204"/>
      <c r="F58" s="204"/>
      <c r="G58" s="204"/>
      <c r="H58" s="204"/>
      <c r="I58" s="204"/>
      <c r="J58" s="204"/>
      <c r="K58" s="204"/>
      <c r="L58" s="204"/>
      <c r="M58" s="204"/>
      <c r="N58" s="204"/>
    </row>
    <row r="59" spans="1:28" ht="15.75" customHeight="1">
      <c r="D59" s="153"/>
    </row>
    <row r="60" spans="1:28" ht="15.75" customHeight="1">
      <c r="D60" s="153"/>
    </row>
    <row r="61" spans="1:28" ht="15.75" customHeight="1">
      <c r="D61" s="153"/>
    </row>
    <row r="62" spans="1:28" ht="15.75" customHeight="1">
      <c r="D62" s="153"/>
    </row>
    <row r="63" spans="1:28" ht="15.75" customHeight="1">
      <c r="D63" s="153"/>
    </row>
    <row r="64" spans="1:28" ht="15.75" customHeight="1">
      <c r="D64" s="153"/>
    </row>
    <row r="65" spans="4:4" ht="15.75" customHeight="1">
      <c r="D65" s="153"/>
    </row>
    <row r="66" spans="4:4" ht="15.75" customHeight="1">
      <c r="D66" s="153"/>
    </row>
    <row r="67" spans="4:4" ht="15.75" customHeight="1">
      <c r="D67" s="153"/>
    </row>
    <row r="68" spans="4:4" ht="15.75" customHeight="1">
      <c r="D68" s="153"/>
    </row>
    <row r="69" spans="4:4" ht="15.75" customHeight="1">
      <c r="D69" s="153"/>
    </row>
    <row r="70" spans="4:4" ht="15.75" customHeight="1">
      <c r="D70" s="153"/>
    </row>
    <row r="71" spans="4:4" ht="15.75" customHeight="1">
      <c r="D71" s="153"/>
    </row>
    <row r="72" spans="4:4" ht="15.75" customHeight="1">
      <c r="D72" s="153"/>
    </row>
    <row r="73" spans="4:4" ht="15.75" customHeight="1">
      <c r="D73" s="153"/>
    </row>
    <row r="74" spans="4:4" ht="15.75" customHeight="1">
      <c r="D74" s="153"/>
    </row>
    <row r="75" spans="4:4" ht="15.75" customHeight="1">
      <c r="D75" s="153"/>
    </row>
    <row r="76" spans="4:4" ht="15.75" customHeight="1">
      <c r="D76" s="153"/>
    </row>
    <row r="77" spans="4:4" ht="15.75" customHeight="1">
      <c r="D77" s="153"/>
    </row>
    <row r="78" spans="4:4" ht="15.75" customHeight="1">
      <c r="D78" s="153"/>
    </row>
    <row r="79" spans="4:4" ht="15.75" customHeight="1">
      <c r="D79" s="153"/>
    </row>
    <row r="80" spans="4:4" ht="15.75" customHeight="1">
      <c r="D80" s="153"/>
    </row>
    <row r="81" spans="4:4" ht="15.75" customHeight="1">
      <c r="D81" s="153"/>
    </row>
    <row r="82" spans="4:4" ht="15.75" customHeight="1">
      <c r="D82" s="153"/>
    </row>
    <row r="83" spans="4:4" ht="15.75" customHeight="1">
      <c r="D83" s="153"/>
    </row>
    <row r="84" spans="4:4" ht="15.75" customHeight="1">
      <c r="D84" s="153"/>
    </row>
    <row r="85" spans="4:4" ht="15.75" customHeight="1">
      <c r="D85" s="153"/>
    </row>
    <row r="86" spans="4:4" ht="15.75" customHeight="1">
      <c r="D86" s="153"/>
    </row>
    <row r="87" spans="4:4" ht="15.75" customHeight="1">
      <c r="D87" s="153"/>
    </row>
    <row r="88" spans="4:4" ht="15.75" customHeight="1">
      <c r="D88" s="153"/>
    </row>
    <row r="89" spans="4:4" ht="15.75" customHeight="1">
      <c r="D89" s="153"/>
    </row>
    <row r="90" spans="4:4" ht="15.75" customHeight="1">
      <c r="D90" s="153"/>
    </row>
    <row r="91" spans="4:4" ht="15.75" customHeight="1">
      <c r="D91" s="153"/>
    </row>
    <row r="92" spans="4:4" ht="15.75" customHeight="1">
      <c r="D92" s="153"/>
    </row>
    <row r="93" spans="4:4" ht="15.75" customHeight="1">
      <c r="D93" s="153"/>
    </row>
    <row r="94" spans="4:4" ht="15.75" customHeight="1">
      <c r="D94" s="153"/>
    </row>
    <row r="95" spans="4:4" ht="15.75" customHeight="1">
      <c r="D95" s="153"/>
    </row>
    <row r="96" spans="4:4" ht="15.75" customHeight="1">
      <c r="D96" s="153"/>
    </row>
    <row r="97" spans="4:4" ht="15.75" customHeight="1">
      <c r="D97" s="153"/>
    </row>
    <row r="98" spans="4:4" ht="15.75" customHeight="1">
      <c r="D98" s="153"/>
    </row>
    <row r="99" spans="4:4" ht="15.75" customHeight="1">
      <c r="D99" s="153"/>
    </row>
    <row r="100" spans="4:4" ht="15.75" customHeight="1">
      <c r="D100" s="153"/>
    </row>
    <row r="101" spans="4:4" ht="15.75" customHeight="1">
      <c r="D101" s="153"/>
    </row>
    <row r="102" spans="4:4" ht="15.75" customHeight="1">
      <c r="D102" s="153"/>
    </row>
    <row r="103" spans="4:4" ht="15.75" customHeight="1">
      <c r="D103" s="153"/>
    </row>
    <row r="104" spans="4:4" ht="15.75" customHeight="1">
      <c r="D104" s="153"/>
    </row>
    <row r="105" spans="4:4" ht="15.75" customHeight="1">
      <c r="D105" s="153"/>
    </row>
    <row r="106" spans="4:4" ht="15.75" customHeight="1">
      <c r="D106" s="153"/>
    </row>
    <row r="107" spans="4:4" ht="15.75" customHeight="1">
      <c r="D107" s="153"/>
    </row>
    <row r="108" spans="4:4" ht="15.75" customHeight="1">
      <c r="D108" s="153"/>
    </row>
    <row r="109" spans="4:4" ht="15.75" customHeight="1">
      <c r="D109" s="153"/>
    </row>
    <row r="110" spans="4:4" ht="15.75" customHeight="1">
      <c r="D110" s="153"/>
    </row>
    <row r="111" spans="4:4" ht="15.75" customHeight="1">
      <c r="D111" s="153"/>
    </row>
    <row r="112" spans="4:4" ht="15.75" customHeight="1">
      <c r="D112" s="153"/>
    </row>
    <row r="113" spans="4:4" ht="15.75" customHeight="1">
      <c r="D113" s="153"/>
    </row>
    <row r="114" spans="4:4" ht="15.75" customHeight="1">
      <c r="D114" s="153"/>
    </row>
    <row r="115" spans="4:4" ht="15.75" customHeight="1">
      <c r="D115" s="153"/>
    </row>
    <row r="116" spans="4:4" ht="15.75" customHeight="1">
      <c r="D116" s="153"/>
    </row>
    <row r="117" spans="4:4" ht="15.75" customHeight="1">
      <c r="D117" s="153"/>
    </row>
    <row r="118" spans="4:4" ht="15.75" customHeight="1">
      <c r="D118" s="153"/>
    </row>
    <row r="119" spans="4:4" ht="15.75" customHeight="1">
      <c r="D119" s="153"/>
    </row>
    <row r="120" spans="4:4" ht="15.75" customHeight="1">
      <c r="D120" s="153"/>
    </row>
    <row r="121" spans="4:4" ht="15.75" customHeight="1">
      <c r="D121" s="153"/>
    </row>
    <row r="122" spans="4:4" ht="15.75" customHeight="1">
      <c r="D122" s="153"/>
    </row>
    <row r="123" spans="4:4" ht="15.75" customHeight="1">
      <c r="D123" s="153"/>
    </row>
    <row r="124" spans="4:4" ht="15.75" customHeight="1">
      <c r="D124" s="153"/>
    </row>
    <row r="125" spans="4:4" ht="15.75" customHeight="1">
      <c r="D125" s="153"/>
    </row>
    <row r="126" spans="4:4" ht="15.75" customHeight="1">
      <c r="D126" s="153"/>
    </row>
    <row r="127" spans="4:4" ht="15.75" customHeight="1">
      <c r="D127" s="153"/>
    </row>
    <row r="128" spans="4:4" ht="15.75" customHeight="1">
      <c r="D128" s="153"/>
    </row>
    <row r="129" spans="4:4" ht="15.75" customHeight="1">
      <c r="D129" s="153"/>
    </row>
    <row r="130" spans="4:4" ht="15.75" customHeight="1">
      <c r="D130" s="153"/>
    </row>
    <row r="131" spans="4:4" ht="15.75" customHeight="1">
      <c r="D131" s="153"/>
    </row>
    <row r="132" spans="4:4" ht="15.75" customHeight="1">
      <c r="D132" s="153"/>
    </row>
    <row r="133" spans="4:4" ht="15.75" customHeight="1">
      <c r="D133" s="153"/>
    </row>
    <row r="134" spans="4:4" ht="15.75" customHeight="1">
      <c r="D134" s="153"/>
    </row>
    <row r="135" spans="4:4" ht="15.75" customHeight="1">
      <c r="D135" s="153"/>
    </row>
    <row r="136" spans="4:4" ht="15.75" customHeight="1">
      <c r="D136" s="153"/>
    </row>
    <row r="137" spans="4:4" ht="15.75" customHeight="1">
      <c r="D137" s="153"/>
    </row>
    <row r="138" spans="4:4" ht="15.75" customHeight="1">
      <c r="D138" s="153"/>
    </row>
    <row r="139" spans="4:4" ht="15.75" customHeight="1">
      <c r="D139" s="153"/>
    </row>
    <row r="140" spans="4:4" ht="15.75" customHeight="1">
      <c r="D140" s="153"/>
    </row>
    <row r="141" spans="4:4" ht="15.75" customHeight="1">
      <c r="D141" s="153"/>
    </row>
    <row r="142" spans="4:4" ht="15.75" customHeight="1">
      <c r="D142" s="153"/>
    </row>
    <row r="143" spans="4:4" ht="15.75" customHeight="1">
      <c r="D143" s="153"/>
    </row>
    <row r="144" spans="4:4" ht="15.75" customHeight="1">
      <c r="D144" s="153"/>
    </row>
    <row r="145" spans="4:4" ht="15.75" customHeight="1">
      <c r="D145" s="153"/>
    </row>
    <row r="146" spans="4:4" ht="15.75" customHeight="1">
      <c r="D146" s="153"/>
    </row>
    <row r="147" spans="4:4" ht="15.75" customHeight="1">
      <c r="D147" s="153"/>
    </row>
    <row r="148" spans="4:4" ht="15.75" customHeight="1">
      <c r="D148" s="153"/>
    </row>
    <row r="149" spans="4:4" ht="15.75" customHeight="1">
      <c r="D149" s="153"/>
    </row>
    <row r="150" spans="4:4" ht="15.75" customHeight="1">
      <c r="D150" s="153"/>
    </row>
    <row r="151" spans="4:4" ht="15.75" customHeight="1">
      <c r="D151" s="153"/>
    </row>
    <row r="152" spans="4:4" ht="15.75" customHeight="1">
      <c r="D152" s="153"/>
    </row>
    <row r="153" spans="4:4" ht="15.75" customHeight="1">
      <c r="D153" s="153"/>
    </row>
    <row r="154" spans="4:4" ht="15.75" customHeight="1">
      <c r="D154" s="153"/>
    </row>
    <row r="155" spans="4:4" ht="15.75" customHeight="1">
      <c r="D155" s="153"/>
    </row>
    <row r="156" spans="4:4" ht="15.75" customHeight="1">
      <c r="D156" s="153"/>
    </row>
    <row r="157" spans="4:4" ht="15.75" customHeight="1">
      <c r="D157" s="153"/>
    </row>
    <row r="158" spans="4:4" ht="15.75" customHeight="1">
      <c r="D158" s="153"/>
    </row>
    <row r="159" spans="4:4" ht="15.75" customHeight="1">
      <c r="D159" s="153"/>
    </row>
    <row r="160" spans="4:4" ht="15.75" customHeight="1">
      <c r="D160" s="153"/>
    </row>
    <row r="161" spans="4:4" ht="15.75" customHeight="1">
      <c r="D161" s="153"/>
    </row>
    <row r="162" spans="4:4" ht="15.75" customHeight="1">
      <c r="D162" s="153"/>
    </row>
    <row r="163" spans="4:4" ht="15.75" customHeight="1">
      <c r="D163" s="153"/>
    </row>
    <row r="164" spans="4:4" ht="15.75" customHeight="1">
      <c r="D164" s="153"/>
    </row>
    <row r="165" spans="4:4" ht="15.75" customHeight="1">
      <c r="D165" s="153"/>
    </row>
    <row r="166" spans="4:4" ht="15.75" customHeight="1">
      <c r="D166" s="153"/>
    </row>
    <row r="167" spans="4:4" ht="15.75" customHeight="1">
      <c r="D167" s="153"/>
    </row>
    <row r="168" spans="4:4" ht="15.75" customHeight="1">
      <c r="D168" s="153"/>
    </row>
    <row r="169" spans="4:4" ht="15.75" customHeight="1">
      <c r="D169" s="153"/>
    </row>
    <row r="170" spans="4:4" ht="15.75" customHeight="1">
      <c r="D170" s="153"/>
    </row>
    <row r="171" spans="4:4" ht="15.75" customHeight="1">
      <c r="D171" s="153"/>
    </row>
    <row r="172" spans="4:4" ht="15.75" customHeight="1">
      <c r="D172" s="153"/>
    </row>
    <row r="173" spans="4:4" ht="15.75" customHeight="1">
      <c r="D173" s="153"/>
    </row>
    <row r="174" spans="4:4" ht="15.75" customHeight="1">
      <c r="D174" s="153"/>
    </row>
    <row r="175" spans="4:4" ht="15.75" customHeight="1">
      <c r="D175" s="153"/>
    </row>
    <row r="176" spans="4:4" ht="15.75" customHeight="1">
      <c r="D176" s="153"/>
    </row>
    <row r="177" spans="4:4" ht="15.75" customHeight="1">
      <c r="D177" s="153"/>
    </row>
    <row r="178" spans="4:4" ht="15.75" customHeight="1">
      <c r="D178" s="153"/>
    </row>
    <row r="179" spans="4:4" ht="15.75" customHeight="1">
      <c r="D179" s="153"/>
    </row>
    <row r="180" spans="4:4" ht="15.75" customHeight="1">
      <c r="D180" s="153"/>
    </row>
    <row r="181" spans="4:4" ht="15.75" customHeight="1">
      <c r="D181" s="153"/>
    </row>
    <row r="182" spans="4:4" ht="15.75" customHeight="1">
      <c r="D182" s="153"/>
    </row>
    <row r="183" spans="4:4" ht="15.75" customHeight="1">
      <c r="D183" s="153"/>
    </row>
    <row r="184" spans="4:4" ht="15.75" customHeight="1">
      <c r="D184" s="153"/>
    </row>
    <row r="185" spans="4:4" ht="15.75" customHeight="1">
      <c r="D185" s="153"/>
    </row>
    <row r="186" spans="4:4" ht="15.75" customHeight="1">
      <c r="D186" s="153"/>
    </row>
    <row r="187" spans="4:4" ht="15.75" customHeight="1">
      <c r="D187" s="153"/>
    </row>
    <row r="188" spans="4:4" ht="15.75" customHeight="1">
      <c r="D188" s="153"/>
    </row>
    <row r="189" spans="4:4" ht="15.75" customHeight="1">
      <c r="D189" s="153"/>
    </row>
    <row r="190" spans="4:4" ht="15.75" customHeight="1">
      <c r="D190" s="153"/>
    </row>
    <row r="191" spans="4:4" ht="15.75" customHeight="1">
      <c r="D191" s="153"/>
    </row>
    <row r="192" spans="4:4" ht="15.75" customHeight="1">
      <c r="D192" s="153"/>
    </row>
    <row r="193" spans="4:4" ht="15.75" customHeight="1">
      <c r="D193" s="153"/>
    </row>
    <row r="194" spans="4:4" ht="15.75" customHeight="1">
      <c r="D194" s="153"/>
    </row>
    <row r="195" spans="4:4" ht="15.75" customHeight="1">
      <c r="D195" s="153"/>
    </row>
    <row r="196" spans="4:4" ht="15.75" customHeight="1">
      <c r="D196" s="153"/>
    </row>
    <row r="197" spans="4:4" ht="15.75" customHeight="1">
      <c r="D197" s="153"/>
    </row>
    <row r="198" spans="4:4" ht="15.75" customHeight="1">
      <c r="D198" s="153"/>
    </row>
    <row r="199" spans="4:4" ht="15.75" customHeight="1">
      <c r="D199" s="153"/>
    </row>
    <row r="200" spans="4:4" ht="15.75" customHeight="1">
      <c r="D200" s="153"/>
    </row>
    <row r="201" spans="4:4" ht="15.75" customHeight="1">
      <c r="D201" s="153"/>
    </row>
    <row r="202" spans="4:4" ht="15.75" customHeight="1">
      <c r="D202" s="153"/>
    </row>
    <row r="203" spans="4:4" ht="15.75" customHeight="1">
      <c r="D203" s="153"/>
    </row>
    <row r="204" spans="4:4" ht="15.75" customHeight="1">
      <c r="D204" s="153"/>
    </row>
    <row r="205" spans="4:4" ht="15.75" customHeight="1">
      <c r="D205" s="153"/>
    </row>
    <row r="206" spans="4:4" ht="15.75" customHeight="1">
      <c r="D206" s="153"/>
    </row>
    <row r="207" spans="4:4" ht="15.75" customHeight="1">
      <c r="D207" s="153"/>
    </row>
    <row r="208" spans="4:4" ht="15.75" customHeight="1">
      <c r="D208" s="153"/>
    </row>
    <row r="209" spans="4:4" ht="15.75" customHeight="1">
      <c r="D209" s="153"/>
    </row>
    <row r="210" spans="4:4" ht="15.75" customHeight="1">
      <c r="D210" s="153"/>
    </row>
    <row r="211" spans="4:4" ht="15.75" customHeight="1">
      <c r="D211" s="153"/>
    </row>
    <row r="212" spans="4:4" ht="15.75" customHeight="1">
      <c r="D212" s="153"/>
    </row>
    <row r="213" spans="4:4" ht="15.75" customHeight="1">
      <c r="D213" s="153"/>
    </row>
    <row r="214" spans="4:4" ht="15.75" customHeight="1">
      <c r="D214" s="153"/>
    </row>
    <row r="215" spans="4:4" ht="15.75" customHeight="1">
      <c r="D215" s="153"/>
    </row>
    <row r="216" spans="4:4" ht="15.75" customHeight="1">
      <c r="D216" s="153"/>
    </row>
    <row r="217" spans="4:4" ht="15.75" customHeight="1">
      <c r="D217" s="153"/>
    </row>
    <row r="218" spans="4:4" ht="15.75" customHeight="1">
      <c r="D218" s="153"/>
    </row>
    <row r="219" spans="4:4" ht="15.75" customHeight="1">
      <c r="D219" s="153"/>
    </row>
    <row r="220" spans="4:4" ht="15.75" customHeight="1">
      <c r="D220" s="153"/>
    </row>
    <row r="221" spans="4:4" ht="15.75" customHeight="1">
      <c r="D221" s="153"/>
    </row>
    <row r="222" spans="4:4" ht="15.75" customHeight="1">
      <c r="D222" s="153"/>
    </row>
    <row r="223" spans="4:4" ht="15.75" customHeight="1">
      <c r="D223" s="153"/>
    </row>
    <row r="224" spans="4:4" ht="15.75" customHeight="1">
      <c r="D224" s="153"/>
    </row>
    <row r="225" spans="4:4" ht="15.75" customHeight="1">
      <c r="D225" s="153"/>
    </row>
    <row r="226" spans="4:4" ht="15.75" customHeight="1">
      <c r="D226" s="153"/>
    </row>
    <row r="227" spans="4:4" ht="15.75" customHeight="1">
      <c r="D227" s="153"/>
    </row>
    <row r="228" spans="4:4" ht="15.75" customHeight="1">
      <c r="D228" s="153"/>
    </row>
    <row r="229" spans="4:4" ht="15.75" customHeight="1">
      <c r="D229" s="153"/>
    </row>
    <row r="230" spans="4:4" ht="15.75" customHeight="1">
      <c r="D230" s="153"/>
    </row>
    <row r="231" spans="4:4" ht="15.75" customHeight="1">
      <c r="D231" s="153"/>
    </row>
    <row r="232" spans="4:4" ht="15.75" customHeight="1">
      <c r="D232" s="153"/>
    </row>
    <row r="233" spans="4:4" ht="15.75" customHeight="1">
      <c r="D233" s="153"/>
    </row>
    <row r="234" spans="4:4" ht="15.75" customHeight="1">
      <c r="D234" s="153"/>
    </row>
    <row r="235" spans="4:4" ht="15.75" customHeight="1">
      <c r="D235" s="153"/>
    </row>
    <row r="236" spans="4:4" ht="15.75" customHeight="1">
      <c r="D236" s="153"/>
    </row>
    <row r="237" spans="4:4" ht="15.75" customHeight="1">
      <c r="D237" s="153"/>
    </row>
    <row r="238" spans="4:4" ht="15.75" customHeight="1">
      <c r="D238" s="153"/>
    </row>
    <row r="239" spans="4:4" ht="15.75" customHeight="1">
      <c r="D239" s="153"/>
    </row>
    <row r="240" spans="4:4" ht="15.75" customHeight="1">
      <c r="D240" s="153"/>
    </row>
    <row r="241" spans="4:4" ht="15.75" customHeight="1">
      <c r="D241" s="153"/>
    </row>
    <row r="242" spans="4:4" ht="15.75" customHeight="1">
      <c r="D242" s="153"/>
    </row>
    <row r="243" spans="4:4" ht="15.75" customHeight="1">
      <c r="D243" s="153"/>
    </row>
    <row r="244" spans="4:4" ht="15.75" customHeight="1">
      <c r="D244" s="153"/>
    </row>
    <row r="245" spans="4:4" ht="15.75" customHeight="1">
      <c r="D245" s="153"/>
    </row>
    <row r="246" spans="4:4" ht="15.75" customHeight="1">
      <c r="D246" s="153"/>
    </row>
    <row r="247" spans="4:4" ht="15.75" customHeight="1">
      <c r="D247" s="153"/>
    </row>
    <row r="248" spans="4:4" ht="15.75" customHeight="1">
      <c r="D248" s="153"/>
    </row>
    <row r="249" spans="4:4" ht="15.75" customHeight="1">
      <c r="D249" s="153"/>
    </row>
    <row r="250" spans="4:4" ht="15.75" customHeight="1">
      <c r="D250" s="153"/>
    </row>
    <row r="251" spans="4:4" ht="15.75" customHeight="1">
      <c r="D251" s="153"/>
    </row>
    <row r="252" spans="4:4" ht="15.75" customHeight="1">
      <c r="D252" s="153"/>
    </row>
    <row r="253" spans="4:4" ht="15.75" customHeight="1">
      <c r="D253" s="153"/>
    </row>
    <row r="254" spans="4:4" ht="15.75" customHeight="1">
      <c r="D254" s="153"/>
    </row>
    <row r="255" spans="4:4" ht="15.75" customHeight="1">
      <c r="D255" s="153"/>
    </row>
    <row r="256" spans="4:4" ht="15.75" customHeight="1">
      <c r="D256" s="153"/>
    </row>
    <row r="257" spans="4:4" ht="15.75" customHeight="1">
      <c r="D257" s="153"/>
    </row>
    <row r="258" spans="4:4" ht="15.75" customHeight="1">
      <c r="D258" s="153"/>
    </row>
    <row r="259" spans="4:4" ht="15.75" customHeight="1">
      <c r="D259" s="153"/>
    </row>
    <row r="260" spans="4:4" ht="15.75" customHeight="1">
      <c r="D260" s="153"/>
    </row>
    <row r="261" spans="4:4" ht="15.75" customHeight="1">
      <c r="D261" s="153"/>
    </row>
    <row r="262" spans="4:4" ht="15.75" customHeight="1">
      <c r="D262" s="153"/>
    </row>
    <row r="263" spans="4:4" ht="15.75" customHeight="1">
      <c r="D263" s="153"/>
    </row>
    <row r="264" spans="4:4" ht="15.75" customHeight="1">
      <c r="D264" s="153"/>
    </row>
    <row r="265" spans="4:4" ht="15.75" customHeight="1">
      <c r="D265" s="153"/>
    </row>
    <row r="266" spans="4:4" ht="15.75" customHeight="1">
      <c r="D266" s="153"/>
    </row>
    <row r="267" spans="4:4" ht="15.75" customHeight="1">
      <c r="D267" s="153"/>
    </row>
    <row r="268" spans="4:4" ht="15.75" customHeight="1">
      <c r="D268" s="153"/>
    </row>
    <row r="269" spans="4:4" ht="15.75" customHeight="1">
      <c r="D269" s="153"/>
    </row>
    <row r="270" spans="4:4" ht="15.75" customHeight="1">
      <c r="D270" s="153"/>
    </row>
    <row r="271" spans="4:4" ht="15.75" customHeight="1">
      <c r="D271" s="153"/>
    </row>
    <row r="272" spans="4:4" ht="15.75" customHeight="1">
      <c r="D272" s="153"/>
    </row>
    <row r="273" spans="4:4" ht="15.75" customHeight="1">
      <c r="D273" s="153"/>
    </row>
    <row r="274" spans="4:4" ht="15.75" customHeight="1">
      <c r="D274" s="153"/>
    </row>
    <row r="275" spans="4:4" ht="15.75" customHeight="1">
      <c r="D275" s="153"/>
    </row>
    <row r="276" spans="4:4" ht="15.75" customHeight="1">
      <c r="D276" s="153"/>
    </row>
    <row r="277" spans="4:4" ht="15.75" customHeight="1">
      <c r="D277" s="153"/>
    </row>
    <row r="278" spans="4:4" ht="15.75" customHeight="1">
      <c r="D278" s="153"/>
    </row>
    <row r="279" spans="4:4" ht="15.75" customHeight="1">
      <c r="D279" s="153"/>
    </row>
    <row r="280" spans="4:4" ht="15.75" customHeight="1">
      <c r="D280" s="153"/>
    </row>
    <row r="281" spans="4:4" ht="15.75" customHeight="1">
      <c r="D281" s="153"/>
    </row>
    <row r="282" spans="4:4" ht="15.75" customHeight="1">
      <c r="D282" s="153"/>
    </row>
    <row r="283" spans="4:4" ht="15.75" customHeight="1">
      <c r="D283" s="153"/>
    </row>
    <row r="284" spans="4:4" ht="15.75" customHeight="1">
      <c r="D284" s="153"/>
    </row>
    <row r="285" spans="4:4" ht="15.75" customHeight="1">
      <c r="D285" s="153"/>
    </row>
    <row r="286" spans="4:4" ht="15.75" customHeight="1">
      <c r="D286" s="153"/>
    </row>
    <row r="287" spans="4:4" ht="15.75" customHeight="1">
      <c r="D287" s="153"/>
    </row>
    <row r="288" spans="4:4" ht="15.75" customHeight="1">
      <c r="D288" s="153"/>
    </row>
    <row r="289" spans="4:4" ht="15.75" customHeight="1">
      <c r="D289" s="153"/>
    </row>
    <row r="290" spans="4:4" ht="15.75" customHeight="1">
      <c r="D290" s="153"/>
    </row>
    <row r="291" spans="4:4" ht="15.75" customHeight="1">
      <c r="D291" s="153"/>
    </row>
    <row r="292" spans="4:4" ht="15.75" customHeight="1">
      <c r="D292" s="153"/>
    </row>
    <row r="293" spans="4:4" ht="15.75" customHeight="1">
      <c r="D293" s="153"/>
    </row>
    <row r="294" spans="4:4" ht="15.75" customHeight="1">
      <c r="D294" s="153"/>
    </row>
    <row r="295" spans="4:4" ht="15.75" customHeight="1">
      <c r="D295" s="153"/>
    </row>
    <row r="296" spans="4:4" ht="15.75" customHeight="1">
      <c r="D296" s="153"/>
    </row>
    <row r="297" spans="4:4" ht="15.75" customHeight="1">
      <c r="D297" s="153"/>
    </row>
    <row r="298" spans="4:4" ht="15.75" customHeight="1">
      <c r="D298" s="153"/>
    </row>
    <row r="299" spans="4:4" ht="15.75" customHeight="1">
      <c r="D299" s="153"/>
    </row>
    <row r="300" spans="4:4" ht="15.75" customHeight="1">
      <c r="D300" s="153"/>
    </row>
    <row r="301" spans="4:4" ht="15.75" customHeight="1">
      <c r="D301" s="153"/>
    </row>
    <row r="302" spans="4:4" ht="15.75" customHeight="1">
      <c r="D302" s="153"/>
    </row>
    <row r="303" spans="4:4" ht="15.75" customHeight="1">
      <c r="D303" s="153"/>
    </row>
    <row r="304" spans="4:4" ht="15.75" customHeight="1">
      <c r="D304" s="153"/>
    </row>
    <row r="305" spans="4:4" ht="15.75" customHeight="1">
      <c r="D305" s="153"/>
    </row>
    <row r="306" spans="4:4" ht="15.75" customHeight="1">
      <c r="D306" s="153"/>
    </row>
    <row r="307" spans="4:4" ht="15.75" customHeight="1">
      <c r="D307" s="153"/>
    </row>
    <row r="308" spans="4:4" ht="15.75" customHeight="1">
      <c r="D308" s="153"/>
    </row>
    <row r="309" spans="4:4" ht="15.75" customHeight="1">
      <c r="D309" s="153"/>
    </row>
    <row r="310" spans="4:4" ht="15.75" customHeight="1">
      <c r="D310" s="153"/>
    </row>
    <row r="311" spans="4:4" ht="15.75" customHeight="1">
      <c r="D311" s="153"/>
    </row>
    <row r="312" spans="4:4" ht="15.75" customHeight="1">
      <c r="D312" s="153"/>
    </row>
    <row r="313" spans="4:4" ht="15.75" customHeight="1">
      <c r="D313" s="153"/>
    </row>
    <row r="314" spans="4:4" ht="15.75" customHeight="1">
      <c r="D314" s="153"/>
    </row>
    <row r="315" spans="4:4" ht="15.75" customHeight="1">
      <c r="D315" s="153"/>
    </row>
    <row r="316" spans="4:4" ht="15.75" customHeight="1">
      <c r="D316" s="153"/>
    </row>
    <row r="317" spans="4:4" ht="15.75" customHeight="1">
      <c r="D317" s="153"/>
    </row>
    <row r="318" spans="4:4" ht="15.75" customHeight="1">
      <c r="D318" s="153"/>
    </row>
    <row r="319" spans="4:4" ht="15.75" customHeight="1">
      <c r="D319" s="153"/>
    </row>
    <row r="320" spans="4:4" ht="15.75" customHeight="1">
      <c r="D320" s="153"/>
    </row>
    <row r="321" spans="4:4" ht="15.75" customHeight="1">
      <c r="D321" s="153"/>
    </row>
    <row r="322" spans="4:4" ht="15.75" customHeight="1">
      <c r="D322" s="153"/>
    </row>
    <row r="323" spans="4:4" ht="15.75" customHeight="1">
      <c r="D323" s="153"/>
    </row>
    <row r="324" spans="4:4" ht="15.75" customHeight="1">
      <c r="D324" s="153"/>
    </row>
    <row r="325" spans="4:4" ht="15.75" customHeight="1">
      <c r="D325" s="153"/>
    </row>
    <row r="326" spans="4:4" ht="15.75" customHeight="1">
      <c r="D326" s="153"/>
    </row>
    <row r="327" spans="4:4" ht="15.75" customHeight="1">
      <c r="D327" s="153"/>
    </row>
    <row r="328" spans="4:4" ht="15.75" customHeight="1">
      <c r="D328" s="153"/>
    </row>
    <row r="329" spans="4:4" ht="15.75" customHeight="1">
      <c r="D329" s="153"/>
    </row>
    <row r="330" spans="4:4" ht="15.75" customHeight="1">
      <c r="D330" s="153"/>
    </row>
    <row r="331" spans="4:4" ht="15.75" customHeight="1">
      <c r="D331" s="153"/>
    </row>
    <row r="332" spans="4:4" ht="15.75" customHeight="1">
      <c r="D332" s="153"/>
    </row>
    <row r="333" spans="4:4" ht="15.75" customHeight="1">
      <c r="D333" s="153"/>
    </row>
    <row r="334" spans="4:4" ht="15.75" customHeight="1">
      <c r="D334" s="153"/>
    </row>
    <row r="335" spans="4:4" ht="15.75" customHeight="1">
      <c r="D335" s="153"/>
    </row>
    <row r="336" spans="4:4" ht="15.75" customHeight="1">
      <c r="D336" s="153"/>
    </row>
    <row r="337" spans="4:4" ht="15.75" customHeight="1">
      <c r="D337" s="153"/>
    </row>
    <row r="338" spans="4:4" ht="15.75" customHeight="1">
      <c r="D338" s="153"/>
    </row>
    <row r="339" spans="4:4" ht="15.75" customHeight="1">
      <c r="D339" s="153"/>
    </row>
    <row r="340" spans="4:4" ht="15.75" customHeight="1">
      <c r="D340" s="153"/>
    </row>
    <row r="341" spans="4:4" ht="15.75" customHeight="1">
      <c r="D341" s="153"/>
    </row>
    <row r="342" spans="4:4" ht="15.75" customHeight="1">
      <c r="D342" s="153"/>
    </row>
    <row r="343" spans="4:4" ht="15.75" customHeight="1">
      <c r="D343" s="153"/>
    </row>
    <row r="344" spans="4:4" ht="15.75" customHeight="1">
      <c r="D344" s="153"/>
    </row>
    <row r="345" spans="4:4" ht="15.75" customHeight="1">
      <c r="D345" s="153"/>
    </row>
    <row r="346" spans="4:4" ht="15.75" customHeight="1">
      <c r="D346" s="153"/>
    </row>
    <row r="347" spans="4:4" ht="15.75" customHeight="1">
      <c r="D347" s="153"/>
    </row>
    <row r="348" spans="4:4" ht="15.75" customHeight="1">
      <c r="D348" s="153"/>
    </row>
    <row r="349" spans="4:4" ht="15.75" customHeight="1">
      <c r="D349" s="153"/>
    </row>
    <row r="350" spans="4:4" ht="15.75" customHeight="1">
      <c r="D350" s="153"/>
    </row>
    <row r="351" spans="4:4" ht="15.75" customHeight="1">
      <c r="D351" s="153"/>
    </row>
    <row r="352" spans="4:4" ht="15.75" customHeight="1">
      <c r="D352" s="153"/>
    </row>
    <row r="353" spans="4:4" ht="15.75" customHeight="1">
      <c r="D353" s="153"/>
    </row>
    <row r="354" spans="4:4" ht="15.75" customHeight="1">
      <c r="D354" s="153"/>
    </row>
    <row r="355" spans="4:4" ht="15.75" customHeight="1">
      <c r="D355" s="153"/>
    </row>
    <row r="356" spans="4:4" ht="15.75" customHeight="1">
      <c r="D356" s="153"/>
    </row>
    <row r="357" spans="4:4" ht="15.75" customHeight="1">
      <c r="D357" s="153"/>
    </row>
    <row r="358" spans="4:4" ht="15.75" customHeight="1">
      <c r="D358" s="153"/>
    </row>
    <row r="359" spans="4:4" ht="15.75" customHeight="1">
      <c r="D359" s="153"/>
    </row>
    <row r="360" spans="4:4" ht="15.75" customHeight="1">
      <c r="D360" s="153"/>
    </row>
    <row r="361" spans="4:4" ht="15.75" customHeight="1">
      <c r="D361" s="153"/>
    </row>
    <row r="362" spans="4:4" ht="15.75" customHeight="1">
      <c r="D362" s="153"/>
    </row>
    <row r="363" spans="4:4" ht="15.75" customHeight="1">
      <c r="D363" s="153"/>
    </row>
    <row r="364" spans="4:4" ht="15.75" customHeight="1">
      <c r="D364" s="153"/>
    </row>
    <row r="365" spans="4:4" ht="15.75" customHeight="1">
      <c r="D365" s="153"/>
    </row>
    <row r="366" spans="4:4" ht="15.75" customHeight="1">
      <c r="D366" s="153"/>
    </row>
    <row r="367" spans="4:4" ht="15.75" customHeight="1">
      <c r="D367" s="153"/>
    </row>
    <row r="368" spans="4:4" ht="15.75" customHeight="1">
      <c r="D368" s="153"/>
    </row>
    <row r="369" spans="4:4" ht="15.75" customHeight="1">
      <c r="D369" s="153"/>
    </row>
    <row r="370" spans="4:4" ht="15.75" customHeight="1">
      <c r="D370" s="153"/>
    </row>
    <row r="371" spans="4:4" ht="15.75" customHeight="1">
      <c r="D371" s="153"/>
    </row>
    <row r="372" spans="4:4" ht="15.75" customHeight="1">
      <c r="D372" s="153"/>
    </row>
    <row r="373" spans="4:4" ht="15.75" customHeight="1">
      <c r="D373" s="153"/>
    </row>
    <row r="374" spans="4:4" ht="15.75" customHeight="1">
      <c r="D374" s="153"/>
    </row>
    <row r="375" spans="4:4" ht="15.75" customHeight="1">
      <c r="D375" s="153"/>
    </row>
    <row r="376" spans="4:4" ht="15.75" customHeight="1">
      <c r="D376" s="153"/>
    </row>
    <row r="377" spans="4:4" ht="15.75" customHeight="1">
      <c r="D377" s="153"/>
    </row>
    <row r="378" spans="4:4" ht="15.75" customHeight="1">
      <c r="D378" s="153"/>
    </row>
    <row r="379" spans="4:4" ht="15.75" customHeight="1">
      <c r="D379" s="153"/>
    </row>
    <row r="380" spans="4:4" ht="15.75" customHeight="1">
      <c r="D380" s="153"/>
    </row>
    <row r="381" spans="4:4" ht="15.75" customHeight="1">
      <c r="D381" s="153"/>
    </row>
    <row r="382" spans="4:4" ht="15.75" customHeight="1">
      <c r="D382" s="153"/>
    </row>
    <row r="383" spans="4:4" ht="15.75" customHeight="1">
      <c r="D383" s="153"/>
    </row>
    <row r="384" spans="4:4" ht="15.75" customHeight="1">
      <c r="D384" s="153"/>
    </row>
    <row r="385" spans="4:4" ht="15.75" customHeight="1">
      <c r="D385" s="153"/>
    </row>
    <row r="386" spans="4:4" ht="15.75" customHeight="1">
      <c r="D386" s="153"/>
    </row>
    <row r="387" spans="4:4" ht="15.75" customHeight="1">
      <c r="D387" s="153"/>
    </row>
    <row r="388" spans="4:4" ht="15.75" customHeight="1">
      <c r="D388" s="153"/>
    </row>
    <row r="389" spans="4:4" ht="15.75" customHeight="1">
      <c r="D389" s="153"/>
    </row>
    <row r="390" spans="4:4" ht="15.75" customHeight="1">
      <c r="D390" s="153"/>
    </row>
    <row r="391" spans="4:4" ht="15.75" customHeight="1">
      <c r="D391" s="153"/>
    </row>
    <row r="392" spans="4:4" ht="15.75" customHeight="1">
      <c r="D392" s="153"/>
    </row>
    <row r="393" spans="4:4" ht="15.75" customHeight="1">
      <c r="D393" s="153"/>
    </row>
    <row r="394" spans="4:4" ht="15.75" customHeight="1">
      <c r="D394" s="153"/>
    </row>
    <row r="395" spans="4:4" ht="15.75" customHeight="1">
      <c r="D395" s="153"/>
    </row>
    <row r="396" spans="4:4" ht="15.75" customHeight="1">
      <c r="D396" s="153"/>
    </row>
    <row r="397" spans="4:4" ht="15.75" customHeight="1">
      <c r="D397" s="153"/>
    </row>
    <row r="398" spans="4:4" ht="15.75" customHeight="1">
      <c r="D398" s="153"/>
    </row>
    <row r="399" spans="4:4" ht="15.75" customHeight="1">
      <c r="D399" s="153"/>
    </row>
    <row r="400" spans="4:4" ht="15.75" customHeight="1">
      <c r="D400" s="153"/>
    </row>
    <row r="401" spans="4:4" ht="15.75" customHeight="1">
      <c r="D401" s="153"/>
    </row>
    <row r="402" spans="4:4" ht="15.75" customHeight="1">
      <c r="D402" s="153"/>
    </row>
    <row r="403" spans="4:4" ht="15.75" customHeight="1">
      <c r="D403" s="153"/>
    </row>
    <row r="404" spans="4:4" ht="15.75" customHeight="1">
      <c r="D404" s="153"/>
    </row>
    <row r="405" spans="4:4" ht="15.75" customHeight="1">
      <c r="D405" s="153"/>
    </row>
    <row r="406" spans="4:4" ht="15.75" customHeight="1">
      <c r="D406" s="153"/>
    </row>
    <row r="407" spans="4:4" ht="15.75" customHeight="1">
      <c r="D407" s="153"/>
    </row>
    <row r="408" spans="4:4" ht="15.75" customHeight="1">
      <c r="D408" s="153"/>
    </row>
    <row r="409" spans="4:4" ht="15.75" customHeight="1">
      <c r="D409" s="153"/>
    </row>
    <row r="410" spans="4:4" ht="15.75" customHeight="1">
      <c r="D410" s="153"/>
    </row>
    <row r="411" spans="4:4" ht="15.75" customHeight="1">
      <c r="D411" s="153"/>
    </row>
    <row r="412" spans="4:4" ht="15.75" customHeight="1">
      <c r="D412" s="153"/>
    </row>
    <row r="413" spans="4:4" ht="15.75" customHeight="1">
      <c r="D413" s="153"/>
    </row>
    <row r="414" spans="4:4" ht="15.75" customHeight="1">
      <c r="D414" s="153"/>
    </row>
    <row r="415" spans="4:4" ht="15.75" customHeight="1">
      <c r="D415" s="153"/>
    </row>
    <row r="416" spans="4:4" ht="15.75" customHeight="1">
      <c r="D416" s="153"/>
    </row>
    <row r="417" spans="4:4" ht="15.75" customHeight="1">
      <c r="D417" s="153"/>
    </row>
    <row r="418" spans="4:4" ht="15.75" customHeight="1">
      <c r="D418" s="153"/>
    </row>
    <row r="419" spans="4:4" ht="15.75" customHeight="1">
      <c r="D419" s="153"/>
    </row>
    <row r="420" spans="4:4" ht="15.75" customHeight="1">
      <c r="D420" s="153"/>
    </row>
    <row r="421" spans="4:4" ht="15.75" customHeight="1">
      <c r="D421" s="153"/>
    </row>
    <row r="422" spans="4:4" ht="15.75" customHeight="1">
      <c r="D422" s="153"/>
    </row>
    <row r="423" spans="4:4" ht="15.75" customHeight="1">
      <c r="D423" s="153"/>
    </row>
    <row r="424" spans="4:4" ht="15.75" customHeight="1">
      <c r="D424" s="153"/>
    </row>
    <row r="425" spans="4:4" ht="15.75" customHeight="1">
      <c r="D425" s="153"/>
    </row>
    <row r="426" spans="4:4" ht="15.75" customHeight="1">
      <c r="D426" s="153"/>
    </row>
    <row r="427" spans="4:4" ht="15.75" customHeight="1">
      <c r="D427" s="153"/>
    </row>
    <row r="428" spans="4:4" ht="15.75" customHeight="1">
      <c r="D428" s="153"/>
    </row>
    <row r="429" spans="4:4" ht="15.75" customHeight="1">
      <c r="D429" s="153"/>
    </row>
    <row r="430" spans="4:4" ht="15.75" customHeight="1">
      <c r="D430" s="153"/>
    </row>
    <row r="431" spans="4:4" ht="15.75" customHeight="1">
      <c r="D431" s="153"/>
    </row>
    <row r="432" spans="4:4" ht="15.75" customHeight="1">
      <c r="D432" s="153"/>
    </row>
    <row r="433" spans="4:4" ht="15.75" customHeight="1">
      <c r="D433" s="153"/>
    </row>
    <row r="434" spans="4:4" ht="15.75" customHeight="1">
      <c r="D434" s="153"/>
    </row>
    <row r="435" spans="4:4" ht="15.75" customHeight="1">
      <c r="D435" s="153"/>
    </row>
    <row r="436" spans="4:4" ht="15.75" customHeight="1">
      <c r="D436" s="153"/>
    </row>
    <row r="437" spans="4:4" ht="15.75" customHeight="1">
      <c r="D437" s="153"/>
    </row>
    <row r="438" spans="4:4" ht="15.75" customHeight="1">
      <c r="D438" s="153"/>
    </row>
    <row r="439" spans="4:4" ht="15.75" customHeight="1">
      <c r="D439" s="153"/>
    </row>
    <row r="440" spans="4:4" ht="15.75" customHeight="1">
      <c r="D440" s="153"/>
    </row>
    <row r="441" spans="4:4" ht="15.75" customHeight="1">
      <c r="D441" s="153"/>
    </row>
    <row r="442" spans="4:4" ht="15.75" customHeight="1">
      <c r="D442" s="153"/>
    </row>
    <row r="443" spans="4:4" ht="15.75" customHeight="1">
      <c r="D443" s="153"/>
    </row>
    <row r="444" spans="4:4" ht="15.75" customHeight="1">
      <c r="D444" s="153"/>
    </row>
    <row r="445" spans="4:4" ht="15.75" customHeight="1">
      <c r="D445" s="153"/>
    </row>
    <row r="446" spans="4:4" ht="15.75" customHeight="1">
      <c r="D446" s="153"/>
    </row>
    <row r="447" spans="4:4" ht="15.75" customHeight="1">
      <c r="D447" s="153"/>
    </row>
    <row r="448" spans="4:4" ht="15.75" customHeight="1">
      <c r="D448" s="153"/>
    </row>
    <row r="449" spans="4:4" ht="15.75" customHeight="1">
      <c r="D449" s="153"/>
    </row>
    <row r="450" spans="4:4" ht="15.75" customHeight="1">
      <c r="D450" s="153"/>
    </row>
    <row r="451" spans="4:4" ht="15.75" customHeight="1">
      <c r="D451" s="153"/>
    </row>
    <row r="452" spans="4:4" ht="15.75" customHeight="1">
      <c r="D452" s="153"/>
    </row>
    <row r="453" spans="4:4" ht="15.75" customHeight="1">
      <c r="D453" s="153"/>
    </row>
    <row r="454" spans="4:4" ht="15.75" customHeight="1">
      <c r="D454" s="153"/>
    </row>
    <row r="455" spans="4:4" ht="15.75" customHeight="1">
      <c r="D455" s="153"/>
    </row>
    <row r="456" spans="4:4" ht="15.75" customHeight="1">
      <c r="D456" s="153"/>
    </row>
    <row r="457" spans="4:4" ht="15.75" customHeight="1">
      <c r="D457" s="153"/>
    </row>
    <row r="458" spans="4:4" ht="15.75" customHeight="1">
      <c r="D458" s="153"/>
    </row>
    <row r="459" spans="4:4" ht="15.75" customHeight="1">
      <c r="D459" s="153"/>
    </row>
    <row r="460" spans="4:4" ht="15.75" customHeight="1">
      <c r="D460" s="153"/>
    </row>
    <row r="461" spans="4:4" ht="15.75" customHeight="1">
      <c r="D461" s="153"/>
    </row>
    <row r="462" spans="4:4" ht="15.75" customHeight="1">
      <c r="D462" s="153"/>
    </row>
    <row r="463" spans="4:4" ht="15.75" customHeight="1">
      <c r="D463" s="153"/>
    </row>
    <row r="464" spans="4:4" ht="15.75" customHeight="1">
      <c r="D464" s="153"/>
    </row>
    <row r="465" spans="4:4" ht="15.75" customHeight="1">
      <c r="D465" s="153"/>
    </row>
    <row r="466" spans="4:4" ht="15.75" customHeight="1">
      <c r="D466" s="153"/>
    </row>
    <row r="467" spans="4:4" ht="15.75" customHeight="1">
      <c r="D467" s="153"/>
    </row>
    <row r="468" spans="4:4" ht="15.75" customHeight="1">
      <c r="D468" s="153"/>
    </row>
    <row r="469" spans="4:4" ht="15.75" customHeight="1">
      <c r="D469" s="153"/>
    </row>
    <row r="470" spans="4:4" ht="15.75" customHeight="1">
      <c r="D470" s="153"/>
    </row>
    <row r="471" spans="4:4" ht="15.75" customHeight="1">
      <c r="D471" s="153"/>
    </row>
    <row r="472" spans="4:4" ht="15.75" customHeight="1">
      <c r="D472" s="153"/>
    </row>
    <row r="473" spans="4:4" ht="15.75" customHeight="1">
      <c r="D473" s="153"/>
    </row>
    <row r="474" spans="4:4" ht="15.75" customHeight="1">
      <c r="D474" s="153"/>
    </row>
    <row r="475" spans="4:4" ht="15.75" customHeight="1">
      <c r="D475" s="153"/>
    </row>
    <row r="476" spans="4:4" ht="15.75" customHeight="1">
      <c r="D476" s="153"/>
    </row>
    <row r="477" spans="4:4" ht="15.75" customHeight="1">
      <c r="D477" s="153"/>
    </row>
    <row r="478" spans="4:4" ht="15.75" customHeight="1">
      <c r="D478" s="153"/>
    </row>
    <row r="479" spans="4:4" ht="15.75" customHeight="1">
      <c r="D479" s="153"/>
    </row>
    <row r="480" spans="4:4" ht="15.75" customHeight="1">
      <c r="D480" s="153"/>
    </row>
    <row r="481" spans="4:4" ht="15.75" customHeight="1">
      <c r="D481" s="153"/>
    </row>
    <row r="482" spans="4:4" ht="15.75" customHeight="1">
      <c r="D482" s="153"/>
    </row>
    <row r="483" spans="4:4" ht="15.75" customHeight="1">
      <c r="D483" s="153"/>
    </row>
    <row r="484" spans="4:4" ht="15.75" customHeight="1">
      <c r="D484" s="153"/>
    </row>
    <row r="485" spans="4:4" ht="15.75" customHeight="1">
      <c r="D485" s="153"/>
    </row>
    <row r="486" spans="4:4" ht="15.75" customHeight="1">
      <c r="D486" s="153"/>
    </row>
    <row r="487" spans="4:4" ht="15.75" customHeight="1">
      <c r="D487" s="153"/>
    </row>
    <row r="488" spans="4:4" ht="15.75" customHeight="1">
      <c r="D488" s="153"/>
    </row>
    <row r="489" spans="4:4" ht="15.75" customHeight="1">
      <c r="D489" s="153"/>
    </row>
    <row r="490" spans="4:4" ht="15.75" customHeight="1">
      <c r="D490" s="153"/>
    </row>
    <row r="491" spans="4:4" ht="15.75" customHeight="1">
      <c r="D491" s="153"/>
    </row>
    <row r="492" spans="4:4" ht="15.75" customHeight="1">
      <c r="D492" s="153"/>
    </row>
    <row r="493" spans="4:4" ht="15.75" customHeight="1">
      <c r="D493" s="153"/>
    </row>
    <row r="494" spans="4:4" ht="15.75" customHeight="1">
      <c r="D494" s="153"/>
    </row>
    <row r="495" spans="4:4" ht="15.75" customHeight="1">
      <c r="D495" s="153"/>
    </row>
    <row r="496" spans="4:4" ht="15.75" customHeight="1">
      <c r="D496" s="153"/>
    </row>
    <row r="497" spans="4:4" ht="15.75" customHeight="1">
      <c r="D497" s="153"/>
    </row>
    <row r="498" spans="4:4" ht="15.75" customHeight="1">
      <c r="D498" s="153"/>
    </row>
    <row r="499" spans="4:4" ht="15.75" customHeight="1">
      <c r="D499" s="153"/>
    </row>
    <row r="500" spans="4:4" ht="15.75" customHeight="1">
      <c r="D500" s="153"/>
    </row>
    <row r="501" spans="4:4" ht="15.75" customHeight="1">
      <c r="D501" s="153"/>
    </row>
    <row r="502" spans="4:4" ht="15.75" customHeight="1">
      <c r="D502" s="153"/>
    </row>
    <row r="503" spans="4:4" ht="15.75" customHeight="1">
      <c r="D503" s="153"/>
    </row>
    <row r="504" spans="4:4" ht="15.75" customHeight="1">
      <c r="D504" s="153"/>
    </row>
    <row r="505" spans="4:4" ht="15.75" customHeight="1">
      <c r="D505" s="153"/>
    </row>
    <row r="506" spans="4:4" ht="15.75" customHeight="1">
      <c r="D506" s="153"/>
    </row>
    <row r="507" spans="4:4" ht="15.75" customHeight="1">
      <c r="D507" s="153"/>
    </row>
    <row r="508" spans="4:4" ht="15.75" customHeight="1">
      <c r="D508" s="153"/>
    </row>
    <row r="509" spans="4:4" ht="15.75" customHeight="1">
      <c r="D509" s="153"/>
    </row>
    <row r="510" spans="4:4" ht="15.75" customHeight="1">
      <c r="D510" s="153"/>
    </row>
    <row r="511" spans="4:4" ht="15.75" customHeight="1">
      <c r="D511" s="153"/>
    </row>
    <row r="512" spans="4:4" ht="15.75" customHeight="1">
      <c r="D512" s="153"/>
    </row>
    <row r="513" spans="4:4" ht="15.75" customHeight="1">
      <c r="D513" s="153"/>
    </row>
    <row r="514" spans="4:4" ht="15.75" customHeight="1">
      <c r="D514" s="153"/>
    </row>
    <row r="515" spans="4:4" ht="15.75" customHeight="1">
      <c r="D515" s="153"/>
    </row>
    <row r="516" spans="4:4" ht="15.75" customHeight="1">
      <c r="D516" s="153"/>
    </row>
    <row r="517" spans="4:4" ht="15.75" customHeight="1">
      <c r="D517" s="153"/>
    </row>
    <row r="518" spans="4:4" ht="15.75" customHeight="1">
      <c r="D518" s="153"/>
    </row>
    <row r="519" spans="4:4" ht="15.75" customHeight="1">
      <c r="D519" s="153"/>
    </row>
    <row r="520" spans="4:4" ht="15.75" customHeight="1">
      <c r="D520" s="153"/>
    </row>
    <row r="521" spans="4:4" ht="15.75" customHeight="1">
      <c r="D521" s="153"/>
    </row>
    <row r="522" spans="4:4" ht="15.75" customHeight="1">
      <c r="D522" s="153"/>
    </row>
    <row r="523" spans="4:4" ht="15.75" customHeight="1">
      <c r="D523" s="153"/>
    </row>
    <row r="524" spans="4:4" ht="15.75" customHeight="1">
      <c r="D524" s="153"/>
    </row>
    <row r="525" spans="4:4" ht="15.75" customHeight="1">
      <c r="D525" s="153"/>
    </row>
    <row r="526" spans="4:4" ht="15.75" customHeight="1">
      <c r="D526" s="153"/>
    </row>
    <row r="527" spans="4:4" ht="15.75" customHeight="1">
      <c r="D527" s="153"/>
    </row>
    <row r="528" spans="4:4" ht="15.75" customHeight="1">
      <c r="D528" s="153"/>
    </row>
    <row r="529" spans="4:4" ht="15.75" customHeight="1">
      <c r="D529" s="153"/>
    </row>
    <row r="530" spans="4:4" ht="15.75" customHeight="1">
      <c r="D530" s="153"/>
    </row>
    <row r="531" spans="4:4" ht="15.75" customHeight="1">
      <c r="D531" s="153"/>
    </row>
    <row r="532" spans="4:4" ht="15.75" customHeight="1">
      <c r="D532" s="153"/>
    </row>
    <row r="533" spans="4:4" ht="15.75" customHeight="1">
      <c r="D533" s="153"/>
    </row>
    <row r="534" spans="4:4" ht="15.75" customHeight="1">
      <c r="D534" s="153"/>
    </row>
    <row r="535" spans="4:4" ht="15.75" customHeight="1">
      <c r="D535" s="153"/>
    </row>
    <row r="536" spans="4:4" ht="15.75" customHeight="1">
      <c r="D536" s="153"/>
    </row>
    <row r="537" spans="4:4" ht="15.75" customHeight="1">
      <c r="D537" s="153"/>
    </row>
    <row r="538" spans="4:4" ht="15.75" customHeight="1">
      <c r="D538" s="153"/>
    </row>
    <row r="539" spans="4:4" ht="15.75" customHeight="1">
      <c r="D539" s="153"/>
    </row>
    <row r="540" spans="4:4" ht="15.75" customHeight="1">
      <c r="D540" s="153"/>
    </row>
    <row r="541" spans="4:4" ht="15.75" customHeight="1">
      <c r="D541" s="153"/>
    </row>
    <row r="542" spans="4:4" ht="15.75" customHeight="1">
      <c r="D542" s="153"/>
    </row>
    <row r="543" spans="4:4" ht="15.75" customHeight="1">
      <c r="D543" s="153"/>
    </row>
    <row r="544" spans="4:4" ht="15.75" customHeight="1">
      <c r="D544" s="153"/>
    </row>
    <row r="545" spans="4:4" ht="15.75" customHeight="1">
      <c r="D545" s="153"/>
    </row>
    <row r="546" spans="4:4" ht="15.75" customHeight="1">
      <c r="D546" s="153"/>
    </row>
    <row r="547" spans="4:4" ht="15.75" customHeight="1">
      <c r="D547" s="153"/>
    </row>
    <row r="548" spans="4:4" ht="15.75" customHeight="1">
      <c r="D548" s="153"/>
    </row>
    <row r="549" spans="4:4" ht="15.75" customHeight="1">
      <c r="D549" s="153"/>
    </row>
    <row r="550" spans="4:4" ht="15.75" customHeight="1">
      <c r="D550" s="153"/>
    </row>
    <row r="551" spans="4:4" ht="15.75" customHeight="1">
      <c r="D551" s="153"/>
    </row>
    <row r="552" spans="4:4" ht="15.75" customHeight="1">
      <c r="D552" s="153"/>
    </row>
    <row r="553" spans="4:4" ht="15.75" customHeight="1">
      <c r="D553" s="153"/>
    </row>
    <row r="554" spans="4:4" ht="15.75" customHeight="1">
      <c r="D554" s="153"/>
    </row>
    <row r="555" spans="4:4" ht="15.75" customHeight="1">
      <c r="D555" s="153"/>
    </row>
    <row r="556" spans="4:4" ht="15.75" customHeight="1">
      <c r="D556" s="153"/>
    </row>
    <row r="557" spans="4:4" ht="15.75" customHeight="1">
      <c r="D557" s="153"/>
    </row>
    <row r="558" spans="4:4" ht="15.75" customHeight="1">
      <c r="D558" s="153"/>
    </row>
    <row r="559" spans="4:4" ht="15.75" customHeight="1">
      <c r="D559" s="153"/>
    </row>
    <row r="560" spans="4:4" ht="15.75" customHeight="1">
      <c r="D560" s="153"/>
    </row>
    <row r="561" spans="4:4" ht="15.75" customHeight="1">
      <c r="D561" s="153"/>
    </row>
    <row r="562" spans="4:4" ht="15.75" customHeight="1">
      <c r="D562" s="153"/>
    </row>
    <row r="563" spans="4:4" ht="15.75" customHeight="1">
      <c r="D563" s="153"/>
    </row>
    <row r="564" spans="4:4" ht="15.75" customHeight="1">
      <c r="D564" s="153"/>
    </row>
    <row r="565" spans="4:4" ht="15.75" customHeight="1">
      <c r="D565" s="153"/>
    </row>
    <row r="566" spans="4:4" ht="15.75" customHeight="1">
      <c r="D566" s="153"/>
    </row>
    <row r="567" spans="4:4" ht="15.75" customHeight="1">
      <c r="D567" s="153"/>
    </row>
    <row r="568" spans="4:4" ht="15.75" customHeight="1">
      <c r="D568" s="153"/>
    </row>
    <row r="569" spans="4:4" ht="15.75" customHeight="1">
      <c r="D569" s="153"/>
    </row>
    <row r="570" spans="4:4" ht="15.75" customHeight="1">
      <c r="D570" s="153"/>
    </row>
    <row r="571" spans="4:4" ht="15.75" customHeight="1">
      <c r="D571" s="153"/>
    </row>
    <row r="572" spans="4:4" ht="15.75" customHeight="1">
      <c r="D572" s="153"/>
    </row>
    <row r="573" spans="4:4" ht="15.75" customHeight="1">
      <c r="D573" s="153"/>
    </row>
    <row r="574" spans="4:4" ht="15.75" customHeight="1">
      <c r="D574" s="153"/>
    </row>
    <row r="575" spans="4:4" ht="15.75" customHeight="1">
      <c r="D575" s="153"/>
    </row>
    <row r="576" spans="4:4" ht="15.75" customHeight="1">
      <c r="D576" s="153"/>
    </row>
    <row r="577" spans="4:4" ht="15.75" customHeight="1">
      <c r="D577" s="153"/>
    </row>
    <row r="578" spans="4:4" ht="15.75" customHeight="1">
      <c r="D578" s="153"/>
    </row>
    <row r="579" spans="4:4" ht="15.75" customHeight="1">
      <c r="D579" s="153"/>
    </row>
    <row r="580" spans="4:4" ht="15.75" customHeight="1">
      <c r="D580" s="153"/>
    </row>
    <row r="581" spans="4:4" ht="15.75" customHeight="1">
      <c r="D581" s="153"/>
    </row>
    <row r="582" spans="4:4" ht="15.75" customHeight="1">
      <c r="D582" s="153"/>
    </row>
    <row r="583" spans="4:4" ht="15.75" customHeight="1">
      <c r="D583" s="153"/>
    </row>
    <row r="584" spans="4:4" ht="15.75" customHeight="1">
      <c r="D584" s="153"/>
    </row>
    <row r="585" spans="4:4" ht="15.75" customHeight="1">
      <c r="D585" s="153"/>
    </row>
    <row r="586" spans="4:4" ht="15.75" customHeight="1">
      <c r="D586" s="153"/>
    </row>
    <row r="587" spans="4:4" ht="15.75" customHeight="1">
      <c r="D587" s="153"/>
    </row>
    <row r="588" spans="4:4" ht="15.75" customHeight="1">
      <c r="D588" s="153"/>
    </row>
    <row r="589" spans="4:4" ht="15.75" customHeight="1">
      <c r="D589" s="153"/>
    </row>
    <row r="590" spans="4:4" ht="15.75" customHeight="1">
      <c r="D590" s="153"/>
    </row>
    <row r="591" spans="4:4" ht="15.75" customHeight="1">
      <c r="D591" s="153"/>
    </row>
    <row r="592" spans="4:4" ht="15.75" customHeight="1">
      <c r="D592" s="153"/>
    </row>
    <row r="593" spans="4:4" ht="15.75" customHeight="1">
      <c r="D593" s="153"/>
    </row>
    <row r="594" spans="4:4" ht="15.75" customHeight="1">
      <c r="D594" s="153"/>
    </row>
    <row r="595" spans="4:4" ht="15.75" customHeight="1">
      <c r="D595" s="153"/>
    </row>
    <row r="596" spans="4:4" ht="15.75" customHeight="1">
      <c r="D596" s="153"/>
    </row>
    <row r="597" spans="4:4" ht="15.75" customHeight="1">
      <c r="D597" s="153"/>
    </row>
    <row r="598" spans="4:4" ht="15.75" customHeight="1">
      <c r="D598" s="153"/>
    </row>
    <row r="599" spans="4:4" ht="15.75" customHeight="1">
      <c r="D599" s="153"/>
    </row>
    <row r="600" spans="4:4" ht="15.75" customHeight="1">
      <c r="D600" s="153"/>
    </row>
    <row r="601" spans="4:4" ht="15.75" customHeight="1">
      <c r="D601" s="153"/>
    </row>
    <row r="602" spans="4:4" ht="15.75" customHeight="1">
      <c r="D602" s="153"/>
    </row>
    <row r="603" spans="4:4" ht="15.75" customHeight="1">
      <c r="D603" s="153"/>
    </row>
    <row r="604" spans="4:4" ht="15.75" customHeight="1">
      <c r="D604" s="153"/>
    </row>
    <row r="605" spans="4:4" ht="15.75" customHeight="1">
      <c r="D605" s="153"/>
    </row>
    <row r="606" spans="4:4" ht="15.75" customHeight="1">
      <c r="D606" s="153"/>
    </row>
    <row r="607" spans="4:4" ht="15.75" customHeight="1">
      <c r="D607" s="153"/>
    </row>
    <row r="608" spans="4:4" ht="15.75" customHeight="1">
      <c r="D608" s="153"/>
    </row>
    <row r="609" spans="4:4" ht="15.75" customHeight="1">
      <c r="D609" s="153"/>
    </row>
    <row r="610" spans="4:4" ht="15.75" customHeight="1">
      <c r="D610" s="153"/>
    </row>
    <row r="611" spans="4:4" ht="15.75" customHeight="1">
      <c r="D611" s="153"/>
    </row>
    <row r="612" spans="4:4" ht="15.75" customHeight="1">
      <c r="D612" s="153"/>
    </row>
    <row r="613" spans="4:4" ht="15.75" customHeight="1">
      <c r="D613" s="153"/>
    </row>
    <row r="614" spans="4:4" ht="15.75" customHeight="1">
      <c r="D614" s="153"/>
    </row>
    <row r="615" spans="4:4" ht="15.75" customHeight="1">
      <c r="D615" s="153"/>
    </row>
    <row r="616" spans="4:4" ht="15.75" customHeight="1">
      <c r="D616" s="153"/>
    </row>
    <row r="617" spans="4:4" ht="15.75" customHeight="1">
      <c r="D617" s="153"/>
    </row>
    <row r="618" spans="4:4" ht="15.75" customHeight="1">
      <c r="D618" s="153"/>
    </row>
    <row r="619" spans="4:4" ht="15.75" customHeight="1">
      <c r="D619" s="153"/>
    </row>
    <row r="620" spans="4:4" ht="15.75" customHeight="1">
      <c r="D620" s="153"/>
    </row>
    <row r="621" spans="4:4" ht="15.75" customHeight="1">
      <c r="D621" s="153"/>
    </row>
    <row r="622" spans="4:4" ht="15.75" customHeight="1">
      <c r="D622" s="153"/>
    </row>
    <row r="623" spans="4:4" ht="15.75" customHeight="1">
      <c r="D623" s="153"/>
    </row>
    <row r="624" spans="4:4" ht="15.75" customHeight="1">
      <c r="D624" s="153"/>
    </row>
    <row r="625" spans="4:4" ht="15.75" customHeight="1">
      <c r="D625" s="153"/>
    </row>
    <row r="626" spans="4:4" ht="15.75" customHeight="1">
      <c r="D626" s="153"/>
    </row>
    <row r="627" spans="4:4" ht="15.75" customHeight="1">
      <c r="D627" s="153"/>
    </row>
    <row r="628" spans="4:4" ht="15.75" customHeight="1">
      <c r="D628" s="153"/>
    </row>
    <row r="629" spans="4:4" ht="15.75" customHeight="1">
      <c r="D629" s="153"/>
    </row>
    <row r="630" spans="4:4" ht="15.75" customHeight="1">
      <c r="D630" s="153"/>
    </row>
    <row r="631" spans="4:4" ht="15.75" customHeight="1">
      <c r="D631" s="153"/>
    </row>
    <row r="632" spans="4:4" ht="15.75" customHeight="1">
      <c r="D632" s="153"/>
    </row>
    <row r="633" spans="4:4" ht="15.75" customHeight="1">
      <c r="D633" s="153"/>
    </row>
    <row r="634" spans="4:4" ht="15.75" customHeight="1">
      <c r="D634" s="153"/>
    </row>
    <row r="635" spans="4:4" ht="15.75" customHeight="1">
      <c r="D635" s="153"/>
    </row>
    <row r="636" spans="4:4" ht="15.75" customHeight="1">
      <c r="D636" s="153"/>
    </row>
    <row r="637" spans="4:4" ht="15.75" customHeight="1">
      <c r="D637" s="153"/>
    </row>
    <row r="638" spans="4:4" ht="15.75" customHeight="1">
      <c r="D638" s="153"/>
    </row>
    <row r="639" spans="4:4" ht="15.75" customHeight="1">
      <c r="D639" s="153"/>
    </row>
    <row r="640" spans="4:4" ht="15.75" customHeight="1">
      <c r="D640" s="153"/>
    </row>
    <row r="641" spans="4:4" ht="15.75" customHeight="1">
      <c r="D641" s="153"/>
    </row>
    <row r="642" spans="4:4" ht="15.75" customHeight="1">
      <c r="D642" s="153"/>
    </row>
    <row r="643" spans="4:4" ht="15.75" customHeight="1">
      <c r="D643" s="153"/>
    </row>
    <row r="644" spans="4:4" ht="15.75" customHeight="1">
      <c r="D644" s="153"/>
    </row>
    <row r="645" spans="4:4" ht="15.75" customHeight="1">
      <c r="D645" s="153"/>
    </row>
    <row r="646" spans="4:4" ht="15.75" customHeight="1">
      <c r="D646" s="153"/>
    </row>
    <row r="647" spans="4:4" ht="15.75" customHeight="1">
      <c r="D647" s="153"/>
    </row>
    <row r="648" spans="4:4" ht="15.75" customHeight="1">
      <c r="D648" s="153"/>
    </row>
    <row r="649" spans="4:4" ht="15.75" customHeight="1">
      <c r="D649" s="153"/>
    </row>
    <row r="650" spans="4:4" ht="15.75" customHeight="1">
      <c r="D650" s="153"/>
    </row>
    <row r="651" spans="4:4" ht="15.75" customHeight="1">
      <c r="D651" s="153"/>
    </row>
    <row r="652" spans="4:4" ht="15.75" customHeight="1">
      <c r="D652" s="153"/>
    </row>
    <row r="653" spans="4:4" ht="15.75" customHeight="1">
      <c r="D653" s="153"/>
    </row>
    <row r="654" spans="4:4" ht="15.75" customHeight="1">
      <c r="D654" s="153"/>
    </row>
    <row r="655" spans="4:4" ht="15.75" customHeight="1">
      <c r="D655" s="153"/>
    </row>
    <row r="656" spans="4:4" ht="15.75" customHeight="1">
      <c r="D656" s="153"/>
    </row>
    <row r="657" spans="4:4" ht="15.75" customHeight="1">
      <c r="D657" s="153"/>
    </row>
    <row r="658" spans="4:4" ht="15.75" customHeight="1">
      <c r="D658" s="153"/>
    </row>
    <row r="659" spans="4:4" ht="15.75" customHeight="1">
      <c r="D659" s="153"/>
    </row>
    <row r="660" spans="4:4" ht="15.75" customHeight="1">
      <c r="D660" s="153"/>
    </row>
    <row r="661" spans="4:4" ht="15.75" customHeight="1">
      <c r="D661" s="153"/>
    </row>
    <row r="662" spans="4:4" ht="15.75" customHeight="1">
      <c r="D662" s="153"/>
    </row>
    <row r="663" spans="4:4" ht="15.75" customHeight="1">
      <c r="D663" s="153"/>
    </row>
    <row r="664" spans="4:4" ht="15.75" customHeight="1">
      <c r="D664" s="153"/>
    </row>
    <row r="665" spans="4:4" ht="15.75" customHeight="1">
      <c r="D665" s="153"/>
    </row>
    <row r="666" spans="4:4" ht="15.75" customHeight="1">
      <c r="D666" s="153"/>
    </row>
    <row r="667" spans="4:4" ht="15.75" customHeight="1">
      <c r="D667" s="153"/>
    </row>
    <row r="668" spans="4:4" ht="15.75" customHeight="1">
      <c r="D668" s="153"/>
    </row>
    <row r="669" spans="4:4" ht="15.75" customHeight="1">
      <c r="D669" s="153"/>
    </row>
    <row r="670" spans="4:4" ht="15.75" customHeight="1">
      <c r="D670" s="153"/>
    </row>
    <row r="671" spans="4:4" ht="15.75" customHeight="1">
      <c r="D671" s="153"/>
    </row>
    <row r="672" spans="4:4" ht="15.75" customHeight="1">
      <c r="D672" s="153"/>
    </row>
    <row r="673" spans="4:4" ht="15.75" customHeight="1">
      <c r="D673" s="153"/>
    </row>
    <row r="674" spans="4:4" ht="15.75" customHeight="1">
      <c r="D674" s="153"/>
    </row>
    <row r="675" spans="4:4" ht="15.75" customHeight="1">
      <c r="D675" s="153"/>
    </row>
    <row r="676" spans="4:4" ht="15.75" customHeight="1">
      <c r="D676" s="153"/>
    </row>
    <row r="677" spans="4:4" ht="15.75" customHeight="1">
      <c r="D677" s="153"/>
    </row>
    <row r="678" spans="4:4" ht="15.75" customHeight="1">
      <c r="D678" s="153"/>
    </row>
    <row r="679" spans="4:4" ht="15.75" customHeight="1">
      <c r="D679" s="153"/>
    </row>
    <row r="680" spans="4:4" ht="15.75" customHeight="1">
      <c r="D680" s="153"/>
    </row>
    <row r="681" spans="4:4" ht="15.75" customHeight="1">
      <c r="D681" s="153"/>
    </row>
    <row r="682" spans="4:4" ht="15.75" customHeight="1">
      <c r="D682" s="153"/>
    </row>
    <row r="683" spans="4:4" ht="15.75" customHeight="1">
      <c r="D683" s="153"/>
    </row>
    <row r="684" spans="4:4" ht="15.75" customHeight="1">
      <c r="D684" s="153"/>
    </row>
    <row r="685" spans="4:4" ht="15.75" customHeight="1">
      <c r="D685" s="153"/>
    </row>
    <row r="686" spans="4:4" ht="15.75" customHeight="1">
      <c r="D686" s="153"/>
    </row>
    <row r="687" spans="4:4" ht="15.75" customHeight="1">
      <c r="D687" s="153"/>
    </row>
    <row r="688" spans="4:4" ht="15.75" customHeight="1">
      <c r="D688" s="153"/>
    </row>
    <row r="689" spans="4:4" ht="15.75" customHeight="1">
      <c r="D689" s="153"/>
    </row>
    <row r="690" spans="4:4" ht="15.75" customHeight="1">
      <c r="D690" s="153"/>
    </row>
    <row r="691" spans="4:4" ht="15.75" customHeight="1">
      <c r="D691" s="153"/>
    </row>
    <row r="692" spans="4:4" ht="15.75" customHeight="1">
      <c r="D692" s="153"/>
    </row>
    <row r="693" spans="4:4" ht="15.75" customHeight="1">
      <c r="D693" s="153"/>
    </row>
    <row r="694" spans="4:4" ht="15.75" customHeight="1">
      <c r="D694" s="153"/>
    </row>
    <row r="695" spans="4:4" ht="15.75" customHeight="1">
      <c r="D695" s="153"/>
    </row>
    <row r="696" spans="4:4" ht="15.75" customHeight="1">
      <c r="D696" s="153"/>
    </row>
    <row r="697" spans="4:4" ht="15.75" customHeight="1">
      <c r="D697" s="153"/>
    </row>
    <row r="698" spans="4:4" ht="15.75" customHeight="1">
      <c r="D698" s="153"/>
    </row>
    <row r="699" spans="4:4" ht="15.75" customHeight="1">
      <c r="D699" s="153"/>
    </row>
    <row r="700" spans="4:4" ht="15.75" customHeight="1">
      <c r="D700" s="153"/>
    </row>
    <row r="701" spans="4:4" ht="15.75" customHeight="1">
      <c r="D701" s="153"/>
    </row>
    <row r="702" spans="4:4" ht="15.75" customHeight="1">
      <c r="D702" s="153"/>
    </row>
    <row r="703" spans="4:4" ht="15.75" customHeight="1">
      <c r="D703" s="153"/>
    </row>
    <row r="704" spans="4:4" ht="15.75" customHeight="1">
      <c r="D704" s="153"/>
    </row>
    <row r="705" spans="4:4" ht="15.75" customHeight="1">
      <c r="D705" s="153"/>
    </row>
    <row r="706" spans="4:4" ht="15.75" customHeight="1">
      <c r="D706" s="153"/>
    </row>
    <row r="707" spans="4:4" ht="15.75" customHeight="1">
      <c r="D707" s="153"/>
    </row>
    <row r="708" spans="4:4" ht="15.75" customHeight="1">
      <c r="D708" s="153"/>
    </row>
    <row r="709" spans="4:4" ht="15.75" customHeight="1">
      <c r="D709" s="153"/>
    </row>
    <row r="710" spans="4:4" ht="15.75" customHeight="1">
      <c r="D710" s="153"/>
    </row>
    <row r="711" spans="4:4" ht="15.75" customHeight="1">
      <c r="D711" s="153"/>
    </row>
    <row r="712" spans="4:4" ht="15.75" customHeight="1">
      <c r="D712" s="153"/>
    </row>
    <row r="713" spans="4:4" ht="15.75" customHeight="1">
      <c r="D713" s="153"/>
    </row>
    <row r="714" spans="4:4" ht="15.75" customHeight="1">
      <c r="D714" s="153"/>
    </row>
    <row r="715" spans="4:4" ht="15.75" customHeight="1">
      <c r="D715" s="153"/>
    </row>
    <row r="716" spans="4:4" ht="15.75" customHeight="1">
      <c r="D716" s="153"/>
    </row>
    <row r="717" spans="4:4" ht="15.75" customHeight="1">
      <c r="D717" s="153"/>
    </row>
    <row r="718" spans="4:4" ht="15.75" customHeight="1">
      <c r="D718" s="153"/>
    </row>
    <row r="719" spans="4:4" ht="15.75" customHeight="1">
      <c r="D719" s="153"/>
    </row>
    <row r="720" spans="4:4" ht="15.75" customHeight="1">
      <c r="D720" s="153"/>
    </row>
    <row r="721" spans="4:4" ht="15.75" customHeight="1">
      <c r="D721" s="153"/>
    </row>
    <row r="722" spans="4:4" ht="15.75" customHeight="1">
      <c r="D722" s="153"/>
    </row>
    <row r="723" spans="4:4" ht="15.75" customHeight="1">
      <c r="D723" s="153"/>
    </row>
    <row r="724" spans="4:4" ht="15.75" customHeight="1">
      <c r="D724" s="153"/>
    </row>
    <row r="725" spans="4:4" ht="15.75" customHeight="1">
      <c r="D725" s="153"/>
    </row>
    <row r="726" spans="4:4" ht="15.75" customHeight="1">
      <c r="D726" s="153"/>
    </row>
    <row r="727" spans="4:4" ht="15.75" customHeight="1">
      <c r="D727" s="153"/>
    </row>
    <row r="728" spans="4:4" ht="15.75" customHeight="1">
      <c r="D728" s="153"/>
    </row>
    <row r="729" spans="4:4" ht="15.75" customHeight="1">
      <c r="D729" s="153"/>
    </row>
    <row r="730" spans="4:4" ht="15.75" customHeight="1">
      <c r="D730" s="153"/>
    </row>
    <row r="731" spans="4:4" ht="15.75" customHeight="1">
      <c r="D731" s="153"/>
    </row>
    <row r="732" spans="4:4" ht="15.75" customHeight="1">
      <c r="D732" s="153"/>
    </row>
    <row r="733" spans="4:4" ht="15.75" customHeight="1">
      <c r="D733" s="153"/>
    </row>
    <row r="734" spans="4:4" ht="15.75" customHeight="1">
      <c r="D734" s="153"/>
    </row>
    <row r="735" spans="4:4" ht="15.75" customHeight="1">
      <c r="D735" s="153"/>
    </row>
    <row r="736" spans="4:4" ht="15.75" customHeight="1">
      <c r="D736" s="153"/>
    </row>
    <row r="737" spans="4:4" ht="15.75" customHeight="1">
      <c r="D737" s="153"/>
    </row>
    <row r="738" spans="4:4" ht="15.75" customHeight="1">
      <c r="D738" s="153"/>
    </row>
    <row r="739" spans="4:4" ht="15.75" customHeight="1">
      <c r="D739" s="153"/>
    </row>
    <row r="740" spans="4:4" ht="15.75" customHeight="1">
      <c r="D740" s="153"/>
    </row>
    <row r="741" spans="4:4" ht="15.75" customHeight="1">
      <c r="D741" s="153"/>
    </row>
    <row r="742" spans="4:4" ht="15.75" customHeight="1">
      <c r="D742" s="153"/>
    </row>
    <row r="743" spans="4:4" ht="15.75" customHeight="1">
      <c r="D743" s="153"/>
    </row>
    <row r="744" spans="4:4" ht="15.75" customHeight="1">
      <c r="D744" s="153"/>
    </row>
    <row r="745" spans="4:4" ht="15.75" customHeight="1">
      <c r="D745" s="153"/>
    </row>
    <row r="746" spans="4:4" ht="15.75" customHeight="1">
      <c r="D746" s="153"/>
    </row>
    <row r="747" spans="4:4" ht="15.75" customHeight="1">
      <c r="D747" s="153"/>
    </row>
    <row r="748" spans="4:4" ht="15.75" customHeight="1">
      <c r="D748" s="153"/>
    </row>
    <row r="749" spans="4:4" ht="15.75" customHeight="1">
      <c r="D749" s="153"/>
    </row>
    <row r="750" spans="4:4" ht="15.75" customHeight="1">
      <c r="D750" s="153"/>
    </row>
    <row r="751" spans="4:4" ht="15.75" customHeight="1">
      <c r="D751" s="153"/>
    </row>
    <row r="752" spans="4:4" ht="15.75" customHeight="1">
      <c r="D752" s="153"/>
    </row>
    <row r="753" spans="4:4" ht="15.75" customHeight="1">
      <c r="D753" s="153"/>
    </row>
    <row r="754" spans="4:4" ht="15.75" customHeight="1">
      <c r="D754" s="153"/>
    </row>
    <row r="755" spans="4:4" ht="15.75" customHeight="1">
      <c r="D755" s="153"/>
    </row>
    <row r="756" spans="4:4" ht="15.75" customHeight="1">
      <c r="D756" s="153"/>
    </row>
    <row r="757" spans="4:4" ht="15.75" customHeight="1">
      <c r="D757" s="153"/>
    </row>
    <row r="758" spans="4:4" ht="15.75" customHeight="1">
      <c r="D758" s="153"/>
    </row>
    <row r="759" spans="4:4" ht="15.75" customHeight="1">
      <c r="D759" s="153"/>
    </row>
    <row r="760" spans="4:4" ht="15.75" customHeight="1">
      <c r="D760" s="153"/>
    </row>
    <row r="761" spans="4:4" ht="15.75" customHeight="1">
      <c r="D761" s="153"/>
    </row>
    <row r="762" spans="4:4" ht="15.75" customHeight="1">
      <c r="D762" s="153"/>
    </row>
    <row r="763" spans="4:4" ht="15.75" customHeight="1">
      <c r="D763" s="153"/>
    </row>
    <row r="764" spans="4:4" ht="15.75" customHeight="1">
      <c r="D764" s="153"/>
    </row>
    <row r="765" spans="4:4" ht="15.75" customHeight="1">
      <c r="D765" s="153"/>
    </row>
    <row r="766" spans="4:4" ht="15.75" customHeight="1">
      <c r="D766" s="153"/>
    </row>
    <row r="767" spans="4:4" ht="15.75" customHeight="1">
      <c r="D767" s="153"/>
    </row>
    <row r="768" spans="4:4" ht="15.75" customHeight="1">
      <c r="D768" s="153"/>
    </row>
    <row r="769" spans="4:4" ht="15.75" customHeight="1">
      <c r="D769" s="153"/>
    </row>
    <row r="770" spans="4:4" ht="15.75" customHeight="1">
      <c r="D770" s="153"/>
    </row>
    <row r="771" spans="4:4" ht="15.75" customHeight="1">
      <c r="D771" s="153"/>
    </row>
    <row r="772" spans="4:4" ht="15.75" customHeight="1">
      <c r="D772" s="153"/>
    </row>
    <row r="773" spans="4:4" ht="15.75" customHeight="1">
      <c r="D773" s="153"/>
    </row>
    <row r="774" spans="4:4" ht="15.75" customHeight="1">
      <c r="D774" s="153"/>
    </row>
    <row r="775" spans="4:4" ht="15.75" customHeight="1">
      <c r="D775" s="153"/>
    </row>
    <row r="776" spans="4:4" ht="15.75" customHeight="1">
      <c r="D776" s="153"/>
    </row>
    <row r="777" spans="4:4" ht="15.75" customHeight="1">
      <c r="D777" s="153"/>
    </row>
    <row r="778" spans="4:4" ht="15.75" customHeight="1">
      <c r="D778" s="153"/>
    </row>
    <row r="779" spans="4:4" ht="15.75" customHeight="1">
      <c r="D779" s="153"/>
    </row>
    <row r="780" spans="4:4" ht="15.75" customHeight="1">
      <c r="D780" s="153"/>
    </row>
    <row r="781" spans="4:4" ht="15.75" customHeight="1">
      <c r="D781" s="153"/>
    </row>
    <row r="782" spans="4:4" ht="15.75" customHeight="1">
      <c r="D782" s="153"/>
    </row>
    <row r="783" spans="4:4" ht="15.75" customHeight="1">
      <c r="D783" s="153"/>
    </row>
    <row r="784" spans="4:4" ht="15.75" customHeight="1">
      <c r="D784" s="153"/>
    </row>
    <row r="785" spans="4:4" ht="15.75" customHeight="1">
      <c r="D785" s="153"/>
    </row>
    <row r="786" spans="4:4" ht="15.75" customHeight="1">
      <c r="D786" s="153"/>
    </row>
    <row r="787" spans="4:4" ht="15.75" customHeight="1">
      <c r="D787" s="153"/>
    </row>
    <row r="788" spans="4:4" ht="15.75" customHeight="1">
      <c r="D788" s="153"/>
    </row>
    <row r="789" spans="4:4" ht="15.75" customHeight="1">
      <c r="D789" s="153"/>
    </row>
    <row r="790" spans="4:4" ht="15.75" customHeight="1">
      <c r="D790" s="153"/>
    </row>
    <row r="791" spans="4:4" ht="15.75" customHeight="1">
      <c r="D791" s="153"/>
    </row>
    <row r="792" spans="4:4" ht="15.75" customHeight="1">
      <c r="D792" s="153"/>
    </row>
    <row r="793" spans="4:4" ht="15.75" customHeight="1">
      <c r="D793" s="153"/>
    </row>
    <row r="794" spans="4:4" ht="15.75" customHeight="1">
      <c r="D794" s="153"/>
    </row>
    <row r="795" spans="4:4" ht="15.75" customHeight="1">
      <c r="D795" s="153"/>
    </row>
    <row r="796" spans="4:4" ht="15.75" customHeight="1">
      <c r="D796" s="153"/>
    </row>
    <row r="797" spans="4:4" ht="15.75" customHeight="1">
      <c r="D797" s="153"/>
    </row>
    <row r="798" spans="4:4" ht="15.75" customHeight="1">
      <c r="D798" s="153"/>
    </row>
    <row r="799" spans="4:4" ht="15.75" customHeight="1">
      <c r="D799" s="153"/>
    </row>
    <row r="800" spans="4:4" ht="15.75" customHeight="1">
      <c r="D800" s="153"/>
    </row>
    <row r="801" spans="4:4" ht="15.75" customHeight="1">
      <c r="D801" s="153"/>
    </row>
    <row r="802" spans="4:4" ht="15.75" customHeight="1">
      <c r="D802" s="153"/>
    </row>
    <row r="803" spans="4:4" ht="15.75" customHeight="1">
      <c r="D803" s="153"/>
    </row>
    <row r="804" spans="4:4" ht="15.75" customHeight="1">
      <c r="D804" s="153"/>
    </row>
    <row r="805" spans="4:4" ht="15.75" customHeight="1">
      <c r="D805" s="153"/>
    </row>
    <row r="806" spans="4:4" ht="15.75" customHeight="1">
      <c r="D806" s="153"/>
    </row>
    <row r="807" spans="4:4" ht="15.75" customHeight="1">
      <c r="D807" s="153"/>
    </row>
    <row r="808" spans="4:4" ht="15.75" customHeight="1">
      <c r="D808" s="153"/>
    </row>
    <row r="809" spans="4:4" ht="15.75" customHeight="1">
      <c r="D809" s="153"/>
    </row>
    <row r="810" spans="4:4" ht="15.75" customHeight="1">
      <c r="D810" s="153"/>
    </row>
    <row r="811" spans="4:4" ht="15.75" customHeight="1">
      <c r="D811" s="153"/>
    </row>
    <row r="812" spans="4:4" ht="15.75" customHeight="1">
      <c r="D812" s="153"/>
    </row>
    <row r="813" spans="4:4" ht="15.75" customHeight="1">
      <c r="D813" s="153"/>
    </row>
    <row r="814" spans="4:4" ht="15.75" customHeight="1">
      <c r="D814" s="153"/>
    </row>
    <row r="815" spans="4:4" ht="15.75" customHeight="1">
      <c r="D815" s="153"/>
    </row>
    <row r="816" spans="4:4" ht="15.75" customHeight="1">
      <c r="D816" s="153"/>
    </row>
    <row r="817" spans="4:4" ht="15.75" customHeight="1">
      <c r="D817" s="153"/>
    </row>
    <row r="818" spans="4:4" ht="15.75" customHeight="1">
      <c r="D818" s="153"/>
    </row>
    <row r="819" spans="4:4" ht="15.75" customHeight="1">
      <c r="D819" s="153"/>
    </row>
    <row r="820" spans="4:4" ht="15.75" customHeight="1">
      <c r="D820" s="153"/>
    </row>
    <row r="821" spans="4:4" ht="15.75" customHeight="1">
      <c r="D821" s="153"/>
    </row>
    <row r="822" spans="4:4" ht="15.75" customHeight="1">
      <c r="D822" s="153"/>
    </row>
    <row r="823" spans="4:4" ht="15.75" customHeight="1">
      <c r="D823" s="153"/>
    </row>
    <row r="824" spans="4:4" ht="15.75" customHeight="1">
      <c r="D824" s="153"/>
    </row>
    <row r="825" spans="4:4" ht="15.75" customHeight="1">
      <c r="D825" s="153"/>
    </row>
    <row r="826" spans="4:4" ht="15.75" customHeight="1">
      <c r="D826" s="153"/>
    </row>
    <row r="827" spans="4:4" ht="15.75" customHeight="1">
      <c r="D827" s="153"/>
    </row>
    <row r="828" spans="4:4" ht="15.75" customHeight="1">
      <c r="D828" s="153"/>
    </row>
    <row r="829" spans="4:4" ht="15.75" customHeight="1">
      <c r="D829" s="153"/>
    </row>
    <row r="830" spans="4:4" ht="15.75" customHeight="1">
      <c r="D830" s="153"/>
    </row>
    <row r="831" spans="4:4" ht="15.75" customHeight="1">
      <c r="D831" s="153"/>
    </row>
    <row r="832" spans="4:4" ht="15.75" customHeight="1">
      <c r="D832" s="153"/>
    </row>
    <row r="833" spans="4:4" ht="15.75" customHeight="1">
      <c r="D833" s="153"/>
    </row>
    <row r="834" spans="4:4" ht="15.75" customHeight="1">
      <c r="D834" s="153"/>
    </row>
    <row r="835" spans="4:4" ht="15.75" customHeight="1">
      <c r="D835" s="153"/>
    </row>
    <row r="836" spans="4:4" ht="15.75" customHeight="1">
      <c r="D836" s="153"/>
    </row>
    <row r="837" spans="4:4" ht="15.75" customHeight="1">
      <c r="D837" s="153"/>
    </row>
    <row r="838" spans="4:4" ht="15.75" customHeight="1">
      <c r="D838" s="153"/>
    </row>
    <row r="839" spans="4:4" ht="15.75" customHeight="1">
      <c r="D839" s="153"/>
    </row>
    <row r="840" spans="4:4" ht="15.75" customHeight="1">
      <c r="D840" s="153"/>
    </row>
    <row r="841" spans="4:4" ht="15.75" customHeight="1">
      <c r="D841" s="153"/>
    </row>
    <row r="842" spans="4:4" ht="15.75" customHeight="1">
      <c r="D842" s="153"/>
    </row>
    <row r="843" spans="4:4" ht="15.75" customHeight="1">
      <c r="D843" s="153"/>
    </row>
    <row r="844" spans="4:4" ht="15.75" customHeight="1">
      <c r="D844" s="153"/>
    </row>
    <row r="845" spans="4:4" ht="15.75" customHeight="1">
      <c r="D845" s="153"/>
    </row>
    <row r="846" spans="4:4" ht="15.75" customHeight="1">
      <c r="D846" s="153"/>
    </row>
    <row r="847" spans="4:4" ht="15.75" customHeight="1">
      <c r="D847" s="153"/>
    </row>
    <row r="848" spans="4:4" ht="15.75" customHeight="1">
      <c r="D848" s="153"/>
    </row>
    <row r="849" spans="4:4" ht="15.75" customHeight="1">
      <c r="D849" s="153"/>
    </row>
    <row r="850" spans="4:4" ht="15.75" customHeight="1">
      <c r="D850" s="153"/>
    </row>
    <row r="851" spans="4:4" ht="15.75" customHeight="1">
      <c r="D851" s="153"/>
    </row>
    <row r="852" spans="4:4" ht="15.75" customHeight="1">
      <c r="D852" s="153"/>
    </row>
    <row r="853" spans="4:4" ht="15.75" customHeight="1">
      <c r="D853" s="153"/>
    </row>
    <row r="854" spans="4:4" ht="15.75" customHeight="1">
      <c r="D854" s="153"/>
    </row>
    <row r="855" spans="4:4" ht="15.75" customHeight="1">
      <c r="D855" s="153"/>
    </row>
    <row r="856" spans="4:4" ht="15.75" customHeight="1">
      <c r="D856" s="153"/>
    </row>
    <row r="857" spans="4:4" ht="15.75" customHeight="1">
      <c r="D857" s="153"/>
    </row>
    <row r="858" spans="4:4" ht="15.75" customHeight="1">
      <c r="D858" s="153"/>
    </row>
    <row r="859" spans="4:4" ht="15.75" customHeight="1">
      <c r="D859" s="153"/>
    </row>
    <row r="860" spans="4:4" ht="15.75" customHeight="1">
      <c r="D860" s="153"/>
    </row>
    <row r="861" spans="4:4" ht="15.75" customHeight="1">
      <c r="D861" s="153"/>
    </row>
    <row r="862" spans="4:4" ht="15.75" customHeight="1">
      <c r="D862" s="153"/>
    </row>
    <row r="863" spans="4:4" ht="15.75" customHeight="1">
      <c r="D863" s="153"/>
    </row>
    <row r="864" spans="4:4" ht="15.75" customHeight="1">
      <c r="D864" s="153"/>
    </row>
    <row r="865" spans="4:4" ht="15.75" customHeight="1">
      <c r="D865" s="153"/>
    </row>
    <row r="866" spans="4:4" ht="15.75" customHeight="1">
      <c r="D866" s="153"/>
    </row>
    <row r="867" spans="4:4" ht="15.75" customHeight="1">
      <c r="D867" s="153"/>
    </row>
    <row r="868" spans="4:4" ht="15.75" customHeight="1">
      <c r="D868" s="153"/>
    </row>
    <row r="869" spans="4:4" ht="15.75" customHeight="1">
      <c r="D869" s="153"/>
    </row>
    <row r="870" spans="4:4" ht="15.75" customHeight="1">
      <c r="D870" s="153"/>
    </row>
    <row r="871" spans="4:4" ht="15.75" customHeight="1">
      <c r="D871" s="153"/>
    </row>
    <row r="872" spans="4:4" ht="15.75" customHeight="1">
      <c r="D872" s="153"/>
    </row>
    <row r="873" spans="4:4" ht="15.75" customHeight="1">
      <c r="D873" s="153"/>
    </row>
    <row r="874" spans="4:4" ht="15.75" customHeight="1">
      <c r="D874" s="153"/>
    </row>
    <row r="875" spans="4:4" ht="15.75" customHeight="1">
      <c r="D875" s="153"/>
    </row>
    <row r="876" spans="4:4" ht="15.75" customHeight="1">
      <c r="D876" s="153"/>
    </row>
    <row r="877" spans="4:4" ht="15.75" customHeight="1">
      <c r="D877" s="153"/>
    </row>
    <row r="878" spans="4:4" ht="15.75" customHeight="1">
      <c r="D878" s="153"/>
    </row>
    <row r="879" spans="4:4" ht="15.75" customHeight="1">
      <c r="D879" s="153"/>
    </row>
    <row r="880" spans="4:4" ht="15.75" customHeight="1">
      <c r="D880" s="153"/>
    </row>
    <row r="881" spans="4:4" ht="15.75" customHeight="1">
      <c r="D881" s="153"/>
    </row>
    <row r="882" spans="4:4" ht="15.75" customHeight="1">
      <c r="D882" s="153"/>
    </row>
    <row r="883" spans="4:4" ht="15.75" customHeight="1">
      <c r="D883" s="153"/>
    </row>
    <row r="884" spans="4:4" ht="15.75" customHeight="1">
      <c r="D884" s="153"/>
    </row>
    <row r="885" spans="4:4" ht="15.75" customHeight="1">
      <c r="D885" s="153"/>
    </row>
    <row r="886" spans="4:4" ht="15.75" customHeight="1">
      <c r="D886" s="153"/>
    </row>
    <row r="887" spans="4:4" ht="15.75" customHeight="1">
      <c r="D887" s="153"/>
    </row>
    <row r="888" spans="4:4" ht="15.75" customHeight="1">
      <c r="D888" s="153"/>
    </row>
    <row r="889" spans="4:4" ht="15.75" customHeight="1">
      <c r="D889" s="153"/>
    </row>
    <row r="890" spans="4:4" ht="15.75" customHeight="1">
      <c r="D890" s="153"/>
    </row>
    <row r="891" spans="4:4" ht="15.75" customHeight="1">
      <c r="D891" s="153"/>
    </row>
    <row r="892" spans="4:4" ht="15.75" customHeight="1">
      <c r="D892" s="153"/>
    </row>
    <row r="893" spans="4:4" ht="15.75" customHeight="1">
      <c r="D893" s="153"/>
    </row>
    <row r="894" spans="4:4" ht="15.75" customHeight="1">
      <c r="D894" s="153"/>
    </row>
    <row r="895" spans="4:4" ht="15.75" customHeight="1">
      <c r="D895" s="153"/>
    </row>
    <row r="896" spans="4:4" ht="15.75" customHeight="1">
      <c r="D896" s="153"/>
    </row>
    <row r="897" spans="4:4" ht="15.75" customHeight="1">
      <c r="D897" s="153"/>
    </row>
    <row r="898" spans="4:4" ht="15.75" customHeight="1">
      <c r="D898" s="153"/>
    </row>
    <row r="899" spans="4:4" ht="15.75" customHeight="1">
      <c r="D899" s="153"/>
    </row>
    <row r="900" spans="4:4" ht="15.75" customHeight="1">
      <c r="D900" s="153"/>
    </row>
    <row r="901" spans="4:4" ht="15.75" customHeight="1">
      <c r="D901" s="153"/>
    </row>
    <row r="902" spans="4:4" ht="15.75" customHeight="1">
      <c r="D902" s="153"/>
    </row>
    <row r="903" spans="4:4" ht="15.75" customHeight="1">
      <c r="D903" s="153"/>
    </row>
    <row r="904" spans="4:4" ht="15.75" customHeight="1">
      <c r="D904" s="153"/>
    </row>
    <row r="905" spans="4:4" ht="15.75" customHeight="1">
      <c r="D905" s="153"/>
    </row>
    <row r="906" spans="4:4" ht="15.75" customHeight="1">
      <c r="D906" s="153"/>
    </row>
    <row r="907" spans="4:4" ht="15.75" customHeight="1">
      <c r="D907" s="153"/>
    </row>
    <row r="908" spans="4:4" ht="15.75" customHeight="1">
      <c r="D908" s="153"/>
    </row>
    <row r="909" spans="4:4" ht="15.75" customHeight="1">
      <c r="D909" s="153"/>
    </row>
    <row r="910" spans="4:4" ht="15.75" customHeight="1">
      <c r="D910" s="153"/>
    </row>
    <row r="911" spans="4:4" ht="15.75" customHeight="1">
      <c r="D911" s="153"/>
    </row>
    <row r="912" spans="4:4" ht="15.75" customHeight="1">
      <c r="D912" s="153"/>
    </row>
    <row r="913" spans="4:4" ht="15.75" customHeight="1">
      <c r="D913" s="153"/>
    </row>
    <row r="914" spans="4:4" ht="15.75" customHeight="1">
      <c r="D914" s="153"/>
    </row>
    <row r="915" spans="4:4" ht="15.75" customHeight="1">
      <c r="D915" s="153"/>
    </row>
    <row r="916" spans="4:4" ht="15.75" customHeight="1">
      <c r="D916" s="153"/>
    </row>
    <row r="917" spans="4:4" ht="15.75" customHeight="1">
      <c r="D917" s="153"/>
    </row>
    <row r="918" spans="4:4" ht="15.75" customHeight="1">
      <c r="D918" s="153"/>
    </row>
    <row r="919" spans="4:4" ht="15.75" customHeight="1">
      <c r="D919" s="153"/>
    </row>
    <row r="920" spans="4:4" ht="15.75" customHeight="1">
      <c r="D920" s="153"/>
    </row>
    <row r="921" spans="4:4" ht="15.75" customHeight="1">
      <c r="D921" s="153"/>
    </row>
    <row r="922" spans="4:4" ht="15.75" customHeight="1">
      <c r="D922" s="153"/>
    </row>
    <row r="923" spans="4:4" ht="15.75" customHeight="1">
      <c r="D923" s="153"/>
    </row>
    <row r="924" spans="4:4" ht="15.75" customHeight="1">
      <c r="D924" s="153"/>
    </row>
    <row r="925" spans="4:4" ht="15.75" customHeight="1">
      <c r="D925" s="153"/>
    </row>
    <row r="926" spans="4:4" ht="15.75" customHeight="1">
      <c r="D926" s="153"/>
    </row>
    <row r="927" spans="4:4" ht="15.75" customHeight="1">
      <c r="D927" s="153"/>
    </row>
    <row r="928" spans="4:4" ht="15.75" customHeight="1">
      <c r="D928" s="153"/>
    </row>
    <row r="929" spans="4:4" ht="15.75" customHeight="1">
      <c r="D929" s="153"/>
    </row>
    <row r="930" spans="4:4" ht="15.75" customHeight="1">
      <c r="D930" s="153"/>
    </row>
    <row r="931" spans="4:4" ht="15.75" customHeight="1">
      <c r="D931" s="153"/>
    </row>
    <row r="932" spans="4:4" ht="15.75" customHeight="1">
      <c r="D932" s="153"/>
    </row>
    <row r="933" spans="4:4" ht="15.75" customHeight="1">
      <c r="D933" s="153"/>
    </row>
    <row r="934" spans="4:4" ht="15.75" customHeight="1">
      <c r="D934" s="153"/>
    </row>
    <row r="935" spans="4:4" ht="15.75" customHeight="1">
      <c r="D935" s="153"/>
    </row>
    <row r="936" spans="4:4" ht="15.75" customHeight="1">
      <c r="D936" s="153"/>
    </row>
    <row r="937" spans="4:4" ht="15.75" customHeight="1">
      <c r="D937" s="153"/>
    </row>
    <row r="938" spans="4:4" ht="15.75" customHeight="1">
      <c r="D938" s="153"/>
    </row>
    <row r="939" spans="4:4" ht="15.75" customHeight="1">
      <c r="D939" s="153"/>
    </row>
    <row r="940" spans="4:4" ht="15.75" customHeight="1">
      <c r="D940" s="153"/>
    </row>
    <row r="941" spans="4:4" ht="15.75" customHeight="1">
      <c r="D941" s="153"/>
    </row>
    <row r="942" spans="4:4" ht="15.75" customHeight="1">
      <c r="D942" s="153"/>
    </row>
    <row r="943" spans="4:4" ht="15.75" customHeight="1">
      <c r="D943" s="153"/>
    </row>
    <row r="944" spans="4:4" ht="15.75" customHeight="1">
      <c r="D944" s="153"/>
    </row>
    <row r="945" spans="4:4" ht="15.75" customHeight="1">
      <c r="D945" s="153"/>
    </row>
    <row r="946" spans="4:4" ht="15.75" customHeight="1">
      <c r="D946" s="153"/>
    </row>
    <row r="947" spans="4:4" ht="15.75" customHeight="1">
      <c r="D947" s="153"/>
    </row>
    <row r="948" spans="4:4" ht="15.75" customHeight="1">
      <c r="D948" s="153"/>
    </row>
    <row r="949" spans="4:4" ht="15.75" customHeight="1">
      <c r="D949" s="153"/>
    </row>
    <row r="950" spans="4:4" ht="15.75" customHeight="1">
      <c r="D950" s="153"/>
    </row>
    <row r="951" spans="4:4" ht="15.75" customHeight="1">
      <c r="D951" s="153"/>
    </row>
    <row r="952" spans="4:4" ht="15.75" customHeight="1">
      <c r="D952" s="153"/>
    </row>
    <row r="953" spans="4:4" ht="15.75" customHeight="1">
      <c r="D953" s="153"/>
    </row>
    <row r="954" spans="4:4" ht="15.75" customHeight="1">
      <c r="D954" s="153"/>
    </row>
    <row r="955" spans="4:4" ht="15.75" customHeight="1">
      <c r="D955" s="153"/>
    </row>
    <row r="956" spans="4:4" ht="15.75" customHeight="1">
      <c r="D956" s="153"/>
    </row>
    <row r="957" spans="4:4" ht="15.75" customHeight="1">
      <c r="D957" s="153"/>
    </row>
    <row r="958" spans="4:4" ht="15.75" customHeight="1">
      <c r="D958" s="153"/>
    </row>
    <row r="959" spans="4:4" ht="15.75" customHeight="1">
      <c r="D959" s="153"/>
    </row>
    <row r="960" spans="4:4" ht="15.75" customHeight="1">
      <c r="D960" s="153"/>
    </row>
    <row r="961" spans="4:4" ht="15.75" customHeight="1">
      <c r="D961" s="153"/>
    </row>
    <row r="962" spans="4:4" ht="15.75" customHeight="1">
      <c r="D962" s="153"/>
    </row>
    <row r="963" spans="4:4" ht="15.75" customHeight="1">
      <c r="D963" s="153"/>
    </row>
    <row r="964" spans="4:4" ht="15.75" customHeight="1">
      <c r="D964" s="153"/>
    </row>
    <row r="965" spans="4:4" ht="15.75" customHeight="1">
      <c r="D965" s="153"/>
    </row>
    <row r="966" spans="4:4" ht="15.75" customHeight="1">
      <c r="D966" s="153"/>
    </row>
    <row r="967" spans="4:4" ht="15.75" customHeight="1">
      <c r="D967" s="153"/>
    </row>
    <row r="968" spans="4:4" ht="15.75" customHeight="1">
      <c r="D968" s="153"/>
    </row>
    <row r="969" spans="4:4" ht="15.75" customHeight="1">
      <c r="D969" s="153"/>
    </row>
    <row r="970" spans="4:4" ht="15.75" customHeight="1">
      <c r="D970" s="153"/>
    </row>
    <row r="971" spans="4:4" ht="15.75" customHeight="1">
      <c r="D971" s="153"/>
    </row>
    <row r="972" spans="4:4" ht="15.75" customHeight="1">
      <c r="D972" s="153"/>
    </row>
    <row r="973" spans="4:4" ht="15.75" customHeight="1">
      <c r="D973" s="153"/>
    </row>
    <row r="974" spans="4:4" ht="15.75" customHeight="1">
      <c r="D974" s="153"/>
    </row>
    <row r="975" spans="4:4" ht="15.75" customHeight="1">
      <c r="D975" s="153"/>
    </row>
  </sheetData>
  <pageMargins left="0.70866141732283472" right="0.31496062992125984" top="0.74803149606299213" bottom="0.74803149606299213" header="0" footer="0"/>
  <pageSetup paperSize="14"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L55"/>
  <sheetViews>
    <sheetView workbookViewId="0"/>
  </sheetViews>
  <sheetFormatPr defaultColWidth="14.44140625" defaultRowHeight="15" customHeight="1"/>
  <cols>
    <col min="1" max="1" width="3.33203125" customWidth="1"/>
    <col min="2" max="2" width="17.44140625" customWidth="1"/>
    <col min="3" max="3" width="28.33203125" customWidth="1"/>
    <col min="4" max="4" width="15.6640625" customWidth="1"/>
    <col min="5" max="5" width="31.88671875" customWidth="1"/>
    <col min="6" max="6" width="5.6640625" customWidth="1"/>
    <col min="9" max="9" width="17.44140625" customWidth="1"/>
    <col min="12" max="12" width="27" customWidth="1"/>
  </cols>
  <sheetData>
    <row r="1" spans="1:12">
      <c r="A1" s="715" t="s">
        <v>949</v>
      </c>
      <c r="B1" s="671"/>
      <c r="C1" s="671"/>
      <c r="D1" s="671"/>
      <c r="E1" s="672"/>
      <c r="F1" s="666" t="s">
        <v>950</v>
      </c>
    </row>
    <row r="2" spans="1:12">
      <c r="A2" s="675"/>
      <c r="B2" s="676"/>
      <c r="C2" s="676"/>
      <c r="D2" s="676"/>
      <c r="E2" s="677"/>
      <c r="F2" s="662"/>
    </row>
    <row r="3" spans="1:12">
      <c r="A3" s="2"/>
      <c r="B3" s="330" t="s">
        <v>654</v>
      </c>
      <c r="C3" s="330" t="s">
        <v>655</v>
      </c>
      <c r="D3" s="330" t="s">
        <v>656</v>
      </c>
      <c r="E3" s="581" t="s">
        <v>41</v>
      </c>
      <c r="F3" s="646"/>
      <c r="I3" s="330" t="s">
        <v>654</v>
      </c>
      <c r="J3" s="330" t="s">
        <v>655</v>
      </c>
      <c r="K3" s="330" t="s">
        <v>656</v>
      </c>
      <c r="L3" s="581" t="s">
        <v>41</v>
      </c>
    </row>
    <row r="4" spans="1:12">
      <c r="A4" s="582">
        <v>1</v>
      </c>
      <c r="B4" s="5" t="s">
        <v>163</v>
      </c>
      <c r="C4" s="5" t="s">
        <v>164</v>
      </c>
      <c r="D4" s="5" t="s">
        <v>82</v>
      </c>
      <c r="E4" s="178" t="s">
        <v>151</v>
      </c>
      <c r="F4" s="2"/>
      <c r="I4" s="5" t="s">
        <v>163</v>
      </c>
      <c r="J4" s="5" t="s">
        <v>164</v>
      </c>
      <c r="K4" s="5" t="s">
        <v>82</v>
      </c>
      <c r="L4" s="178" t="s">
        <v>151</v>
      </c>
    </row>
    <row r="5" spans="1:12">
      <c r="A5" s="582">
        <v>2</v>
      </c>
      <c r="B5" s="5" t="s">
        <v>211</v>
      </c>
      <c r="C5" s="5" t="s">
        <v>212</v>
      </c>
      <c r="D5" s="5" t="s">
        <v>213</v>
      </c>
      <c r="E5" s="178" t="s">
        <v>178</v>
      </c>
      <c r="F5" s="2"/>
      <c r="I5" s="5" t="s">
        <v>211</v>
      </c>
      <c r="J5" s="5" t="s">
        <v>212</v>
      </c>
      <c r="K5" s="5" t="s">
        <v>213</v>
      </c>
      <c r="L5" s="178" t="s">
        <v>178</v>
      </c>
    </row>
    <row r="6" spans="1:12">
      <c r="A6" s="582">
        <v>3</v>
      </c>
      <c r="B6" s="5" t="s">
        <v>184</v>
      </c>
      <c r="C6" s="5" t="s">
        <v>185</v>
      </c>
      <c r="D6" s="5" t="s">
        <v>186</v>
      </c>
      <c r="E6" s="178" t="s">
        <v>178</v>
      </c>
      <c r="F6" s="2"/>
      <c r="I6" s="5" t="s">
        <v>184</v>
      </c>
      <c r="J6" s="5" t="s">
        <v>185</v>
      </c>
      <c r="K6" s="5" t="s">
        <v>186</v>
      </c>
      <c r="L6" s="178" t="s">
        <v>178</v>
      </c>
    </row>
    <row r="7" spans="1:12">
      <c r="A7" s="582">
        <v>4</v>
      </c>
      <c r="B7" s="5" t="s">
        <v>82</v>
      </c>
      <c r="C7" s="5" t="s">
        <v>83</v>
      </c>
      <c r="D7" s="5" t="s">
        <v>84</v>
      </c>
      <c r="E7" s="178" t="s">
        <v>80</v>
      </c>
      <c r="F7" s="2"/>
      <c r="I7" s="5" t="s">
        <v>82</v>
      </c>
      <c r="J7" s="5" t="s">
        <v>83</v>
      </c>
      <c r="K7" s="5" t="s">
        <v>84</v>
      </c>
      <c r="L7" s="178" t="s">
        <v>80</v>
      </c>
    </row>
    <row r="8" spans="1:12">
      <c r="A8" s="582">
        <v>5</v>
      </c>
      <c r="B8" s="5" t="s">
        <v>237</v>
      </c>
      <c r="C8" s="5" t="s">
        <v>238</v>
      </c>
      <c r="D8" s="5" t="s">
        <v>239</v>
      </c>
      <c r="E8" s="178" t="s">
        <v>832</v>
      </c>
      <c r="F8" s="2"/>
      <c r="I8" s="5" t="s">
        <v>237</v>
      </c>
      <c r="J8" s="5" t="s">
        <v>238</v>
      </c>
      <c r="K8" s="5" t="s">
        <v>239</v>
      </c>
      <c r="L8" s="178" t="s">
        <v>832</v>
      </c>
    </row>
    <row r="9" spans="1:12">
      <c r="A9" s="582">
        <v>6</v>
      </c>
      <c r="B9" s="5" t="s">
        <v>216</v>
      </c>
      <c r="C9" s="5" t="s">
        <v>217</v>
      </c>
      <c r="D9" s="5" t="s">
        <v>184</v>
      </c>
      <c r="E9" s="178" t="s">
        <v>178</v>
      </c>
      <c r="F9" s="2"/>
      <c r="H9" s="33" t="s">
        <v>951</v>
      </c>
      <c r="I9" s="5" t="s">
        <v>216</v>
      </c>
      <c r="J9" s="5" t="s">
        <v>217</v>
      </c>
      <c r="K9" s="5" t="s">
        <v>184</v>
      </c>
      <c r="L9" s="178" t="s">
        <v>178</v>
      </c>
    </row>
    <row r="10" spans="1:12">
      <c r="A10" s="582">
        <v>7</v>
      </c>
      <c r="B10" s="5" t="s">
        <v>147</v>
      </c>
      <c r="C10" s="5" t="s">
        <v>148</v>
      </c>
      <c r="D10" s="5" t="s">
        <v>149</v>
      </c>
      <c r="E10" s="238" t="s">
        <v>151</v>
      </c>
      <c r="F10" s="2"/>
      <c r="H10" s="33" t="s">
        <v>951</v>
      </c>
      <c r="I10" s="5" t="s">
        <v>147</v>
      </c>
      <c r="J10" s="5" t="s">
        <v>148</v>
      </c>
      <c r="K10" s="5" t="s">
        <v>149</v>
      </c>
      <c r="L10" s="238" t="s">
        <v>151</v>
      </c>
    </row>
    <row r="11" spans="1:12">
      <c r="A11" s="582">
        <v>8</v>
      </c>
      <c r="B11" s="388" t="s">
        <v>147</v>
      </c>
      <c r="C11" s="388" t="s">
        <v>208</v>
      </c>
      <c r="D11" s="388" t="s">
        <v>209</v>
      </c>
      <c r="E11" s="238" t="s">
        <v>207</v>
      </c>
      <c r="F11" s="2"/>
      <c r="H11" s="33" t="s">
        <v>951</v>
      </c>
      <c r="I11" s="388" t="s">
        <v>147</v>
      </c>
      <c r="J11" s="388" t="s">
        <v>208</v>
      </c>
      <c r="K11" s="388" t="s">
        <v>209</v>
      </c>
      <c r="L11" s="238" t="s">
        <v>207</v>
      </c>
    </row>
    <row r="12" spans="1:12">
      <c r="A12" s="582">
        <v>9</v>
      </c>
      <c r="B12" s="5" t="s">
        <v>737</v>
      </c>
      <c r="C12" s="5" t="s">
        <v>192</v>
      </c>
      <c r="D12" s="5" t="s">
        <v>193</v>
      </c>
      <c r="E12" s="178" t="s">
        <v>189</v>
      </c>
      <c r="F12" s="2"/>
      <c r="I12" s="5" t="s">
        <v>737</v>
      </c>
      <c r="J12" s="5" t="s">
        <v>192</v>
      </c>
      <c r="K12" s="5" t="s">
        <v>193</v>
      </c>
      <c r="L12" s="178" t="s">
        <v>189</v>
      </c>
    </row>
    <row r="13" spans="1:12">
      <c r="A13" s="582">
        <v>10</v>
      </c>
      <c r="B13" s="5" t="s">
        <v>195</v>
      </c>
      <c r="C13" s="5" t="s">
        <v>196</v>
      </c>
      <c r="D13" s="5" t="s">
        <v>197</v>
      </c>
      <c r="E13" s="178" t="s">
        <v>189</v>
      </c>
      <c r="F13" s="2"/>
      <c r="H13" s="33" t="s">
        <v>951</v>
      </c>
      <c r="I13" s="5" t="s">
        <v>195</v>
      </c>
      <c r="J13" s="5" t="s">
        <v>196</v>
      </c>
      <c r="K13" s="5" t="s">
        <v>197</v>
      </c>
      <c r="L13" s="178" t="s">
        <v>189</v>
      </c>
    </row>
    <row r="14" spans="1:12">
      <c r="A14" s="582">
        <v>11</v>
      </c>
      <c r="B14" s="333" t="s">
        <v>225</v>
      </c>
      <c r="C14" s="333" t="s">
        <v>226</v>
      </c>
      <c r="D14" s="333" t="s">
        <v>227</v>
      </c>
      <c r="E14" s="238" t="s">
        <v>682</v>
      </c>
      <c r="F14" s="2"/>
      <c r="H14" s="33" t="s">
        <v>951</v>
      </c>
      <c r="I14" s="333" t="s">
        <v>225</v>
      </c>
      <c r="J14" s="333" t="s">
        <v>226</v>
      </c>
      <c r="K14" s="333" t="s">
        <v>227</v>
      </c>
      <c r="L14" s="238" t="s">
        <v>682</v>
      </c>
    </row>
    <row r="15" spans="1:12">
      <c r="A15" s="582">
        <v>12</v>
      </c>
      <c r="B15" s="5" t="s">
        <v>87</v>
      </c>
      <c r="C15" s="5" t="s">
        <v>88</v>
      </c>
      <c r="D15" s="5" t="s">
        <v>89</v>
      </c>
      <c r="E15" s="178" t="s">
        <v>80</v>
      </c>
      <c r="F15" s="2"/>
      <c r="I15" s="5" t="s">
        <v>87</v>
      </c>
      <c r="J15" s="5" t="s">
        <v>88</v>
      </c>
      <c r="K15" s="5" t="s">
        <v>89</v>
      </c>
      <c r="L15" s="178" t="s">
        <v>80</v>
      </c>
    </row>
    <row r="16" spans="1:12">
      <c r="A16" s="582">
        <v>13</v>
      </c>
      <c r="B16" s="5" t="s">
        <v>70</v>
      </c>
      <c r="C16" s="5" t="s">
        <v>71</v>
      </c>
      <c r="D16" s="5" t="s">
        <v>72</v>
      </c>
      <c r="E16" s="178" t="s">
        <v>80</v>
      </c>
      <c r="F16" s="2"/>
      <c r="I16" s="5" t="s">
        <v>70</v>
      </c>
      <c r="J16" s="5" t="s">
        <v>71</v>
      </c>
      <c r="K16" s="5" t="s">
        <v>72</v>
      </c>
      <c r="L16" s="178" t="s">
        <v>80</v>
      </c>
    </row>
    <row r="17" spans="1:12">
      <c r="A17" s="582">
        <v>14</v>
      </c>
      <c r="B17" s="5" t="s">
        <v>180</v>
      </c>
      <c r="C17" s="5" t="s">
        <v>181</v>
      </c>
      <c r="D17" s="5" t="s">
        <v>182</v>
      </c>
      <c r="E17" s="178" t="s">
        <v>178</v>
      </c>
      <c r="F17" s="2"/>
      <c r="I17" s="5" t="s">
        <v>180</v>
      </c>
      <c r="J17" s="5" t="s">
        <v>181</v>
      </c>
      <c r="K17" s="5" t="s">
        <v>182</v>
      </c>
      <c r="L17" s="178" t="s">
        <v>178</v>
      </c>
    </row>
    <row r="18" spans="1:12">
      <c r="A18" s="582">
        <v>15</v>
      </c>
      <c r="B18" s="5" t="s">
        <v>92</v>
      </c>
      <c r="C18" s="5" t="s">
        <v>93</v>
      </c>
      <c r="D18" s="5" t="s">
        <v>94</v>
      </c>
      <c r="E18" s="178" t="s">
        <v>245</v>
      </c>
      <c r="F18" s="2"/>
      <c r="I18" s="5" t="s">
        <v>92</v>
      </c>
      <c r="J18" s="5" t="s">
        <v>93</v>
      </c>
      <c r="K18" s="5" t="s">
        <v>94</v>
      </c>
      <c r="L18" s="178" t="s">
        <v>245</v>
      </c>
    </row>
    <row r="19" spans="1:12">
      <c r="A19" s="582">
        <v>16</v>
      </c>
      <c r="B19" s="5" t="s">
        <v>203</v>
      </c>
      <c r="C19" s="5" t="s">
        <v>204</v>
      </c>
      <c r="D19" s="5" t="s">
        <v>205</v>
      </c>
      <c r="E19" s="178" t="s">
        <v>178</v>
      </c>
      <c r="F19" s="2"/>
      <c r="H19" s="33" t="s">
        <v>951</v>
      </c>
      <c r="I19" s="5" t="s">
        <v>203</v>
      </c>
      <c r="J19" s="5" t="s">
        <v>204</v>
      </c>
      <c r="K19" s="5" t="s">
        <v>205</v>
      </c>
      <c r="L19" s="178" t="s">
        <v>178</v>
      </c>
    </row>
    <row r="20" spans="1:12">
      <c r="A20" s="582">
        <v>17</v>
      </c>
      <c r="B20" s="5" t="s">
        <v>153</v>
      </c>
      <c r="C20" s="5" t="s">
        <v>154</v>
      </c>
      <c r="D20" s="5" t="s">
        <v>155</v>
      </c>
      <c r="E20" s="178" t="s">
        <v>151</v>
      </c>
      <c r="F20" s="2"/>
      <c r="H20" s="33" t="s">
        <v>951</v>
      </c>
      <c r="I20" s="5" t="s">
        <v>153</v>
      </c>
      <c r="J20" s="5" t="s">
        <v>154</v>
      </c>
      <c r="K20" s="5" t="s">
        <v>155</v>
      </c>
      <c r="L20" s="178" t="s">
        <v>151</v>
      </c>
    </row>
    <row r="21" spans="1:12">
      <c r="A21" s="582">
        <v>18</v>
      </c>
      <c r="B21" s="5" t="s">
        <v>153</v>
      </c>
      <c r="C21" s="5" t="s">
        <v>167</v>
      </c>
      <c r="D21" s="5" t="s">
        <v>155</v>
      </c>
      <c r="E21" s="178" t="s">
        <v>151</v>
      </c>
      <c r="F21" s="2"/>
      <c r="H21" s="33" t="s">
        <v>951</v>
      </c>
      <c r="I21" s="5" t="s">
        <v>153</v>
      </c>
      <c r="J21" s="5" t="s">
        <v>167</v>
      </c>
      <c r="K21" s="5" t="s">
        <v>155</v>
      </c>
      <c r="L21" s="178" t="s">
        <v>151</v>
      </c>
    </row>
    <row r="22" spans="1:12">
      <c r="A22" s="582">
        <v>19</v>
      </c>
      <c r="B22" s="5" t="s">
        <v>169</v>
      </c>
      <c r="C22" s="5" t="s">
        <v>170</v>
      </c>
      <c r="D22" s="5" t="s">
        <v>171</v>
      </c>
      <c r="E22" s="178" t="s">
        <v>151</v>
      </c>
      <c r="F22" s="2"/>
      <c r="I22" s="5" t="s">
        <v>169</v>
      </c>
      <c r="J22" s="5" t="s">
        <v>170</v>
      </c>
      <c r="K22" s="5" t="s">
        <v>171</v>
      </c>
      <c r="L22" s="178" t="s">
        <v>151</v>
      </c>
    </row>
    <row r="23" spans="1:12">
      <c r="A23" s="582">
        <v>20</v>
      </c>
      <c r="B23" s="5" t="s">
        <v>157</v>
      </c>
      <c r="C23" s="5" t="s">
        <v>158</v>
      </c>
      <c r="D23" s="5" t="s">
        <v>159</v>
      </c>
      <c r="E23" s="178" t="s">
        <v>151</v>
      </c>
      <c r="F23" s="2"/>
      <c r="I23" s="5" t="s">
        <v>157</v>
      </c>
      <c r="J23" s="5" t="s">
        <v>158</v>
      </c>
      <c r="K23" s="5" t="s">
        <v>159</v>
      </c>
      <c r="L23" s="178" t="s">
        <v>151</v>
      </c>
    </row>
    <row r="24" spans="1:12">
      <c r="A24" s="582">
        <v>21</v>
      </c>
      <c r="B24" s="5" t="s">
        <v>173</v>
      </c>
      <c r="C24" s="5" t="s">
        <v>174</v>
      </c>
      <c r="D24" s="5" t="s">
        <v>175</v>
      </c>
      <c r="E24" s="178" t="s">
        <v>151</v>
      </c>
      <c r="F24" s="2"/>
      <c r="H24" s="33" t="s">
        <v>951</v>
      </c>
      <c r="I24" s="5" t="s">
        <v>173</v>
      </c>
      <c r="J24" s="5" t="s">
        <v>174</v>
      </c>
      <c r="K24" s="5" t="s">
        <v>175</v>
      </c>
      <c r="L24" s="178" t="s">
        <v>151</v>
      </c>
    </row>
    <row r="25" spans="1:12">
      <c r="A25" s="582">
        <v>22</v>
      </c>
      <c r="B25" s="5" t="s">
        <v>199</v>
      </c>
      <c r="C25" s="5" t="s">
        <v>200</v>
      </c>
      <c r="D25" s="5" t="s">
        <v>197</v>
      </c>
      <c r="E25" s="178" t="s">
        <v>764</v>
      </c>
      <c r="F25" s="2"/>
      <c r="I25" s="5" t="s">
        <v>199</v>
      </c>
      <c r="J25" s="5" t="s">
        <v>200</v>
      </c>
      <c r="K25" s="5" t="s">
        <v>197</v>
      </c>
      <c r="L25" s="178" t="s">
        <v>764</v>
      </c>
    </row>
    <row r="26" spans="1:12">
      <c r="A26" s="582">
        <v>23</v>
      </c>
      <c r="B26" s="333" t="s">
        <v>106</v>
      </c>
      <c r="C26" s="333" t="s">
        <v>107</v>
      </c>
      <c r="D26" s="333" t="s">
        <v>108</v>
      </c>
      <c r="E26" s="238" t="s">
        <v>139</v>
      </c>
      <c r="F26" s="2"/>
      <c r="I26" s="333" t="s">
        <v>106</v>
      </c>
      <c r="J26" s="333" t="s">
        <v>107</v>
      </c>
      <c r="K26" s="333" t="s">
        <v>108</v>
      </c>
      <c r="L26" s="238" t="s">
        <v>139</v>
      </c>
    </row>
    <row r="27" spans="1:12">
      <c r="A27" s="582">
        <v>24</v>
      </c>
      <c r="B27" s="5" t="s">
        <v>63</v>
      </c>
      <c r="C27" s="5" t="s">
        <v>222</v>
      </c>
      <c r="D27" s="5" t="s">
        <v>223</v>
      </c>
      <c r="E27" s="178" t="s">
        <v>686</v>
      </c>
      <c r="F27" s="2"/>
      <c r="H27" s="33" t="s">
        <v>951</v>
      </c>
      <c r="I27" s="5" t="s">
        <v>63</v>
      </c>
      <c r="J27" s="5" t="s">
        <v>222</v>
      </c>
      <c r="K27" s="5" t="s">
        <v>223</v>
      </c>
      <c r="L27" s="178" t="s">
        <v>686</v>
      </c>
    </row>
    <row r="28" spans="1:12">
      <c r="A28" s="582">
        <v>25</v>
      </c>
      <c r="B28" s="5" t="s">
        <v>75</v>
      </c>
      <c r="C28" s="5" t="s">
        <v>76</v>
      </c>
      <c r="D28" s="5" t="s">
        <v>77</v>
      </c>
      <c r="E28" s="178" t="s">
        <v>105</v>
      </c>
      <c r="F28" s="2"/>
      <c r="H28" s="33" t="s">
        <v>951</v>
      </c>
      <c r="I28" s="5" t="s">
        <v>75</v>
      </c>
      <c r="J28" s="5" t="s">
        <v>76</v>
      </c>
      <c r="K28" s="5" t="s">
        <v>77</v>
      </c>
      <c r="L28" s="178" t="s">
        <v>105</v>
      </c>
    </row>
    <row r="30" spans="1:12">
      <c r="A30" s="583"/>
      <c r="B30" s="583"/>
      <c r="C30" s="583"/>
      <c r="D30" s="583"/>
      <c r="E30" s="583"/>
      <c r="F30" s="583"/>
    </row>
    <row r="31" spans="1:12">
      <c r="A31" s="715" t="s">
        <v>952</v>
      </c>
      <c r="B31" s="671"/>
      <c r="C31" s="671"/>
      <c r="D31" s="671"/>
      <c r="E31" s="672"/>
      <c r="F31" s="666" t="s">
        <v>950</v>
      </c>
    </row>
    <row r="32" spans="1:12">
      <c r="A32" s="675"/>
      <c r="B32" s="676"/>
      <c r="C32" s="676"/>
      <c r="D32" s="676"/>
      <c r="E32" s="677"/>
      <c r="F32" s="662"/>
    </row>
    <row r="33" spans="1:6">
      <c r="A33" s="2"/>
      <c r="B33" s="330" t="s">
        <v>654</v>
      </c>
      <c r="C33" s="330" t="s">
        <v>655</v>
      </c>
      <c r="D33" s="330" t="s">
        <v>656</v>
      </c>
      <c r="E33" s="581" t="s">
        <v>41</v>
      </c>
      <c r="F33" s="646"/>
    </row>
    <row r="34" spans="1:6">
      <c r="A34" s="582">
        <v>1</v>
      </c>
      <c r="B34" s="5" t="s">
        <v>141</v>
      </c>
      <c r="C34" s="5" t="s">
        <v>142</v>
      </c>
      <c r="D34" s="5" t="s">
        <v>143</v>
      </c>
      <c r="E34" s="5" t="s">
        <v>518</v>
      </c>
      <c r="F34" s="2"/>
    </row>
    <row r="35" spans="1:6">
      <c r="A35" s="582">
        <v>2</v>
      </c>
      <c r="B35" s="5" t="s">
        <v>128</v>
      </c>
      <c r="C35" s="5" t="s">
        <v>129</v>
      </c>
      <c r="D35" s="5" t="s">
        <v>130</v>
      </c>
      <c r="E35" s="5" t="s">
        <v>519</v>
      </c>
      <c r="F35" s="2"/>
    </row>
    <row r="36" spans="1:6">
      <c r="A36" s="582">
        <v>3</v>
      </c>
      <c r="B36" s="388" t="s">
        <v>622</v>
      </c>
      <c r="C36" s="388" t="s">
        <v>623</v>
      </c>
      <c r="D36" s="388" t="s">
        <v>624</v>
      </c>
      <c r="E36" s="388" t="s">
        <v>621</v>
      </c>
      <c r="F36" s="2"/>
    </row>
    <row r="37" spans="1:6">
      <c r="A37" s="582">
        <v>4</v>
      </c>
      <c r="B37" s="333" t="s">
        <v>111</v>
      </c>
      <c r="C37" s="333" t="s">
        <v>112</v>
      </c>
      <c r="D37" s="333" t="s">
        <v>101</v>
      </c>
      <c r="E37" s="388" t="s">
        <v>274</v>
      </c>
      <c r="F37" s="2"/>
    </row>
    <row r="38" spans="1:6">
      <c r="A38" s="582">
        <v>5</v>
      </c>
      <c r="B38" s="5" t="s">
        <v>926</v>
      </c>
      <c r="C38" s="5" t="s">
        <v>927</v>
      </c>
      <c r="D38" s="5" t="s">
        <v>928</v>
      </c>
      <c r="E38" s="5" t="s">
        <v>520</v>
      </c>
      <c r="F38" s="2"/>
    </row>
    <row r="39" spans="1:6">
      <c r="A39" s="582">
        <v>6</v>
      </c>
      <c r="B39" s="5" t="s">
        <v>473</v>
      </c>
      <c r="C39" s="5" t="s">
        <v>627</v>
      </c>
      <c r="D39" s="5" t="s">
        <v>628</v>
      </c>
      <c r="E39" s="5" t="s">
        <v>139</v>
      </c>
      <c r="F39" s="2"/>
    </row>
    <row r="40" spans="1:6">
      <c r="A40" s="582">
        <v>7</v>
      </c>
      <c r="B40" s="5" t="s">
        <v>296</v>
      </c>
      <c r="C40" s="5" t="s">
        <v>297</v>
      </c>
      <c r="D40" s="5" t="s">
        <v>298</v>
      </c>
      <c r="E40" s="5" t="s">
        <v>550</v>
      </c>
      <c r="F40" s="2"/>
    </row>
    <row r="41" spans="1:6">
      <c r="A41" s="582">
        <v>8</v>
      </c>
      <c r="B41" s="5" t="s">
        <v>276</v>
      </c>
      <c r="C41" s="5" t="s">
        <v>277</v>
      </c>
      <c r="D41" s="5" t="s">
        <v>278</v>
      </c>
      <c r="E41" s="5" t="s">
        <v>519</v>
      </c>
      <c r="F41" s="2"/>
    </row>
    <row r="42" spans="1:6">
      <c r="A42" s="582">
        <v>9</v>
      </c>
      <c r="B42" s="5" t="s">
        <v>114</v>
      </c>
      <c r="C42" s="5" t="s">
        <v>115</v>
      </c>
      <c r="D42" s="5" t="s">
        <v>116</v>
      </c>
      <c r="E42" s="5" t="s">
        <v>245</v>
      </c>
      <c r="F42" s="2"/>
    </row>
    <row r="43" spans="1:6">
      <c r="A43" s="582">
        <v>10</v>
      </c>
      <c r="B43" s="5" t="s">
        <v>300</v>
      </c>
      <c r="C43" s="5" t="s">
        <v>301</v>
      </c>
      <c r="D43" s="5" t="s">
        <v>302</v>
      </c>
      <c r="E43" s="5" t="s">
        <v>519</v>
      </c>
      <c r="F43" s="2"/>
    </row>
    <row r="44" spans="1:6">
      <c r="A44" s="582">
        <v>11</v>
      </c>
      <c r="B44" s="5" t="s">
        <v>282</v>
      </c>
      <c r="C44" s="5" t="s">
        <v>283</v>
      </c>
      <c r="D44" s="5" t="s">
        <v>199</v>
      </c>
      <c r="E44" s="388" t="s">
        <v>461</v>
      </c>
      <c r="F44" s="2"/>
    </row>
    <row r="45" spans="1:6">
      <c r="A45" s="582">
        <v>12</v>
      </c>
      <c r="B45" s="5" t="s">
        <v>560</v>
      </c>
      <c r="C45" s="5" t="s">
        <v>561</v>
      </c>
      <c r="D45" s="5" t="s">
        <v>562</v>
      </c>
      <c r="E45" s="5" t="s">
        <v>520</v>
      </c>
      <c r="F45" s="2"/>
    </row>
    <row r="46" spans="1:6">
      <c r="A46" s="582">
        <v>13</v>
      </c>
      <c r="B46" s="5" t="s">
        <v>598</v>
      </c>
      <c r="C46" s="5" t="s">
        <v>599</v>
      </c>
      <c r="D46" s="5" t="s">
        <v>600</v>
      </c>
      <c r="E46" s="5" t="s">
        <v>597</v>
      </c>
      <c r="F46" s="2"/>
    </row>
    <row r="47" spans="1:6">
      <c r="A47" s="582">
        <v>14</v>
      </c>
      <c r="B47" s="5" t="s">
        <v>514</v>
      </c>
      <c r="C47" s="5" t="s">
        <v>515</v>
      </c>
      <c r="D47" s="5" t="s">
        <v>516</v>
      </c>
      <c r="E47" s="5" t="s">
        <v>575</v>
      </c>
      <c r="F47" s="2"/>
    </row>
    <row r="48" spans="1:6">
      <c r="A48" s="582">
        <v>15</v>
      </c>
      <c r="B48" s="5" t="s">
        <v>585</v>
      </c>
      <c r="C48" s="5" t="s">
        <v>586</v>
      </c>
      <c r="D48" s="5" t="s">
        <v>587</v>
      </c>
      <c r="E48" s="5" t="s">
        <v>575</v>
      </c>
      <c r="F48" s="2"/>
    </row>
    <row r="49" spans="1:6">
      <c r="A49" s="582">
        <v>16</v>
      </c>
      <c r="B49" s="5" t="s">
        <v>915</v>
      </c>
      <c r="C49" s="5" t="s">
        <v>916</v>
      </c>
      <c r="D49" s="5" t="s">
        <v>917</v>
      </c>
      <c r="E49" s="5" t="s">
        <v>274</v>
      </c>
      <c r="F49" s="2"/>
    </row>
    <row r="50" spans="1:6">
      <c r="A50" s="582">
        <v>17</v>
      </c>
      <c r="B50" s="5" t="s">
        <v>291</v>
      </c>
      <c r="C50" s="5" t="s">
        <v>292</v>
      </c>
      <c r="D50" s="5" t="s">
        <v>293</v>
      </c>
      <c r="E50" s="5" t="s">
        <v>461</v>
      </c>
      <c r="F50" s="2"/>
    </row>
    <row r="51" spans="1:6">
      <c r="A51" s="582">
        <v>18</v>
      </c>
      <c r="B51" s="5" t="s">
        <v>631</v>
      </c>
      <c r="C51" s="5" t="s">
        <v>632</v>
      </c>
      <c r="D51" s="5" t="s">
        <v>633</v>
      </c>
      <c r="E51" s="5" t="s">
        <v>931</v>
      </c>
      <c r="F51" s="2"/>
    </row>
    <row r="52" spans="1:6">
      <c r="A52" s="582">
        <v>19</v>
      </c>
      <c r="B52" s="5" t="s">
        <v>63</v>
      </c>
      <c r="C52" s="5" t="s">
        <v>230</v>
      </c>
      <c r="D52" s="5" t="s">
        <v>517</v>
      </c>
      <c r="E52" s="5" t="s">
        <v>520</v>
      </c>
      <c r="F52" s="2"/>
    </row>
    <row r="53" spans="1:6">
      <c r="A53" s="582">
        <v>20</v>
      </c>
      <c r="B53" s="5" t="s">
        <v>363</v>
      </c>
      <c r="C53" s="5" t="s">
        <v>364</v>
      </c>
      <c r="D53" s="5" t="s">
        <v>365</v>
      </c>
      <c r="E53" s="5" t="s">
        <v>520</v>
      </c>
      <c r="F53" s="2"/>
    </row>
    <row r="54" spans="1:6">
      <c r="A54" s="582">
        <v>21</v>
      </c>
      <c r="B54" s="5" t="s">
        <v>298</v>
      </c>
      <c r="C54" s="5" t="s">
        <v>635</v>
      </c>
      <c r="D54" s="5" t="s">
        <v>636</v>
      </c>
      <c r="E54" s="5" t="s">
        <v>139</v>
      </c>
      <c r="F54" s="2"/>
    </row>
    <row r="55" spans="1:6">
      <c r="A55" s="582">
        <v>22</v>
      </c>
      <c r="B55" s="5" t="s">
        <v>579</v>
      </c>
      <c r="C55" s="5" t="s">
        <v>580</v>
      </c>
      <c r="D55" s="5" t="s">
        <v>581</v>
      </c>
      <c r="E55" s="5" t="s">
        <v>274</v>
      </c>
      <c r="F55" s="2"/>
    </row>
  </sheetData>
  <mergeCells count="4">
    <mergeCell ref="A1:E2"/>
    <mergeCell ref="F1:F3"/>
    <mergeCell ref="A31:E32"/>
    <mergeCell ref="F31:F33"/>
  </mergeCells>
  <printOptions horizontalCentered="1"/>
  <pageMargins left="0.7" right="0.7" top="0.75" bottom="0.75" header="0" footer="0"/>
  <pageSetup paperSize="5" fitToHeight="0" pageOrder="overThenDown" orientation="portrait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M837"/>
  <sheetViews>
    <sheetView workbookViewId="0"/>
  </sheetViews>
  <sheetFormatPr defaultColWidth="14.44140625" defaultRowHeight="15" customHeight="1"/>
  <cols>
    <col min="1" max="1" width="4.6640625" customWidth="1"/>
    <col min="2" max="3" width="32.5546875" customWidth="1"/>
    <col min="4" max="4" width="15.109375" customWidth="1"/>
    <col min="5" max="5" width="28.5546875" customWidth="1"/>
    <col min="6" max="6" width="16.109375" customWidth="1"/>
    <col min="7" max="7" width="11.33203125" customWidth="1"/>
    <col min="8" max="8" width="12.6640625" customWidth="1"/>
    <col min="9" max="9" width="9.88671875" customWidth="1"/>
    <col min="10" max="10" width="20.6640625" customWidth="1"/>
    <col min="11" max="11" width="72.6640625" customWidth="1"/>
    <col min="12" max="12" width="54.33203125" customWidth="1"/>
    <col min="13" max="13" width="8.6640625" customWidth="1"/>
  </cols>
  <sheetData>
    <row r="1" spans="1:13" ht="14.4">
      <c r="A1" s="680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</row>
    <row r="2" spans="1:13" ht="15" customHeight="1">
      <c r="A2" s="649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</row>
    <row r="3" spans="1:13" ht="15" customHeight="1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</row>
    <row r="4" spans="1:13" ht="23.4">
      <c r="A4" s="678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</row>
    <row r="5" spans="1:13" ht="23.4">
      <c r="A5" s="678"/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</row>
    <row r="6" spans="1:13" ht="23.4">
      <c r="A6" s="678"/>
      <c r="B6" s="649"/>
      <c r="C6" s="649"/>
      <c r="D6" s="649"/>
      <c r="E6" s="649"/>
      <c r="F6" s="649"/>
      <c r="G6" s="649"/>
      <c r="H6" s="649"/>
      <c r="I6" s="649"/>
      <c r="J6" s="649"/>
      <c r="K6" s="649"/>
      <c r="L6" s="649"/>
      <c r="M6" s="649"/>
    </row>
    <row r="7" spans="1:13" ht="28.8">
      <c r="A7" s="203"/>
      <c r="B7" s="228"/>
      <c r="C7" s="679" t="s">
        <v>539</v>
      </c>
      <c r="D7" s="649"/>
      <c r="E7" s="649"/>
      <c r="F7" s="649"/>
      <c r="G7" s="649"/>
      <c r="H7" s="649"/>
      <c r="I7" s="649"/>
      <c r="J7" s="649"/>
      <c r="K7" s="649"/>
      <c r="L7" s="649"/>
      <c r="M7" s="203"/>
    </row>
    <row r="8" spans="1:13" ht="14.4">
      <c r="A8" s="680"/>
      <c r="B8" s="649"/>
      <c r="C8" s="649"/>
      <c r="D8" s="649"/>
      <c r="E8" s="649"/>
      <c r="F8" s="649"/>
      <c r="G8" s="649"/>
      <c r="H8" s="649"/>
      <c r="I8" s="649"/>
      <c r="J8" s="649"/>
      <c r="K8" s="649"/>
      <c r="L8" s="649"/>
      <c r="M8" s="649"/>
    </row>
    <row r="9" spans="1:13" ht="15.6">
      <c r="A9" s="584"/>
      <c r="B9" s="585"/>
      <c r="C9" s="586" t="s">
        <v>41</v>
      </c>
      <c r="D9" s="586" t="s">
        <v>53</v>
      </c>
      <c r="E9" s="586" t="s">
        <v>54</v>
      </c>
      <c r="F9" s="586" t="s">
        <v>55</v>
      </c>
      <c r="G9" s="586" t="s">
        <v>45</v>
      </c>
      <c r="H9" s="586" t="s">
        <v>540</v>
      </c>
      <c r="I9" s="586" t="s">
        <v>42</v>
      </c>
      <c r="J9" s="586" t="s">
        <v>48</v>
      </c>
      <c r="K9" s="586"/>
      <c r="L9" s="586" t="s">
        <v>544</v>
      </c>
      <c r="M9" s="717"/>
    </row>
    <row r="10" spans="1:13" ht="24" customHeight="1">
      <c r="A10" s="669" t="s">
        <v>732</v>
      </c>
      <c r="B10" s="656"/>
      <c r="C10" s="656"/>
      <c r="D10" s="656"/>
      <c r="E10" s="656"/>
      <c r="F10" s="656"/>
      <c r="G10" s="656"/>
      <c r="H10" s="656"/>
      <c r="I10" s="656"/>
      <c r="J10" s="587"/>
      <c r="K10" s="587"/>
      <c r="L10" s="588"/>
      <c r="M10" s="649"/>
    </row>
    <row r="11" spans="1:13" ht="18.600000000000001">
      <c r="A11" s="589">
        <v>1</v>
      </c>
      <c r="B11" s="20"/>
      <c r="C11" s="20" t="s">
        <v>189</v>
      </c>
      <c r="D11" s="23" t="s">
        <v>737</v>
      </c>
      <c r="E11" s="23" t="s">
        <v>192</v>
      </c>
      <c r="F11" s="23" t="s">
        <v>193</v>
      </c>
      <c r="G11" s="28" t="s">
        <v>85</v>
      </c>
      <c r="H11" s="23" t="s">
        <v>58</v>
      </c>
      <c r="I11" s="590">
        <v>44716</v>
      </c>
      <c r="J11" s="259"/>
      <c r="K11" s="26" t="str">
        <f t="shared" ref="K11:K65" si="0">CONCATENATE(D11,", ",E11," ",F11)</f>
        <v>CANO, ADELMO GATO</v>
      </c>
      <c r="L11" s="27" t="s">
        <v>3</v>
      </c>
      <c r="M11" s="649"/>
    </row>
    <row r="12" spans="1:13" ht="18.600000000000001">
      <c r="A12" s="230">
        <v>2</v>
      </c>
      <c r="B12" s="591"/>
      <c r="C12" s="591" t="s">
        <v>274</v>
      </c>
      <c r="D12" s="592" t="s">
        <v>276</v>
      </c>
      <c r="E12" s="592" t="s">
        <v>277</v>
      </c>
      <c r="F12" s="592" t="s">
        <v>278</v>
      </c>
      <c r="G12" s="593" t="s">
        <v>85</v>
      </c>
      <c r="H12" s="592" t="s">
        <v>545</v>
      </c>
      <c r="I12" s="19" t="s">
        <v>275</v>
      </c>
      <c r="J12" s="19" t="s">
        <v>320</v>
      </c>
      <c r="K12" s="26" t="str">
        <f t="shared" si="0"/>
        <v>CEPEDA, CYRILL SHANE TAGUIAM</v>
      </c>
      <c r="L12" s="27" t="s">
        <v>34</v>
      </c>
      <c r="M12" s="649"/>
    </row>
    <row r="13" spans="1:13" ht="18.600000000000001">
      <c r="A13" s="230">
        <v>3</v>
      </c>
      <c r="B13" s="20"/>
      <c r="C13" s="20" t="s">
        <v>178</v>
      </c>
      <c r="D13" s="23" t="s">
        <v>180</v>
      </c>
      <c r="E13" s="23" t="s">
        <v>181</v>
      </c>
      <c r="F13" s="23" t="s">
        <v>182</v>
      </c>
      <c r="G13" s="28" t="s">
        <v>85</v>
      </c>
      <c r="H13" s="23" t="s">
        <v>58</v>
      </c>
      <c r="I13" s="590">
        <v>44720</v>
      </c>
      <c r="J13" s="259"/>
      <c r="K13" s="26" t="str">
        <f t="shared" si="0"/>
        <v>HUBALDE, ROLAND BARTILAD</v>
      </c>
      <c r="L13" s="27" t="s">
        <v>11</v>
      </c>
      <c r="M13" s="649"/>
    </row>
    <row r="14" spans="1:13" ht="18.600000000000001">
      <c r="A14" s="234">
        <v>4</v>
      </c>
      <c r="B14" s="20"/>
      <c r="C14" s="20" t="s">
        <v>461</v>
      </c>
      <c r="D14" s="23" t="s">
        <v>585</v>
      </c>
      <c r="E14" s="23" t="s">
        <v>586</v>
      </c>
      <c r="F14" s="23" t="s">
        <v>587</v>
      </c>
      <c r="G14" s="28" t="s">
        <v>85</v>
      </c>
      <c r="H14" s="23" t="s">
        <v>545</v>
      </c>
      <c r="I14" s="76">
        <v>44896</v>
      </c>
      <c r="J14" s="79" t="s">
        <v>320</v>
      </c>
      <c r="K14" s="26" t="str">
        <f t="shared" si="0"/>
        <v>NORA, NICHOLAI CHRISTOPHER BAXA</v>
      </c>
      <c r="L14" s="6" t="s">
        <v>913</v>
      </c>
      <c r="M14" s="649"/>
    </row>
    <row r="15" spans="1:13" ht="18.600000000000001">
      <c r="A15" s="234"/>
      <c r="B15" s="20"/>
      <c r="C15" s="20"/>
      <c r="D15" s="22"/>
      <c r="E15" s="22"/>
      <c r="F15" s="22"/>
      <c r="G15" s="122"/>
      <c r="H15" s="22"/>
      <c r="I15" s="79"/>
      <c r="J15" s="79"/>
      <c r="K15" s="26" t="str">
        <f t="shared" si="0"/>
        <v xml:space="preserve">,  </v>
      </c>
      <c r="L15" s="6"/>
      <c r="M15" s="649"/>
    </row>
    <row r="16" spans="1:13" ht="18.600000000000001">
      <c r="A16" s="669" t="s">
        <v>742</v>
      </c>
      <c r="B16" s="656"/>
      <c r="C16" s="656"/>
      <c r="D16" s="656"/>
      <c r="E16" s="656"/>
      <c r="F16" s="656"/>
      <c r="G16" s="656"/>
      <c r="H16" s="656"/>
      <c r="I16" s="656"/>
      <c r="J16" s="587"/>
      <c r="K16" s="26" t="str">
        <f t="shared" si="0"/>
        <v xml:space="preserve">,  </v>
      </c>
      <c r="L16" s="588"/>
      <c r="M16" s="649"/>
    </row>
    <row r="17" spans="1:13" ht="15.75" customHeight="1">
      <c r="A17" s="589">
        <v>1</v>
      </c>
      <c r="B17" s="20"/>
      <c r="C17" s="20" t="s">
        <v>151</v>
      </c>
      <c r="D17" s="23" t="s">
        <v>163</v>
      </c>
      <c r="E17" s="23" t="s">
        <v>164</v>
      </c>
      <c r="F17" s="23" t="s">
        <v>82</v>
      </c>
      <c r="G17" s="28" t="s">
        <v>85</v>
      </c>
      <c r="H17" s="23" t="s">
        <v>58</v>
      </c>
      <c r="I17" s="56">
        <v>44808</v>
      </c>
      <c r="J17" s="19"/>
      <c r="K17" s="26" t="str">
        <f t="shared" si="0"/>
        <v>ABAD, FERDINAND BARIUAN</v>
      </c>
      <c r="L17" s="27" t="s">
        <v>7</v>
      </c>
      <c r="M17" s="649"/>
    </row>
    <row r="18" spans="1:13" ht="15.75" customHeight="1">
      <c r="A18" s="230">
        <v>2</v>
      </c>
      <c r="B18" s="23"/>
      <c r="C18" s="23" t="s">
        <v>519</v>
      </c>
      <c r="D18" s="27" t="s">
        <v>128</v>
      </c>
      <c r="E18" s="27" t="s">
        <v>129</v>
      </c>
      <c r="F18" s="27" t="s">
        <v>130</v>
      </c>
      <c r="G18" s="19" t="s">
        <v>721</v>
      </c>
      <c r="H18" s="27" t="s">
        <v>545</v>
      </c>
      <c r="I18" s="19" t="s">
        <v>120</v>
      </c>
      <c r="J18" s="19" t="s">
        <v>299</v>
      </c>
      <c r="K18" s="26" t="str">
        <f t="shared" si="0"/>
        <v>AMMASI, JAYFER TABAO-ICAN</v>
      </c>
      <c r="L18" s="27" t="s">
        <v>29</v>
      </c>
      <c r="M18" s="649"/>
    </row>
    <row r="19" spans="1:13" ht="15.75" customHeight="1">
      <c r="A19" s="230">
        <v>3</v>
      </c>
      <c r="B19" s="178"/>
      <c r="C19" s="178" t="s">
        <v>621</v>
      </c>
      <c r="D19" s="47" t="s">
        <v>622</v>
      </c>
      <c r="E19" s="47" t="s">
        <v>623</v>
      </c>
      <c r="F19" s="47" t="s">
        <v>624</v>
      </c>
      <c r="G19" s="28" t="s">
        <v>85</v>
      </c>
      <c r="H19" s="47" t="s">
        <v>545</v>
      </c>
      <c r="I19" s="19" t="s">
        <v>275</v>
      </c>
      <c r="J19" s="19" t="s">
        <v>620</v>
      </c>
      <c r="K19" s="26" t="str">
        <f t="shared" si="0"/>
        <v>BAGUILAT, EVENCE MICHAEL CANDELARIA</v>
      </c>
      <c r="L19" s="27" t="s">
        <v>40</v>
      </c>
      <c r="M19" s="649"/>
    </row>
    <row r="20" spans="1:13" ht="15.75" customHeight="1">
      <c r="A20" s="230">
        <v>4</v>
      </c>
      <c r="B20" s="20"/>
      <c r="C20" s="20" t="s">
        <v>178</v>
      </c>
      <c r="D20" s="23" t="s">
        <v>184</v>
      </c>
      <c r="E20" s="23" t="s">
        <v>185</v>
      </c>
      <c r="F20" s="23" t="s">
        <v>186</v>
      </c>
      <c r="G20" s="28" t="s">
        <v>85</v>
      </c>
      <c r="H20" s="23" t="s">
        <v>58</v>
      </c>
      <c r="I20" s="56">
        <v>44718</v>
      </c>
      <c r="J20" s="19"/>
      <c r="K20" s="26" t="str">
        <f t="shared" si="0"/>
        <v>BALIGOD, RICHARD PINEDA</v>
      </c>
      <c r="L20" s="27" t="s">
        <v>22</v>
      </c>
      <c r="M20" s="649"/>
    </row>
    <row r="21" spans="1:13" ht="15.75" customHeight="1">
      <c r="A21" s="230">
        <v>5</v>
      </c>
      <c r="B21" s="594"/>
      <c r="C21" s="594" t="s">
        <v>80</v>
      </c>
      <c r="D21" s="595" t="s">
        <v>82</v>
      </c>
      <c r="E21" s="595" t="s">
        <v>83</v>
      </c>
      <c r="F21" s="595" t="s">
        <v>84</v>
      </c>
      <c r="G21" s="596" t="s">
        <v>85</v>
      </c>
      <c r="H21" s="595" t="s">
        <v>58</v>
      </c>
      <c r="I21" s="19" t="s">
        <v>81</v>
      </c>
      <c r="J21" s="19"/>
      <c r="K21" s="26" t="str">
        <f t="shared" si="0"/>
        <v>BARIUAN, RONALD  SIUAGAN</v>
      </c>
      <c r="L21" s="27" t="s">
        <v>16</v>
      </c>
      <c r="M21" s="649"/>
    </row>
    <row r="22" spans="1:13" ht="15.75" customHeight="1">
      <c r="A22" s="230">
        <v>7</v>
      </c>
      <c r="B22" s="178"/>
      <c r="C22" s="178" t="s">
        <v>274</v>
      </c>
      <c r="D22" s="47" t="s">
        <v>111</v>
      </c>
      <c r="E22" s="47" t="s">
        <v>112</v>
      </c>
      <c r="F22" s="47" t="s">
        <v>101</v>
      </c>
      <c r="G22" s="28" t="s">
        <v>85</v>
      </c>
      <c r="H22" s="47" t="s">
        <v>545</v>
      </c>
      <c r="I22" s="19" t="s">
        <v>275</v>
      </c>
      <c r="J22" s="19" t="s">
        <v>567</v>
      </c>
      <c r="K22" s="26" t="str">
        <f t="shared" si="0"/>
        <v>BATANG, JOHNY CALAYAN</v>
      </c>
      <c r="L22" s="27" t="s">
        <v>31</v>
      </c>
      <c r="M22" s="649"/>
    </row>
    <row r="23" spans="1:13" ht="15.75" customHeight="1">
      <c r="A23" s="230">
        <v>8</v>
      </c>
      <c r="B23" s="20"/>
      <c r="C23" s="20" t="s">
        <v>832</v>
      </c>
      <c r="D23" s="23" t="s">
        <v>237</v>
      </c>
      <c r="E23" s="23" t="s">
        <v>238</v>
      </c>
      <c r="F23" s="23" t="s">
        <v>239</v>
      </c>
      <c r="G23" s="28" t="s">
        <v>85</v>
      </c>
      <c r="H23" s="23" t="s">
        <v>58</v>
      </c>
      <c r="I23" s="56">
        <v>44628</v>
      </c>
      <c r="J23" s="19"/>
      <c r="K23" s="26" t="str">
        <f t="shared" si="0"/>
        <v>BAYLON, JOAQUIN BAUTISTA</v>
      </c>
      <c r="L23" s="27" t="s">
        <v>19</v>
      </c>
      <c r="M23" s="649"/>
    </row>
    <row r="24" spans="1:13" ht="15.75" customHeight="1">
      <c r="A24" s="230">
        <v>9</v>
      </c>
      <c r="B24" s="20"/>
      <c r="C24" s="20" t="s">
        <v>178</v>
      </c>
      <c r="D24" s="23" t="s">
        <v>216</v>
      </c>
      <c r="E24" s="23" t="s">
        <v>217</v>
      </c>
      <c r="F24" s="23" t="s">
        <v>184</v>
      </c>
      <c r="G24" s="28" t="s">
        <v>85</v>
      </c>
      <c r="H24" s="23" t="s">
        <v>58</v>
      </c>
      <c r="I24" s="76">
        <v>44713</v>
      </c>
      <c r="J24" s="79"/>
      <c r="K24" s="26" t="str">
        <f t="shared" si="0"/>
        <v>BERMEJO, ALVIN BALIGOD</v>
      </c>
      <c r="L24" s="6" t="s">
        <v>23</v>
      </c>
      <c r="M24" s="649"/>
    </row>
    <row r="25" spans="1:13" ht="15.75" customHeight="1">
      <c r="A25" s="230">
        <v>10</v>
      </c>
      <c r="B25" s="20"/>
      <c r="C25" s="20" t="s">
        <v>189</v>
      </c>
      <c r="D25" s="23" t="s">
        <v>195</v>
      </c>
      <c r="E25" s="23" t="s">
        <v>196</v>
      </c>
      <c r="F25" s="23" t="s">
        <v>197</v>
      </c>
      <c r="G25" s="28" t="s">
        <v>85</v>
      </c>
      <c r="H25" s="23" t="s">
        <v>58</v>
      </c>
      <c r="I25" s="56">
        <v>44716</v>
      </c>
      <c r="J25" s="19"/>
      <c r="K25" s="26" t="str">
        <f t="shared" si="0"/>
        <v>DOMINGO, ELON FLORES</v>
      </c>
      <c r="L25" s="27" t="s">
        <v>5</v>
      </c>
      <c r="M25" s="649"/>
    </row>
    <row r="26" spans="1:13" ht="15.75" customHeight="1">
      <c r="A26" s="230">
        <v>11</v>
      </c>
      <c r="B26" s="178"/>
      <c r="C26" s="178" t="s">
        <v>274</v>
      </c>
      <c r="D26" s="47" t="s">
        <v>114</v>
      </c>
      <c r="E26" s="47" t="s">
        <v>115</v>
      </c>
      <c r="F26" s="47" t="s">
        <v>116</v>
      </c>
      <c r="G26" s="28" t="s">
        <v>85</v>
      </c>
      <c r="H26" s="47" t="s">
        <v>545</v>
      </c>
      <c r="I26" s="79">
        <v>19</v>
      </c>
      <c r="J26" s="79" t="s">
        <v>320</v>
      </c>
      <c r="K26" s="26" t="str">
        <f t="shared" si="0"/>
        <v>ELCHICO, JOEY MARK DE GUZMAN</v>
      </c>
      <c r="L26" s="6" t="s">
        <v>33</v>
      </c>
      <c r="M26" s="649"/>
    </row>
    <row r="27" spans="1:13" ht="15.75" customHeight="1">
      <c r="A27" s="230">
        <v>12</v>
      </c>
      <c r="B27" s="238"/>
      <c r="C27" s="238" t="s">
        <v>682</v>
      </c>
      <c r="D27" s="46" t="s">
        <v>225</v>
      </c>
      <c r="E27" s="46" t="s">
        <v>226</v>
      </c>
      <c r="F27" s="46" t="s">
        <v>227</v>
      </c>
      <c r="G27" s="24" t="s">
        <v>85</v>
      </c>
      <c r="H27" s="46" t="s">
        <v>58</v>
      </c>
      <c r="I27" s="56">
        <v>44652</v>
      </c>
      <c r="J27" s="19"/>
      <c r="K27" s="26" t="str">
        <f t="shared" si="0"/>
        <v>FUGABAN, PABLO GERALDO</v>
      </c>
      <c r="L27" s="27" t="s">
        <v>2</v>
      </c>
      <c r="M27" s="649"/>
    </row>
    <row r="28" spans="1:13" ht="15.75" customHeight="1">
      <c r="A28" s="230">
        <v>13</v>
      </c>
      <c r="B28" s="23"/>
      <c r="C28" s="23" t="s">
        <v>461</v>
      </c>
      <c r="D28" s="23" t="s">
        <v>300</v>
      </c>
      <c r="E28" s="23" t="s">
        <v>301</v>
      </c>
      <c r="F28" s="23" t="s">
        <v>302</v>
      </c>
      <c r="G28" s="28" t="s">
        <v>85</v>
      </c>
      <c r="H28" s="23" t="s">
        <v>545</v>
      </c>
      <c r="I28" s="76">
        <v>44896</v>
      </c>
      <c r="J28" s="79" t="s">
        <v>320</v>
      </c>
      <c r="K28" s="26" t="str">
        <f t="shared" si="0"/>
        <v>GUIMMAYEN, NEIL KRISTOPHER CONEL</v>
      </c>
      <c r="L28" s="27" t="s">
        <v>35</v>
      </c>
      <c r="M28" s="649"/>
    </row>
    <row r="29" spans="1:13" ht="15.75" customHeight="1">
      <c r="A29" s="230">
        <v>14</v>
      </c>
      <c r="B29" s="597"/>
      <c r="C29" s="597" t="s">
        <v>461</v>
      </c>
      <c r="D29" s="64" t="s">
        <v>282</v>
      </c>
      <c r="E29" s="64" t="s">
        <v>283</v>
      </c>
      <c r="F29" s="23" t="s">
        <v>199</v>
      </c>
      <c r="G29" s="28" t="s">
        <v>85</v>
      </c>
      <c r="H29" s="23" t="s">
        <v>545</v>
      </c>
      <c r="I29" s="56">
        <v>44896</v>
      </c>
      <c r="J29" s="19" t="s">
        <v>617</v>
      </c>
      <c r="K29" s="26" t="str">
        <f t="shared" si="0"/>
        <v>LANGCAY, MICHAEL ANGELO ROBLES</v>
      </c>
      <c r="L29" s="27" t="s">
        <v>37</v>
      </c>
      <c r="M29" s="649"/>
    </row>
    <row r="30" spans="1:13" ht="15.75" customHeight="1">
      <c r="A30" s="230">
        <v>15</v>
      </c>
      <c r="B30" s="20"/>
      <c r="C30" s="20" t="s">
        <v>245</v>
      </c>
      <c r="D30" s="23" t="s">
        <v>92</v>
      </c>
      <c r="E30" s="23" t="s">
        <v>93</v>
      </c>
      <c r="F30" s="23" t="s">
        <v>94</v>
      </c>
      <c r="G30" s="28" t="s">
        <v>85</v>
      </c>
      <c r="H30" s="23" t="s">
        <v>58</v>
      </c>
      <c r="I30" s="19" t="s">
        <v>98</v>
      </c>
      <c r="J30" s="19"/>
      <c r="K30" s="26" t="str">
        <f t="shared" si="0"/>
        <v>LAYUGAN, ROGELIO  TAGUIBAO</v>
      </c>
      <c r="L30" s="27" t="s">
        <v>13</v>
      </c>
      <c r="M30" s="649"/>
    </row>
    <row r="31" spans="1:13" ht="15.75" customHeight="1">
      <c r="A31" s="230">
        <v>16</v>
      </c>
      <c r="B31" s="23"/>
      <c r="C31" s="23" t="s">
        <v>520</v>
      </c>
      <c r="D31" s="27" t="s">
        <v>560</v>
      </c>
      <c r="E31" s="27" t="s">
        <v>561</v>
      </c>
      <c r="F31" s="27" t="s">
        <v>562</v>
      </c>
      <c r="G31" s="598" t="s">
        <v>700</v>
      </c>
      <c r="H31" s="27" t="s">
        <v>545</v>
      </c>
      <c r="I31" s="56">
        <v>44866</v>
      </c>
      <c r="J31" s="19" t="s">
        <v>379</v>
      </c>
      <c r="K31" s="26" t="str">
        <f t="shared" si="0"/>
        <v>MALVAS, RITZ ANDREI IMBIEN</v>
      </c>
      <c r="L31" s="27"/>
      <c r="M31" s="649"/>
    </row>
    <row r="32" spans="1:13" ht="15.75" customHeight="1">
      <c r="A32" s="230">
        <v>17</v>
      </c>
      <c r="B32" s="20"/>
      <c r="C32" s="20" t="s">
        <v>151</v>
      </c>
      <c r="D32" s="23" t="s">
        <v>153</v>
      </c>
      <c r="E32" s="23" t="s">
        <v>154</v>
      </c>
      <c r="F32" s="23" t="s">
        <v>155</v>
      </c>
      <c r="G32" s="28" t="s">
        <v>85</v>
      </c>
      <c r="H32" s="23" t="s">
        <v>58</v>
      </c>
      <c r="I32" s="56">
        <v>44809</v>
      </c>
      <c r="J32" s="19"/>
      <c r="K32" s="26" t="str">
        <f t="shared" si="0"/>
        <v>MANUEL, EDWARD CABUTAJE</v>
      </c>
      <c r="L32" s="27" t="s">
        <v>8</v>
      </c>
      <c r="M32" s="649"/>
    </row>
    <row r="33" spans="1:13" ht="15.75" customHeight="1">
      <c r="A33" s="230">
        <v>18</v>
      </c>
      <c r="B33" s="20"/>
      <c r="C33" s="20" t="s">
        <v>151</v>
      </c>
      <c r="D33" s="23" t="s">
        <v>153</v>
      </c>
      <c r="E33" s="23" t="s">
        <v>167</v>
      </c>
      <c r="F33" s="23" t="s">
        <v>155</v>
      </c>
      <c r="G33" s="28" t="s">
        <v>85</v>
      </c>
      <c r="H33" s="23" t="s">
        <v>58</v>
      </c>
      <c r="I33" s="56">
        <v>44808</v>
      </c>
      <c r="J33" s="19"/>
      <c r="K33" s="26" t="str">
        <f t="shared" si="0"/>
        <v>MANUEL, EDMUND CABUTAJE</v>
      </c>
      <c r="L33" s="27" t="s">
        <v>9</v>
      </c>
      <c r="M33" s="649"/>
    </row>
    <row r="34" spans="1:13" ht="15.75" customHeight="1">
      <c r="A34" s="230"/>
      <c r="B34" s="599"/>
      <c r="C34" s="599"/>
      <c r="D34" s="27"/>
      <c r="E34" s="600"/>
      <c r="F34" s="27"/>
      <c r="G34" s="27"/>
      <c r="H34" s="27"/>
      <c r="I34" s="19"/>
      <c r="J34" s="19"/>
      <c r="K34" s="26" t="str">
        <f t="shared" si="0"/>
        <v xml:space="preserve">,  </v>
      </c>
      <c r="L34" s="27"/>
      <c r="M34" s="649"/>
    </row>
    <row r="35" spans="1:13" ht="22.5" customHeight="1">
      <c r="A35" s="669" t="s">
        <v>953</v>
      </c>
      <c r="B35" s="656"/>
      <c r="C35" s="656"/>
      <c r="D35" s="656"/>
      <c r="E35" s="656"/>
      <c r="F35" s="656"/>
      <c r="G35" s="656"/>
      <c r="H35" s="656"/>
      <c r="I35" s="587"/>
      <c r="J35" s="587"/>
      <c r="K35" s="26" t="str">
        <f t="shared" si="0"/>
        <v xml:space="preserve">,  </v>
      </c>
      <c r="L35" s="588"/>
      <c r="M35" s="649"/>
    </row>
    <row r="36" spans="1:13" ht="15.75" customHeight="1">
      <c r="A36" s="601">
        <v>1</v>
      </c>
      <c r="B36" s="20"/>
      <c r="C36" s="20" t="s">
        <v>178</v>
      </c>
      <c r="D36" s="23" t="s">
        <v>211</v>
      </c>
      <c r="E36" s="23" t="s">
        <v>212</v>
      </c>
      <c r="F36" s="23" t="s">
        <v>213</v>
      </c>
      <c r="G36" s="28" t="s">
        <v>85</v>
      </c>
      <c r="H36" s="23" t="s">
        <v>58</v>
      </c>
      <c r="I36" s="56">
        <v>44716</v>
      </c>
      <c r="J36" s="19"/>
      <c r="K36" s="26" t="str">
        <f t="shared" si="0"/>
        <v>ANDRES, RENE RABAGO</v>
      </c>
      <c r="L36" s="27" t="s">
        <v>21</v>
      </c>
      <c r="M36" s="649"/>
    </row>
    <row r="37" spans="1:13" ht="15.75" customHeight="1">
      <c r="A37" s="602">
        <v>2</v>
      </c>
      <c r="B37" s="594"/>
      <c r="C37" s="594" t="s">
        <v>80</v>
      </c>
      <c r="D37" s="595" t="s">
        <v>87</v>
      </c>
      <c r="E37" s="595" t="s">
        <v>88</v>
      </c>
      <c r="F37" s="595" t="s">
        <v>89</v>
      </c>
      <c r="G37" s="596" t="s">
        <v>85</v>
      </c>
      <c r="H37" s="595" t="s">
        <v>58</v>
      </c>
      <c r="I37" s="19" t="s">
        <v>81</v>
      </c>
      <c r="J37" s="19"/>
      <c r="K37" s="26" t="str">
        <f t="shared" si="0"/>
        <v>GAZZINGAN, CIRILO JR. NACINO</v>
      </c>
      <c r="L37" s="27" t="s">
        <v>17</v>
      </c>
      <c r="M37" s="649"/>
    </row>
    <row r="38" spans="1:13" ht="15.75" customHeight="1">
      <c r="A38" s="230">
        <v>3</v>
      </c>
      <c r="B38" s="23"/>
      <c r="C38" s="23" t="s">
        <v>954</v>
      </c>
      <c r="D38" s="199" t="s">
        <v>514</v>
      </c>
      <c r="E38" s="199" t="s">
        <v>515</v>
      </c>
      <c r="F38" s="199" t="s">
        <v>516</v>
      </c>
      <c r="G38" s="28" t="s">
        <v>85</v>
      </c>
      <c r="H38" s="23" t="s">
        <v>545</v>
      </c>
      <c r="I38" s="79" t="s">
        <v>120</v>
      </c>
      <c r="J38" s="79" t="s">
        <v>320</v>
      </c>
      <c r="K38" s="26" t="str">
        <f t="shared" si="0"/>
        <v>MARTENSEN, STEFFAN DALE DEAN GARINGAN</v>
      </c>
      <c r="L38" s="6" t="s">
        <v>36</v>
      </c>
      <c r="M38" s="649"/>
    </row>
    <row r="39" spans="1:13" ht="15.75" customHeight="1">
      <c r="A39" s="601">
        <v>4</v>
      </c>
      <c r="B39" s="20"/>
      <c r="C39" s="20" t="s">
        <v>151</v>
      </c>
      <c r="D39" s="23" t="s">
        <v>157</v>
      </c>
      <c r="E39" s="23" t="s">
        <v>158</v>
      </c>
      <c r="F39" s="23" t="s">
        <v>159</v>
      </c>
      <c r="G39" s="28" t="s">
        <v>85</v>
      </c>
      <c r="H39" s="23" t="s">
        <v>58</v>
      </c>
      <c r="I39" s="56">
        <v>44809</v>
      </c>
      <c r="J39" s="19"/>
      <c r="K39" s="26" t="str">
        <f t="shared" si="0"/>
        <v>PABRO, EUGENE LOMPERO</v>
      </c>
      <c r="L39" s="27" t="s">
        <v>24</v>
      </c>
      <c r="M39" s="649"/>
    </row>
    <row r="40" spans="1:13" ht="15.75" customHeight="1">
      <c r="A40" s="602">
        <v>5</v>
      </c>
      <c r="B40" s="20"/>
      <c r="C40" s="20" t="s">
        <v>151</v>
      </c>
      <c r="D40" s="23" t="s">
        <v>173</v>
      </c>
      <c r="E40" s="23" t="s">
        <v>174</v>
      </c>
      <c r="F40" s="23" t="s">
        <v>175</v>
      </c>
      <c r="G40" s="28" t="s">
        <v>85</v>
      </c>
      <c r="H40" s="23" t="s">
        <v>58</v>
      </c>
      <c r="I40" s="56">
        <v>44808</v>
      </c>
      <c r="J40" s="19"/>
      <c r="K40" s="26" t="str">
        <f t="shared" si="0"/>
        <v>RAMIREZ, DANIEL PADILLA</v>
      </c>
      <c r="L40" s="27" t="s">
        <v>25</v>
      </c>
      <c r="M40" s="649"/>
    </row>
    <row r="41" spans="1:13" ht="15.75" customHeight="1">
      <c r="A41" s="230">
        <v>6</v>
      </c>
      <c r="B41" s="20"/>
      <c r="C41" s="20" t="s">
        <v>764</v>
      </c>
      <c r="D41" s="23" t="s">
        <v>199</v>
      </c>
      <c r="E41" s="23" t="s">
        <v>200</v>
      </c>
      <c r="F41" s="23" t="s">
        <v>197</v>
      </c>
      <c r="G41" s="603" t="s">
        <v>64</v>
      </c>
      <c r="H41" s="23" t="s">
        <v>58</v>
      </c>
      <c r="I41" s="56">
        <v>44716</v>
      </c>
      <c r="J41" s="19"/>
      <c r="K41" s="26" t="str">
        <f t="shared" si="0"/>
        <v>ROBLES, MARILYN  FLORES</v>
      </c>
      <c r="L41" s="27" t="s">
        <v>6</v>
      </c>
      <c r="M41" s="649"/>
    </row>
    <row r="42" spans="1:13" ht="15.75" customHeight="1">
      <c r="A42" s="205">
        <v>7</v>
      </c>
      <c r="B42" s="20"/>
      <c r="C42" s="20" t="s">
        <v>461</v>
      </c>
      <c r="D42" s="20" t="s">
        <v>291</v>
      </c>
      <c r="E42" s="20" t="s">
        <v>292</v>
      </c>
      <c r="F42" s="20" t="s">
        <v>293</v>
      </c>
      <c r="G42" s="230" t="s">
        <v>85</v>
      </c>
      <c r="H42" s="20" t="s">
        <v>545</v>
      </c>
      <c r="I42" s="76">
        <v>44896</v>
      </c>
      <c r="J42" s="79" t="s">
        <v>320</v>
      </c>
      <c r="K42" s="26" t="str">
        <f t="shared" si="0"/>
        <v>TOMAS, BRYAN HIDALGO</v>
      </c>
      <c r="L42" s="6" t="s">
        <v>32</v>
      </c>
      <c r="M42" s="649"/>
    </row>
    <row r="43" spans="1:13" ht="15.75" customHeight="1">
      <c r="A43" s="230">
        <v>8</v>
      </c>
      <c r="B43" s="20"/>
      <c r="C43" s="20" t="s">
        <v>686</v>
      </c>
      <c r="D43" s="23" t="s">
        <v>63</v>
      </c>
      <c r="E43" s="23" t="s">
        <v>222</v>
      </c>
      <c r="F43" s="23" t="s">
        <v>223</v>
      </c>
      <c r="G43" s="28" t="s">
        <v>85</v>
      </c>
      <c r="H43" s="23" t="s">
        <v>58</v>
      </c>
      <c r="I43" s="56">
        <v>44652</v>
      </c>
      <c r="J43" s="19"/>
      <c r="K43" s="26" t="str">
        <f t="shared" si="0"/>
        <v>TUMALIUAN, NODEL MEMAN</v>
      </c>
      <c r="L43" s="27" t="s">
        <v>1</v>
      </c>
      <c r="M43" s="649"/>
    </row>
    <row r="44" spans="1:13" ht="15.75" customHeight="1">
      <c r="A44" s="230"/>
      <c r="B44" s="20"/>
      <c r="C44" s="20"/>
      <c r="D44" s="20"/>
      <c r="E44" s="20"/>
      <c r="F44" s="20"/>
      <c r="G44" s="230"/>
      <c r="H44" s="20"/>
      <c r="I44" s="79"/>
      <c r="J44" s="79"/>
      <c r="K44" s="26" t="str">
        <f t="shared" si="0"/>
        <v xml:space="preserve">,  </v>
      </c>
      <c r="L44" s="6"/>
      <c r="M44" s="649"/>
    </row>
    <row r="45" spans="1:13" ht="15.75" customHeight="1">
      <c r="A45" s="253" t="s">
        <v>767</v>
      </c>
      <c r="B45" s="253"/>
      <c r="C45" s="253"/>
      <c r="D45" s="253"/>
      <c r="E45" s="253"/>
      <c r="F45" s="253"/>
      <c r="G45" s="253"/>
      <c r="H45" s="253"/>
      <c r="I45" s="253"/>
      <c r="J45" s="253"/>
      <c r="K45" s="26" t="str">
        <f t="shared" si="0"/>
        <v xml:space="preserve">,  </v>
      </c>
      <c r="L45" s="253"/>
      <c r="M45" s="649"/>
    </row>
    <row r="46" spans="1:13" ht="15.75" customHeight="1">
      <c r="A46" s="589">
        <v>1</v>
      </c>
      <c r="B46" s="178"/>
      <c r="C46" s="178" t="s">
        <v>518</v>
      </c>
      <c r="D46" s="47" t="s">
        <v>141</v>
      </c>
      <c r="E46" s="47" t="s">
        <v>142</v>
      </c>
      <c r="F46" s="47" t="s">
        <v>143</v>
      </c>
      <c r="G46" s="28" t="s">
        <v>85</v>
      </c>
      <c r="H46" s="47" t="s">
        <v>545</v>
      </c>
      <c r="I46" s="19" t="s">
        <v>120</v>
      </c>
      <c r="J46" s="19" t="s">
        <v>455</v>
      </c>
      <c r="K46" s="26" t="str">
        <f t="shared" si="0"/>
        <v>AGAOID, EDISON SALVADOR</v>
      </c>
      <c r="L46" s="27" t="s">
        <v>27</v>
      </c>
      <c r="M46" s="649"/>
    </row>
    <row r="47" spans="1:13" ht="15.75" customHeight="1">
      <c r="A47" s="27">
        <v>2</v>
      </c>
      <c r="B47" s="256"/>
      <c r="C47" s="256" t="s">
        <v>151</v>
      </c>
      <c r="D47" s="27" t="s">
        <v>147</v>
      </c>
      <c r="E47" s="27" t="s">
        <v>148</v>
      </c>
      <c r="F47" s="27" t="s">
        <v>149</v>
      </c>
      <c r="G47" s="603" t="s">
        <v>64</v>
      </c>
      <c r="H47" s="65" t="s">
        <v>58</v>
      </c>
      <c r="I47" s="56">
        <v>44812</v>
      </c>
      <c r="J47" s="19"/>
      <c r="K47" s="26" t="str">
        <f t="shared" si="0"/>
        <v>CABACUNGAN, LANIE AGTARAP</v>
      </c>
      <c r="L47" s="27" t="s">
        <v>4</v>
      </c>
      <c r="M47" s="649"/>
    </row>
    <row r="48" spans="1:13" ht="15.75" customHeight="1">
      <c r="A48" s="602">
        <v>3</v>
      </c>
      <c r="B48" s="256"/>
      <c r="C48" s="256" t="s">
        <v>207</v>
      </c>
      <c r="D48" s="65" t="s">
        <v>147</v>
      </c>
      <c r="E48" s="65" t="s">
        <v>208</v>
      </c>
      <c r="F48" s="65" t="s">
        <v>209</v>
      </c>
      <c r="G48" s="24" t="s">
        <v>85</v>
      </c>
      <c r="H48" s="65" t="s">
        <v>58</v>
      </c>
      <c r="I48" s="56">
        <v>44716</v>
      </c>
      <c r="J48" s="19"/>
      <c r="K48" s="26" t="str">
        <f t="shared" si="0"/>
        <v>CABACUNGAN, MEDY JOSE MOSADAS</v>
      </c>
      <c r="L48" s="27" t="s">
        <v>20</v>
      </c>
      <c r="M48" s="649"/>
    </row>
    <row r="49" spans="1:13" ht="15.75" customHeight="1">
      <c r="A49" s="230">
        <v>4</v>
      </c>
      <c r="B49" s="178"/>
      <c r="C49" s="178" t="s">
        <v>139</v>
      </c>
      <c r="D49" s="47" t="s">
        <v>473</v>
      </c>
      <c r="E49" s="47" t="s">
        <v>627</v>
      </c>
      <c r="F49" s="47" t="s">
        <v>628</v>
      </c>
      <c r="G49" s="28" t="s">
        <v>85</v>
      </c>
      <c r="H49" s="47" t="s">
        <v>545</v>
      </c>
      <c r="I49" s="56">
        <v>44896</v>
      </c>
      <c r="J49" s="19" t="s">
        <v>620</v>
      </c>
      <c r="K49" s="26" t="str">
        <f t="shared" si="0"/>
        <v>CARONAN, ELPIDIO JR DAUAG</v>
      </c>
      <c r="L49" s="604" t="s">
        <v>38</v>
      </c>
      <c r="M49" s="649"/>
    </row>
    <row r="50" spans="1:13" ht="17.25" customHeight="1">
      <c r="A50" s="601">
        <v>5</v>
      </c>
      <c r="B50" s="20"/>
      <c r="C50" s="20" t="s">
        <v>178</v>
      </c>
      <c r="D50" s="23" t="s">
        <v>203</v>
      </c>
      <c r="E50" s="23" t="s">
        <v>204</v>
      </c>
      <c r="F50" s="23" t="s">
        <v>205</v>
      </c>
      <c r="G50" s="28" t="s">
        <v>85</v>
      </c>
      <c r="H50" s="23" t="s">
        <v>58</v>
      </c>
      <c r="I50" s="56">
        <v>44716</v>
      </c>
      <c r="J50" s="19"/>
      <c r="K50" s="26" t="str">
        <f t="shared" si="0"/>
        <v>MAGGAY, CLARO MATAMMU</v>
      </c>
      <c r="L50" s="27" t="s">
        <v>12</v>
      </c>
      <c r="M50" s="649"/>
    </row>
    <row r="51" spans="1:13" ht="17.25" customHeight="1">
      <c r="A51" s="601">
        <v>6</v>
      </c>
      <c r="B51" s="23"/>
      <c r="C51" s="23" t="s">
        <v>520</v>
      </c>
      <c r="D51" s="23" t="s">
        <v>363</v>
      </c>
      <c r="E51" s="23" t="s">
        <v>364</v>
      </c>
      <c r="F51" s="23" t="s">
        <v>365</v>
      </c>
      <c r="G51" s="603" t="s">
        <v>64</v>
      </c>
      <c r="H51" s="23" t="s">
        <v>545</v>
      </c>
      <c r="I51" s="19" t="s">
        <v>923</v>
      </c>
      <c r="J51" s="19" t="s">
        <v>922</v>
      </c>
      <c r="K51" s="26" t="str">
        <f t="shared" si="0"/>
        <v>VALDEZ, MARIA KRISTINE TAGUINOD</v>
      </c>
      <c r="L51" s="605" t="s">
        <v>26</v>
      </c>
      <c r="M51" s="649"/>
    </row>
    <row r="52" spans="1:13" ht="17.25" customHeight="1">
      <c r="A52" s="601">
        <v>7</v>
      </c>
      <c r="B52" s="594"/>
      <c r="C52" s="594" t="s">
        <v>105</v>
      </c>
      <c r="D52" s="595" t="s">
        <v>75</v>
      </c>
      <c r="E52" s="595" t="s">
        <v>76</v>
      </c>
      <c r="F52" s="595" t="s">
        <v>77</v>
      </c>
      <c r="G52" s="606" t="s">
        <v>64</v>
      </c>
      <c r="H52" s="595" t="s">
        <v>58</v>
      </c>
      <c r="I52" s="19" t="s">
        <v>98</v>
      </c>
      <c r="J52" s="19"/>
      <c r="K52" s="26" t="str">
        <f t="shared" si="0"/>
        <v>VILLAFUERTE, MINA FLOR TALAY</v>
      </c>
      <c r="L52" s="27" t="s">
        <v>15</v>
      </c>
      <c r="M52" s="649"/>
    </row>
    <row r="53" spans="1:13" ht="17.25" customHeight="1">
      <c r="A53" s="234"/>
      <c r="B53" s="178"/>
      <c r="C53" s="178"/>
      <c r="D53" s="47"/>
      <c r="E53" s="47"/>
      <c r="F53" s="47"/>
      <c r="G53" s="28"/>
      <c r="H53" s="47"/>
      <c r="I53" s="79"/>
      <c r="J53" s="79"/>
      <c r="K53" s="26" t="str">
        <f t="shared" si="0"/>
        <v xml:space="preserve">,  </v>
      </c>
      <c r="L53" s="27"/>
      <c r="M53" s="649"/>
    </row>
    <row r="54" spans="1:13" ht="22.5" customHeight="1">
      <c r="A54" s="669" t="s">
        <v>773</v>
      </c>
      <c r="B54" s="656"/>
      <c r="C54" s="656"/>
      <c r="D54" s="656"/>
      <c r="E54" s="656"/>
      <c r="F54" s="656"/>
      <c r="G54" s="656"/>
      <c r="H54" s="656"/>
      <c r="I54" s="656"/>
      <c r="J54" s="587"/>
      <c r="K54" s="26" t="str">
        <f t="shared" si="0"/>
        <v xml:space="preserve">,  </v>
      </c>
      <c r="L54" s="588"/>
      <c r="M54" s="649"/>
    </row>
    <row r="55" spans="1:13" ht="17.25" customHeight="1">
      <c r="A55" s="589">
        <v>1</v>
      </c>
      <c r="B55" s="20"/>
      <c r="C55" s="20" t="s">
        <v>550</v>
      </c>
      <c r="D55" s="23" t="s">
        <v>296</v>
      </c>
      <c r="E55" s="23" t="s">
        <v>297</v>
      </c>
      <c r="F55" s="23" t="s">
        <v>298</v>
      </c>
      <c r="G55" s="603" t="s">
        <v>64</v>
      </c>
      <c r="H55" s="47" t="s">
        <v>545</v>
      </c>
      <c r="I55" s="56">
        <v>44866</v>
      </c>
      <c r="J55" s="19" t="s">
        <v>299</v>
      </c>
      <c r="K55" s="26" t="str">
        <f t="shared" si="0"/>
        <v>CASUGA, RICA VALENTINO</v>
      </c>
      <c r="L55" s="27" t="s">
        <v>28</v>
      </c>
      <c r="M55" s="649"/>
    </row>
    <row r="56" spans="1:13" ht="15.75" customHeight="1">
      <c r="A56" s="602">
        <v>2</v>
      </c>
      <c r="B56" s="594"/>
      <c r="C56" s="594" t="s">
        <v>80</v>
      </c>
      <c r="D56" s="595" t="s">
        <v>70</v>
      </c>
      <c r="E56" s="595" t="s">
        <v>71</v>
      </c>
      <c r="F56" s="595" t="s">
        <v>72</v>
      </c>
      <c r="G56" s="596" t="s">
        <v>64</v>
      </c>
      <c r="H56" s="595" t="s">
        <v>58</v>
      </c>
      <c r="I56" s="19" t="s">
        <v>81</v>
      </c>
      <c r="J56" s="19"/>
      <c r="K56" s="26" t="str">
        <f t="shared" si="0"/>
        <v>GOMEZ, MAGDALENA DACUYCUY</v>
      </c>
      <c r="L56" s="27" t="s">
        <v>18</v>
      </c>
      <c r="M56" s="649"/>
    </row>
    <row r="57" spans="1:13" ht="15.75" customHeight="1">
      <c r="A57" s="230">
        <v>4</v>
      </c>
      <c r="B57" s="178"/>
      <c r="C57" s="178" t="s">
        <v>274</v>
      </c>
      <c r="D57" s="47" t="s">
        <v>915</v>
      </c>
      <c r="E57" s="47" t="s">
        <v>916</v>
      </c>
      <c r="F57" s="47" t="s">
        <v>917</v>
      </c>
      <c r="G57" s="28" t="s">
        <v>85</v>
      </c>
      <c r="H57" s="47" t="s">
        <v>545</v>
      </c>
      <c r="I57" s="79" t="s">
        <v>275</v>
      </c>
      <c r="J57" s="79" t="s">
        <v>320</v>
      </c>
      <c r="K57" s="26" t="str">
        <f t="shared" si="0"/>
        <v>OLIGARIO, JUZ PETER ZERRUDO</v>
      </c>
      <c r="L57" s="27" t="s">
        <v>919</v>
      </c>
      <c r="M57" s="649"/>
    </row>
    <row r="58" spans="1:13" ht="15.75" customHeight="1">
      <c r="A58" s="230">
        <v>5</v>
      </c>
      <c r="B58" s="178"/>
      <c r="C58" s="178" t="s">
        <v>921</v>
      </c>
      <c r="D58" s="47" t="s">
        <v>63</v>
      </c>
      <c r="E58" s="47" t="s">
        <v>230</v>
      </c>
      <c r="F58" s="47" t="s">
        <v>517</v>
      </c>
      <c r="G58" s="28" t="s">
        <v>85</v>
      </c>
      <c r="H58" s="47" t="s">
        <v>545</v>
      </c>
      <c r="I58" s="76">
        <v>44866</v>
      </c>
      <c r="J58" s="79" t="s">
        <v>922</v>
      </c>
      <c r="K58" s="26" t="str">
        <f t="shared" si="0"/>
        <v>TUMALIUAN, MARK JOHN CUDIAMAT</v>
      </c>
      <c r="L58" s="27" t="s">
        <v>233</v>
      </c>
      <c r="M58" s="649"/>
    </row>
    <row r="59" spans="1:13" ht="15.75" customHeight="1">
      <c r="A59" s="230"/>
      <c r="B59" s="178"/>
      <c r="C59" s="178"/>
      <c r="D59" s="47"/>
      <c r="E59" s="47"/>
      <c r="F59" s="47"/>
      <c r="G59" s="28"/>
      <c r="H59" s="47"/>
      <c r="I59" s="79"/>
      <c r="J59" s="79"/>
      <c r="K59" s="26" t="str">
        <f t="shared" si="0"/>
        <v xml:space="preserve">,  </v>
      </c>
      <c r="L59" s="27"/>
      <c r="M59" s="649"/>
    </row>
    <row r="60" spans="1:13" ht="15.75" customHeight="1">
      <c r="A60" s="669" t="s">
        <v>779</v>
      </c>
      <c r="B60" s="656"/>
      <c r="C60" s="656"/>
      <c r="D60" s="656"/>
      <c r="E60" s="656"/>
      <c r="F60" s="656"/>
      <c r="G60" s="656"/>
      <c r="H60" s="656"/>
      <c r="I60" s="656"/>
      <c r="J60" s="587"/>
      <c r="K60" s="26" t="str">
        <f t="shared" si="0"/>
        <v xml:space="preserve">,  </v>
      </c>
      <c r="L60" s="588"/>
      <c r="M60" s="649"/>
    </row>
    <row r="61" spans="1:13" ht="15.75" customHeight="1">
      <c r="A61" s="601">
        <v>1</v>
      </c>
      <c r="B61" s="20"/>
      <c r="C61" s="20" t="s">
        <v>955</v>
      </c>
      <c r="D61" s="23" t="s">
        <v>598</v>
      </c>
      <c r="E61" s="23" t="s">
        <v>599</v>
      </c>
      <c r="F61" s="23" t="s">
        <v>600</v>
      </c>
      <c r="G61" s="28" t="s">
        <v>85</v>
      </c>
      <c r="H61" s="47" t="s">
        <v>545</v>
      </c>
      <c r="I61" s="56">
        <v>44866</v>
      </c>
      <c r="J61" s="19" t="s">
        <v>320</v>
      </c>
      <c r="K61" s="26" t="str">
        <f t="shared" si="0"/>
        <v>MARIN, DANNY DELA CRUZ</v>
      </c>
      <c r="L61" s="27" t="s">
        <v>604</v>
      </c>
      <c r="M61" s="649"/>
    </row>
    <row r="62" spans="1:13" ht="15.75" customHeight="1">
      <c r="A62" s="602">
        <v>2</v>
      </c>
      <c r="B62" s="20"/>
      <c r="C62" s="20" t="s">
        <v>151</v>
      </c>
      <c r="D62" s="23" t="s">
        <v>169</v>
      </c>
      <c r="E62" s="23" t="s">
        <v>170</v>
      </c>
      <c r="F62" s="23" t="s">
        <v>171</v>
      </c>
      <c r="G62" s="603" t="s">
        <v>64</v>
      </c>
      <c r="H62" s="23" t="s">
        <v>58</v>
      </c>
      <c r="I62" s="56">
        <v>44808</v>
      </c>
      <c r="J62" s="19"/>
      <c r="K62" s="26" t="str">
        <f t="shared" si="0"/>
        <v>NAZARITA, CONCEPCION CABALONGA</v>
      </c>
      <c r="L62" s="27" t="s">
        <v>10</v>
      </c>
      <c r="M62" s="649"/>
    </row>
    <row r="63" spans="1:13" ht="15.75" customHeight="1">
      <c r="A63" s="602">
        <v>3</v>
      </c>
      <c r="B63" s="607"/>
      <c r="C63" s="607" t="s">
        <v>139</v>
      </c>
      <c r="D63" s="608" t="s">
        <v>106</v>
      </c>
      <c r="E63" s="608" t="s">
        <v>107</v>
      </c>
      <c r="F63" s="608" t="s">
        <v>108</v>
      </c>
      <c r="G63" s="609" t="s">
        <v>64</v>
      </c>
      <c r="H63" s="608" t="s">
        <v>58</v>
      </c>
      <c r="I63" s="56">
        <v>44896</v>
      </c>
      <c r="J63" s="19"/>
      <c r="K63" s="26" t="str">
        <f t="shared" si="0"/>
        <v>TULAUAN, JOHANNA FERIDO</v>
      </c>
      <c r="L63" s="347" t="s">
        <v>14</v>
      </c>
      <c r="M63" s="649"/>
    </row>
    <row r="64" spans="1:13" ht="15.75" customHeight="1">
      <c r="A64" s="230">
        <v>4</v>
      </c>
      <c r="B64" s="178"/>
      <c r="C64" s="178" t="s">
        <v>139</v>
      </c>
      <c r="D64" s="47" t="s">
        <v>298</v>
      </c>
      <c r="E64" s="47" t="s">
        <v>635</v>
      </c>
      <c r="F64" s="47" t="s">
        <v>636</v>
      </c>
      <c r="G64" s="28" t="s">
        <v>85</v>
      </c>
      <c r="H64" s="47" t="s">
        <v>545</v>
      </c>
      <c r="I64" s="56">
        <v>44896</v>
      </c>
      <c r="J64" s="19" t="s">
        <v>620</v>
      </c>
      <c r="K64" s="26" t="str">
        <f t="shared" si="0"/>
        <v>VALENTINO, JOHN WESLEY AGRAVE</v>
      </c>
      <c r="L64" s="27" t="s">
        <v>39</v>
      </c>
      <c r="M64" s="649"/>
    </row>
    <row r="65" spans="1:13" ht="15.75" customHeight="1">
      <c r="A65" s="610">
        <v>5</v>
      </c>
      <c r="B65" s="178"/>
      <c r="C65" s="178" t="s">
        <v>274</v>
      </c>
      <c r="D65" s="47" t="s">
        <v>579</v>
      </c>
      <c r="E65" s="47" t="s">
        <v>580</v>
      </c>
      <c r="F65" s="47" t="s">
        <v>581</v>
      </c>
      <c r="G65" s="28" t="s">
        <v>85</v>
      </c>
      <c r="H65" s="23" t="s">
        <v>545</v>
      </c>
      <c r="I65" s="79" t="s">
        <v>275</v>
      </c>
      <c r="J65" s="79" t="s">
        <v>320</v>
      </c>
      <c r="K65" s="26" t="str">
        <f t="shared" si="0"/>
        <v>VILLANUEVA, IANJOEY SAJONIA</v>
      </c>
      <c r="L65" s="27" t="s">
        <v>920</v>
      </c>
      <c r="M65" s="649"/>
    </row>
    <row r="66" spans="1:13" ht="15.75" customHeight="1">
      <c r="A66" s="119"/>
      <c r="B66" s="139"/>
      <c r="C66" s="716"/>
      <c r="D66" s="671"/>
      <c r="E66" s="671"/>
      <c r="F66" s="671"/>
      <c r="G66" s="671"/>
      <c r="H66" s="671"/>
      <c r="I66" s="671"/>
      <c r="J66" s="671"/>
      <c r="K66" s="671"/>
      <c r="L66" s="671"/>
      <c r="M66" s="649"/>
    </row>
    <row r="67" spans="1:13" ht="15.75" customHeight="1">
      <c r="A67" s="119"/>
      <c r="B67" s="13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</row>
    <row r="68" spans="1:13" ht="15.75" customHeight="1">
      <c r="A68" s="119"/>
      <c r="B68" s="13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</row>
    <row r="69" spans="1:13" ht="15.75" customHeight="1">
      <c r="A69" s="119"/>
      <c r="B69" s="13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</row>
    <row r="70" spans="1:13" ht="15.75" customHeight="1">
      <c r="B70" s="611"/>
      <c r="C70" s="611"/>
      <c r="D70" s="612" t="s">
        <v>956</v>
      </c>
    </row>
    <row r="71" spans="1:13" ht="15.75" customHeight="1"/>
    <row r="72" spans="1:13" ht="15.75" customHeight="1"/>
    <row r="73" spans="1:13" ht="15.75" customHeight="1"/>
    <row r="74" spans="1:13" ht="15.75" customHeight="1"/>
    <row r="75" spans="1:13" ht="15.75" customHeight="1"/>
    <row r="76" spans="1:13" ht="15.75" customHeight="1"/>
    <row r="77" spans="1:13" ht="15.75" customHeight="1"/>
    <row r="78" spans="1:13" ht="15.75" customHeight="1"/>
    <row r="79" spans="1:13" ht="15.75" customHeight="1"/>
    <row r="80" spans="1:1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</sheetData>
  <mergeCells count="13">
    <mergeCell ref="C66:L69"/>
    <mergeCell ref="A1:M3"/>
    <mergeCell ref="A4:M4"/>
    <mergeCell ref="A5:M5"/>
    <mergeCell ref="A6:M6"/>
    <mergeCell ref="C7:L7"/>
    <mergeCell ref="A8:M8"/>
    <mergeCell ref="M9:M69"/>
    <mergeCell ref="A10:I10"/>
    <mergeCell ref="A16:I16"/>
    <mergeCell ref="A35:H35"/>
    <mergeCell ref="A54:I54"/>
    <mergeCell ref="A60:I60"/>
  </mergeCells>
  <pageMargins left="0.70866141732283472" right="0.31496062992125984" top="0.74803149606299213" bottom="0.74803149606299213" header="0" footer="0"/>
  <pageSetup paperSize="14"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B4:O36"/>
  <sheetViews>
    <sheetView workbookViewId="0"/>
  </sheetViews>
  <sheetFormatPr defaultColWidth="14.44140625" defaultRowHeight="15" customHeight="1"/>
  <cols>
    <col min="2" max="2" width="25.33203125" customWidth="1"/>
    <col min="6" max="8" width="14.44140625" hidden="1"/>
    <col min="10" max="14" width="14.44140625" hidden="1"/>
    <col min="15" max="15" width="21" hidden="1" customWidth="1"/>
  </cols>
  <sheetData>
    <row r="4" spans="2:15" ht="14.4">
      <c r="B4" s="613" t="s">
        <v>844</v>
      </c>
      <c r="C4" s="613" t="s">
        <v>846</v>
      </c>
      <c r="D4" s="613" t="s">
        <v>654</v>
      </c>
      <c r="E4" s="613" t="s">
        <v>655</v>
      </c>
      <c r="F4" s="613" t="s">
        <v>656</v>
      </c>
      <c r="G4" s="613" t="s">
        <v>45</v>
      </c>
      <c r="H4" s="613" t="s">
        <v>540</v>
      </c>
      <c r="I4" s="613" t="s">
        <v>815</v>
      </c>
      <c r="J4" s="613" t="s">
        <v>42</v>
      </c>
      <c r="K4" s="613">
        <v>2021</v>
      </c>
      <c r="L4" s="613">
        <v>2022</v>
      </c>
      <c r="M4" s="614">
        <v>0.2</v>
      </c>
      <c r="N4" s="614">
        <v>1.2</v>
      </c>
      <c r="O4" s="614" t="s">
        <v>877</v>
      </c>
    </row>
    <row r="5" spans="2:15" ht="14.4">
      <c r="B5" s="33" t="s">
        <v>732</v>
      </c>
      <c r="C5" s="33" t="s">
        <v>715</v>
      </c>
      <c r="D5" s="33" t="s">
        <v>315</v>
      </c>
      <c r="E5" s="33" t="s">
        <v>316</v>
      </c>
      <c r="F5" s="33" t="s">
        <v>317</v>
      </c>
      <c r="G5" s="33" t="s">
        <v>700</v>
      </c>
      <c r="H5" s="33" t="s">
        <v>691</v>
      </c>
      <c r="I5" s="33" t="s">
        <v>724</v>
      </c>
      <c r="J5" s="33" t="s">
        <v>718</v>
      </c>
      <c r="K5" s="153">
        <v>32053</v>
      </c>
      <c r="L5" s="153">
        <v>35097</v>
      </c>
      <c r="M5" s="153">
        <v>7019.4000000000005</v>
      </c>
      <c r="N5" s="153">
        <v>42116.4</v>
      </c>
      <c r="O5" s="33" t="s">
        <v>878</v>
      </c>
    </row>
    <row r="6" spans="2:15" ht="14.4">
      <c r="B6" s="33" t="s">
        <v>742</v>
      </c>
      <c r="C6" s="33" t="s">
        <v>299</v>
      </c>
      <c r="D6" s="33" t="s">
        <v>309</v>
      </c>
      <c r="E6" s="33" t="s">
        <v>310</v>
      </c>
      <c r="F6" s="33" t="s">
        <v>311</v>
      </c>
      <c r="G6" s="33" t="s">
        <v>721</v>
      </c>
      <c r="H6" s="33" t="s">
        <v>691</v>
      </c>
      <c r="I6" s="33" t="s">
        <v>724</v>
      </c>
      <c r="J6" s="33" t="s">
        <v>718</v>
      </c>
      <c r="K6" s="153">
        <v>32053</v>
      </c>
      <c r="L6" s="153">
        <v>35097</v>
      </c>
      <c r="M6" s="153">
        <v>7019.4000000000005</v>
      </c>
      <c r="N6" s="153">
        <v>42116.4</v>
      </c>
      <c r="O6" s="33" t="s">
        <v>879</v>
      </c>
    </row>
    <row r="7" spans="2:15" ht="14.4">
      <c r="B7" s="33" t="s">
        <v>742</v>
      </c>
      <c r="C7" s="33" t="s">
        <v>881</v>
      </c>
      <c r="D7" s="33" t="s">
        <v>622</v>
      </c>
      <c r="E7" s="33" t="s">
        <v>623</v>
      </c>
      <c r="F7" s="33" t="s">
        <v>624</v>
      </c>
      <c r="G7" s="33" t="s">
        <v>721</v>
      </c>
      <c r="H7" s="33" t="s">
        <v>691</v>
      </c>
      <c r="I7" s="33" t="s">
        <v>621</v>
      </c>
      <c r="J7" s="33" t="s">
        <v>718</v>
      </c>
      <c r="K7" s="153">
        <v>32053</v>
      </c>
      <c r="L7" s="153">
        <v>35097</v>
      </c>
      <c r="M7" s="153">
        <v>7019.4000000000005</v>
      </c>
      <c r="N7" s="153">
        <v>42116.4</v>
      </c>
      <c r="O7" s="33" t="s">
        <v>742</v>
      </c>
    </row>
    <row r="8" spans="2:15" ht="14.4">
      <c r="B8" s="33" t="s">
        <v>742</v>
      </c>
      <c r="C8" s="33" t="s">
        <v>299</v>
      </c>
      <c r="D8" s="33" t="s">
        <v>134</v>
      </c>
      <c r="E8" s="33" t="s">
        <v>135</v>
      </c>
      <c r="F8" s="33" t="s">
        <v>136</v>
      </c>
      <c r="G8" s="33" t="s">
        <v>700</v>
      </c>
      <c r="H8" s="33" t="s">
        <v>691</v>
      </c>
      <c r="I8" s="33" t="s">
        <v>754</v>
      </c>
      <c r="J8" s="33" t="s">
        <v>722</v>
      </c>
      <c r="K8" s="153">
        <v>35106</v>
      </c>
      <c r="L8" s="153">
        <v>38150</v>
      </c>
      <c r="M8" s="153">
        <v>7630</v>
      </c>
      <c r="N8" s="153">
        <v>45780</v>
      </c>
      <c r="O8" s="33" t="s">
        <v>742</v>
      </c>
    </row>
    <row r="9" spans="2:15" ht="14.4">
      <c r="B9" s="33" t="s">
        <v>742</v>
      </c>
      <c r="C9" s="33" t="s">
        <v>715</v>
      </c>
      <c r="D9" s="33" t="s">
        <v>300</v>
      </c>
      <c r="E9" s="33" t="s">
        <v>301</v>
      </c>
      <c r="F9" s="33" t="s">
        <v>302</v>
      </c>
      <c r="G9" s="33" t="s">
        <v>721</v>
      </c>
      <c r="H9" s="33" t="s">
        <v>691</v>
      </c>
      <c r="I9" s="33" t="s">
        <v>724</v>
      </c>
      <c r="J9" s="615">
        <v>45231</v>
      </c>
      <c r="K9" s="153">
        <v>22316</v>
      </c>
      <c r="L9" s="153">
        <v>25439</v>
      </c>
      <c r="M9" s="153">
        <v>5087.8</v>
      </c>
      <c r="N9" s="153">
        <v>30526</v>
      </c>
      <c r="O9" s="33" t="s">
        <v>879</v>
      </c>
    </row>
    <row r="10" spans="2:15" ht="14.4">
      <c r="B10" s="33" t="s">
        <v>880</v>
      </c>
      <c r="C10" s="33" t="s">
        <v>715</v>
      </c>
      <c r="D10" s="33" t="s">
        <v>866</v>
      </c>
      <c r="E10" s="33" t="s">
        <v>867</v>
      </c>
      <c r="F10" s="33" t="s">
        <v>868</v>
      </c>
      <c r="G10" s="33" t="s">
        <v>721</v>
      </c>
      <c r="H10" s="33" t="s">
        <v>691</v>
      </c>
      <c r="I10" s="33" t="s">
        <v>461</v>
      </c>
      <c r="J10" s="33">
        <v>11</v>
      </c>
      <c r="L10" s="153">
        <v>24439</v>
      </c>
      <c r="M10" s="153">
        <v>4887.8</v>
      </c>
      <c r="N10" s="153">
        <v>29326.799999999999</v>
      </c>
      <c r="O10" s="33" t="s">
        <v>879</v>
      </c>
    </row>
    <row r="11" spans="2:15" ht="14.4">
      <c r="B11" s="33" t="s">
        <v>880</v>
      </c>
      <c r="C11" s="33" t="s">
        <v>299</v>
      </c>
      <c r="D11" s="33" t="s">
        <v>366</v>
      </c>
      <c r="E11" s="33" t="s">
        <v>367</v>
      </c>
      <c r="F11" s="33" t="s">
        <v>89</v>
      </c>
      <c r="G11" s="33" t="s">
        <v>700</v>
      </c>
      <c r="H11" s="33" t="s">
        <v>691</v>
      </c>
      <c r="I11" s="33" t="s">
        <v>724</v>
      </c>
      <c r="J11" s="33" t="s">
        <v>722</v>
      </c>
      <c r="K11" s="153">
        <v>35106</v>
      </c>
      <c r="L11" s="153">
        <v>38150</v>
      </c>
      <c r="M11" s="153">
        <v>7630</v>
      </c>
      <c r="N11" s="153">
        <v>45780</v>
      </c>
      <c r="O11" s="33" t="s">
        <v>879</v>
      </c>
    </row>
    <row r="12" spans="2:15" ht="14.4">
      <c r="B12" s="33" t="s">
        <v>880</v>
      </c>
      <c r="C12" s="33" t="s">
        <v>272</v>
      </c>
      <c r="D12" s="33" t="s">
        <v>386</v>
      </c>
      <c r="E12" s="33" t="s">
        <v>707</v>
      </c>
      <c r="F12" s="33" t="s">
        <v>889</v>
      </c>
      <c r="G12" s="33" t="s">
        <v>721</v>
      </c>
      <c r="H12" s="33" t="s">
        <v>691</v>
      </c>
      <c r="I12" s="33" t="s">
        <v>730</v>
      </c>
      <c r="J12" s="616" t="s">
        <v>701</v>
      </c>
      <c r="K12" s="153">
        <v>22316</v>
      </c>
      <c r="L12" s="153">
        <v>25439</v>
      </c>
      <c r="M12" s="153">
        <v>5087.8</v>
      </c>
      <c r="N12" s="153">
        <v>30526.799999999999</v>
      </c>
      <c r="O12" s="33" t="s">
        <v>742</v>
      </c>
    </row>
    <row r="13" spans="2:15" ht="14.4">
      <c r="B13" s="33" t="s">
        <v>878</v>
      </c>
      <c r="C13" s="33" t="s">
        <v>455</v>
      </c>
      <c r="D13" s="33" t="s">
        <v>141</v>
      </c>
      <c r="E13" s="33" t="s">
        <v>142</v>
      </c>
      <c r="F13" s="33" t="s">
        <v>143</v>
      </c>
      <c r="G13" s="33" t="s">
        <v>721</v>
      </c>
      <c r="H13" s="33" t="s">
        <v>691</v>
      </c>
      <c r="I13" s="33" t="s">
        <v>605</v>
      </c>
      <c r="J13" s="33" t="s">
        <v>120</v>
      </c>
      <c r="K13" s="153">
        <v>32053</v>
      </c>
      <c r="L13" s="153">
        <v>35097</v>
      </c>
      <c r="M13" s="153">
        <v>7019.4000000000005</v>
      </c>
      <c r="N13" s="153">
        <v>42116.4</v>
      </c>
      <c r="O13" s="33" t="s">
        <v>879</v>
      </c>
    </row>
    <row r="14" spans="2:15" ht="14.4">
      <c r="B14" s="33" t="s">
        <v>878</v>
      </c>
      <c r="C14" s="33" t="s">
        <v>881</v>
      </c>
      <c r="D14" s="33" t="s">
        <v>473</v>
      </c>
      <c r="E14" s="33" t="s">
        <v>627</v>
      </c>
      <c r="F14" s="33" t="s">
        <v>628</v>
      </c>
      <c r="G14" s="33" t="s">
        <v>721</v>
      </c>
      <c r="H14" s="33" t="s">
        <v>691</v>
      </c>
      <c r="I14" s="33" t="s">
        <v>139</v>
      </c>
      <c r="J14" s="616" t="s">
        <v>701</v>
      </c>
      <c r="K14" s="153">
        <v>22316</v>
      </c>
      <c r="L14" s="153">
        <v>25439</v>
      </c>
      <c r="M14" s="153">
        <v>5087.8</v>
      </c>
      <c r="N14" s="153">
        <v>30526.799999999999</v>
      </c>
      <c r="O14" s="33" t="s">
        <v>879</v>
      </c>
    </row>
    <row r="15" spans="2:15" ht="14.4">
      <c r="B15" s="33" t="s">
        <v>878</v>
      </c>
      <c r="C15" s="33" t="s">
        <v>299</v>
      </c>
      <c r="D15" s="33" t="s">
        <v>363</v>
      </c>
      <c r="E15" s="33" t="s">
        <v>364</v>
      </c>
      <c r="F15" s="33" t="s">
        <v>365</v>
      </c>
      <c r="G15" s="33" t="s">
        <v>700</v>
      </c>
      <c r="H15" s="33" t="s">
        <v>691</v>
      </c>
      <c r="I15" s="33" t="s">
        <v>754</v>
      </c>
      <c r="J15" s="33" t="s">
        <v>884</v>
      </c>
      <c r="K15" s="153">
        <v>24495</v>
      </c>
      <c r="L15" s="153">
        <v>27608</v>
      </c>
      <c r="M15" s="153">
        <v>5521.6</v>
      </c>
      <c r="N15" s="153">
        <v>33129.599999999999</v>
      </c>
      <c r="O15" s="33" t="s">
        <v>878</v>
      </c>
    </row>
    <row r="16" spans="2:15" ht="14.4">
      <c r="B16" s="33" t="s">
        <v>885</v>
      </c>
      <c r="C16" s="33" t="s">
        <v>299</v>
      </c>
      <c r="D16" s="33" t="s">
        <v>375</v>
      </c>
      <c r="E16" s="33" t="s">
        <v>376</v>
      </c>
      <c r="F16" s="33" t="s">
        <v>377</v>
      </c>
      <c r="G16" s="33" t="s">
        <v>700</v>
      </c>
      <c r="H16" s="33" t="s">
        <v>691</v>
      </c>
      <c r="I16" s="33" t="s">
        <v>754</v>
      </c>
      <c r="J16" s="33" t="s">
        <v>718</v>
      </c>
      <c r="K16" s="153">
        <v>32053</v>
      </c>
      <c r="L16" s="153">
        <v>35097</v>
      </c>
      <c r="M16" s="153">
        <v>7019.4000000000005</v>
      </c>
      <c r="N16" s="153">
        <v>42116.4</v>
      </c>
      <c r="O16" s="33" t="s">
        <v>773</v>
      </c>
    </row>
    <row r="17" spans="2:15" ht="14.4">
      <c r="B17" s="33" t="s">
        <v>885</v>
      </c>
      <c r="C17" s="33" t="s">
        <v>881</v>
      </c>
      <c r="D17" s="33" t="s">
        <v>298</v>
      </c>
      <c r="E17" s="33" t="s">
        <v>635</v>
      </c>
      <c r="F17" s="33" t="s">
        <v>636</v>
      </c>
      <c r="G17" s="33" t="s">
        <v>721</v>
      </c>
      <c r="H17" s="33" t="s">
        <v>691</v>
      </c>
      <c r="I17" s="33" t="s">
        <v>139</v>
      </c>
      <c r="J17" s="33" t="s">
        <v>718</v>
      </c>
      <c r="K17" s="153">
        <v>32053</v>
      </c>
      <c r="L17" s="153">
        <v>35097</v>
      </c>
      <c r="M17" s="153">
        <v>7019.4000000000005</v>
      </c>
      <c r="N17" s="153">
        <v>42116.4</v>
      </c>
      <c r="O17" s="33" t="s">
        <v>879</v>
      </c>
    </row>
    <row r="18" spans="2:15" ht="14.4">
      <c r="B18" s="33" t="s">
        <v>773</v>
      </c>
      <c r="C18" s="33" t="s">
        <v>299</v>
      </c>
      <c r="D18" s="33" t="s">
        <v>99</v>
      </c>
      <c r="E18" s="33" t="s">
        <v>370</v>
      </c>
      <c r="F18" s="33" t="s">
        <v>371</v>
      </c>
      <c r="G18" s="33" t="s">
        <v>721</v>
      </c>
      <c r="H18" s="33" t="s">
        <v>691</v>
      </c>
      <c r="I18" s="33" t="s">
        <v>754</v>
      </c>
      <c r="J18" s="33" t="s">
        <v>722</v>
      </c>
      <c r="K18" s="153">
        <v>35106</v>
      </c>
      <c r="L18" s="153">
        <v>38150</v>
      </c>
      <c r="M18" s="153">
        <v>7630</v>
      </c>
      <c r="N18" s="153">
        <v>45780</v>
      </c>
      <c r="O18" s="33" t="s">
        <v>879</v>
      </c>
    </row>
    <row r="19" spans="2:15" ht="14.4">
      <c r="B19" s="33" t="s">
        <v>773</v>
      </c>
      <c r="C19" s="33" t="s">
        <v>887</v>
      </c>
      <c r="D19" s="33" t="s">
        <v>327</v>
      </c>
      <c r="E19" s="33" t="s">
        <v>328</v>
      </c>
      <c r="F19" s="33" t="s">
        <v>329</v>
      </c>
      <c r="G19" s="33" t="s">
        <v>700</v>
      </c>
      <c r="H19" s="33" t="s">
        <v>691</v>
      </c>
      <c r="I19" s="33" t="s">
        <v>754</v>
      </c>
      <c r="J19" s="616" t="s">
        <v>701</v>
      </c>
      <c r="K19" s="153">
        <v>22316</v>
      </c>
      <c r="L19" s="153">
        <v>25439</v>
      </c>
      <c r="M19" s="153">
        <v>5087.8</v>
      </c>
      <c r="N19" s="153">
        <v>30526.799999999999</v>
      </c>
      <c r="O19" s="33" t="s">
        <v>885</v>
      </c>
    </row>
    <row r="20" spans="2:15" ht="14.4">
      <c r="B20" s="33" t="s">
        <v>879</v>
      </c>
      <c r="C20" s="33" t="s">
        <v>299</v>
      </c>
      <c r="D20" s="33" t="s">
        <v>128</v>
      </c>
      <c r="E20" s="33" t="s">
        <v>129</v>
      </c>
      <c r="F20" s="33" t="s">
        <v>130</v>
      </c>
      <c r="G20" s="33" t="s">
        <v>721</v>
      </c>
      <c r="H20" s="33" t="s">
        <v>691</v>
      </c>
      <c r="I20" s="33" t="s">
        <v>724</v>
      </c>
      <c r="J20" s="616" t="s">
        <v>701</v>
      </c>
      <c r="K20" s="153">
        <v>22316</v>
      </c>
      <c r="L20" s="153">
        <v>25439</v>
      </c>
      <c r="M20" s="153">
        <v>5087.8</v>
      </c>
      <c r="N20" s="153">
        <v>30526.799999999999</v>
      </c>
      <c r="O20" s="33" t="s">
        <v>773</v>
      </c>
    </row>
    <row r="21" spans="2:15" ht="14.4">
      <c r="B21" s="33" t="s">
        <v>879</v>
      </c>
      <c r="C21" s="33" t="s">
        <v>715</v>
      </c>
      <c r="D21" s="33" t="s">
        <v>336</v>
      </c>
      <c r="E21" s="33" t="s">
        <v>337</v>
      </c>
      <c r="F21" s="33" t="s">
        <v>695</v>
      </c>
      <c r="G21" s="33" t="s">
        <v>721</v>
      </c>
      <c r="H21" s="33" t="s">
        <v>691</v>
      </c>
      <c r="I21" s="33" t="s">
        <v>870</v>
      </c>
      <c r="J21" s="33" t="s">
        <v>886</v>
      </c>
      <c r="K21" s="153">
        <v>46791</v>
      </c>
      <c r="L21" s="153">
        <v>49835</v>
      </c>
      <c r="M21" s="153">
        <v>9967</v>
      </c>
      <c r="N21" s="153">
        <v>59802</v>
      </c>
      <c r="O21" s="33" t="s">
        <v>879</v>
      </c>
    </row>
    <row r="22" spans="2:15" ht="14.4">
      <c r="B22" s="33" t="s">
        <v>879</v>
      </c>
      <c r="C22" s="33" t="s">
        <v>272</v>
      </c>
      <c r="D22" s="33" t="s">
        <v>336</v>
      </c>
      <c r="E22" s="33" t="s">
        <v>381</v>
      </c>
      <c r="F22" s="33" t="s">
        <v>382</v>
      </c>
      <c r="G22" s="33" t="s">
        <v>721</v>
      </c>
      <c r="H22" s="33" t="s">
        <v>691</v>
      </c>
      <c r="I22" s="33" t="s">
        <v>730</v>
      </c>
      <c r="J22" s="33" t="s">
        <v>120</v>
      </c>
      <c r="K22" s="153">
        <v>32053</v>
      </c>
      <c r="L22" s="153">
        <v>35097</v>
      </c>
      <c r="M22" s="153">
        <v>7019.4000000000005</v>
      </c>
      <c r="N22" s="153">
        <v>42116.4</v>
      </c>
      <c r="O22" s="33" t="s">
        <v>732</v>
      </c>
    </row>
    <row r="23" spans="2:15" ht="14.4">
      <c r="B23" s="33" t="s">
        <v>879</v>
      </c>
      <c r="C23" s="33" t="s">
        <v>882</v>
      </c>
      <c r="D23" s="33" t="s">
        <v>111</v>
      </c>
      <c r="E23" s="33" t="s">
        <v>112</v>
      </c>
      <c r="F23" s="33" t="s">
        <v>101</v>
      </c>
      <c r="G23" s="33" t="s">
        <v>721</v>
      </c>
      <c r="H23" s="33" t="s">
        <v>691</v>
      </c>
      <c r="I23" s="33" t="s">
        <v>274</v>
      </c>
      <c r="J23" s="616" t="s">
        <v>701</v>
      </c>
      <c r="K23" s="153">
        <v>22316</v>
      </c>
      <c r="L23" s="153">
        <v>25439</v>
      </c>
      <c r="M23" s="153">
        <v>5087.8</v>
      </c>
      <c r="N23" s="153">
        <v>30526.799999999999</v>
      </c>
      <c r="O23" s="33" t="s">
        <v>773</v>
      </c>
    </row>
    <row r="24" spans="2:15" ht="14.4">
      <c r="B24" s="33" t="s">
        <v>879</v>
      </c>
      <c r="C24" s="33" t="s">
        <v>715</v>
      </c>
      <c r="D24" s="33" t="s">
        <v>869</v>
      </c>
      <c r="E24" s="33" t="s">
        <v>607</v>
      </c>
      <c r="F24" s="33" t="s">
        <v>608</v>
      </c>
      <c r="G24" s="33" t="s">
        <v>721</v>
      </c>
      <c r="H24" s="33" t="s">
        <v>691</v>
      </c>
      <c r="I24" s="33" t="s">
        <v>605</v>
      </c>
      <c r="J24" s="616" t="s">
        <v>718</v>
      </c>
      <c r="K24" s="153">
        <v>32053</v>
      </c>
      <c r="L24" s="153">
        <v>35097</v>
      </c>
      <c r="M24" s="153">
        <v>7019.4000000000005</v>
      </c>
      <c r="N24" s="153">
        <v>42116.4</v>
      </c>
      <c r="O24" s="33" t="s">
        <v>742</v>
      </c>
    </row>
    <row r="25" spans="2:15" ht="14.4">
      <c r="B25" s="33" t="s">
        <v>879</v>
      </c>
      <c r="C25" s="33" t="s">
        <v>379</v>
      </c>
      <c r="D25" s="33" t="s">
        <v>101</v>
      </c>
      <c r="E25" s="33" t="s">
        <v>304</v>
      </c>
      <c r="F25" s="33" t="s">
        <v>305</v>
      </c>
      <c r="G25" s="33" t="s">
        <v>700</v>
      </c>
      <c r="H25" s="33" t="s">
        <v>691</v>
      </c>
      <c r="I25" s="33" t="s">
        <v>754</v>
      </c>
      <c r="J25" s="33">
        <v>18</v>
      </c>
      <c r="K25" s="153"/>
      <c r="L25" s="153">
        <v>45203</v>
      </c>
      <c r="M25" s="153">
        <v>9040.6</v>
      </c>
      <c r="N25" s="153">
        <v>54243.6</v>
      </c>
      <c r="O25" s="33" t="s">
        <v>879</v>
      </c>
    </row>
    <row r="26" spans="2:15" ht="14.4">
      <c r="B26" s="33" t="s">
        <v>879</v>
      </c>
      <c r="C26" s="33" t="s">
        <v>299</v>
      </c>
      <c r="D26" s="33" t="s">
        <v>296</v>
      </c>
      <c r="E26" s="33" t="s">
        <v>297</v>
      </c>
      <c r="F26" s="33" t="s">
        <v>298</v>
      </c>
      <c r="G26" s="33" t="s">
        <v>700</v>
      </c>
      <c r="H26" s="33" t="s">
        <v>691</v>
      </c>
      <c r="I26" s="33" t="s">
        <v>724</v>
      </c>
      <c r="J26" s="615">
        <v>45261</v>
      </c>
      <c r="K26" s="153">
        <v>26952</v>
      </c>
      <c r="L26" s="153">
        <v>27608</v>
      </c>
      <c r="M26" s="153">
        <v>5521.6</v>
      </c>
      <c r="N26" s="153">
        <v>33129.599999999999</v>
      </c>
      <c r="O26" s="33" t="s">
        <v>879</v>
      </c>
    </row>
    <row r="27" spans="2:15" ht="14.4">
      <c r="B27" s="33" t="s">
        <v>879</v>
      </c>
      <c r="C27" s="33" t="s">
        <v>715</v>
      </c>
      <c r="D27" s="33" t="s">
        <v>322</v>
      </c>
      <c r="E27" s="33" t="s">
        <v>323</v>
      </c>
      <c r="F27" s="33" t="s">
        <v>615</v>
      </c>
      <c r="G27" s="33" t="s">
        <v>700</v>
      </c>
      <c r="H27" s="33" t="s">
        <v>691</v>
      </c>
      <c r="I27" s="33" t="s">
        <v>605</v>
      </c>
      <c r="J27" s="33" t="s">
        <v>722</v>
      </c>
      <c r="K27" s="153">
        <v>35106</v>
      </c>
      <c r="L27" s="153">
        <v>38150</v>
      </c>
      <c r="M27" s="153">
        <v>7630</v>
      </c>
      <c r="N27" s="153">
        <v>45780</v>
      </c>
      <c r="O27" s="33" t="s">
        <v>879</v>
      </c>
    </row>
    <row r="28" spans="2:15" ht="14.4">
      <c r="B28" s="33" t="s">
        <v>879</v>
      </c>
      <c r="C28" s="33" t="s">
        <v>715</v>
      </c>
      <c r="D28" s="33" t="s">
        <v>276</v>
      </c>
      <c r="E28" s="33" t="s">
        <v>277</v>
      </c>
      <c r="F28" s="33" t="s">
        <v>278</v>
      </c>
      <c r="G28" s="33" t="s">
        <v>721</v>
      </c>
      <c r="H28" s="33" t="s">
        <v>691</v>
      </c>
      <c r="I28" s="33" t="s">
        <v>274</v>
      </c>
      <c r="J28" s="615">
        <v>45261</v>
      </c>
      <c r="K28" s="153">
        <v>26952</v>
      </c>
      <c r="L28" s="153">
        <v>27608</v>
      </c>
      <c r="M28" s="153">
        <v>5521.6</v>
      </c>
      <c r="N28" s="153">
        <v>33129.599999999999</v>
      </c>
      <c r="O28" s="33" t="s">
        <v>880</v>
      </c>
    </row>
    <row r="29" spans="2:15" ht="14.4">
      <c r="B29" s="33" t="s">
        <v>879</v>
      </c>
      <c r="C29" s="33" t="s">
        <v>715</v>
      </c>
      <c r="D29" s="33" t="s">
        <v>114</v>
      </c>
      <c r="E29" s="33" t="s">
        <v>115</v>
      </c>
      <c r="F29" s="33" t="s">
        <v>116</v>
      </c>
      <c r="G29" s="33" t="s">
        <v>721</v>
      </c>
      <c r="H29" s="33" t="s">
        <v>691</v>
      </c>
      <c r="I29" s="33" t="s">
        <v>245</v>
      </c>
      <c r="J29" s="33" t="s">
        <v>718</v>
      </c>
      <c r="K29" s="153">
        <v>32053</v>
      </c>
      <c r="L29" s="153">
        <v>35097</v>
      </c>
      <c r="M29" s="153">
        <v>7019.4000000000005</v>
      </c>
      <c r="N29" s="153">
        <v>42116.4</v>
      </c>
      <c r="O29" s="33" t="s">
        <v>879</v>
      </c>
    </row>
    <row r="30" spans="2:15" ht="14.4" hidden="1">
      <c r="B30" s="33" t="s">
        <v>879</v>
      </c>
      <c r="C30" s="33" t="s">
        <v>715</v>
      </c>
      <c r="D30" s="33" t="s">
        <v>514</v>
      </c>
      <c r="E30" s="33" t="s">
        <v>515</v>
      </c>
      <c r="F30" s="33" t="s">
        <v>516</v>
      </c>
      <c r="G30" s="33" t="s">
        <v>721</v>
      </c>
      <c r="H30" s="33" t="s">
        <v>691</v>
      </c>
      <c r="I30" s="33" t="s">
        <v>274</v>
      </c>
      <c r="J30" s="33" t="s">
        <v>722</v>
      </c>
      <c r="K30" s="153">
        <v>35106</v>
      </c>
      <c r="L30" s="153">
        <v>38150</v>
      </c>
      <c r="M30" s="153">
        <v>7630</v>
      </c>
      <c r="N30" s="153">
        <v>45780</v>
      </c>
      <c r="O30" s="33" t="s">
        <v>879</v>
      </c>
    </row>
    <row r="31" spans="2:15" ht="14.4">
      <c r="B31" s="33" t="s">
        <v>879</v>
      </c>
      <c r="C31" s="33" t="s">
        <v>272</v>
      </c>
      <c r="D31" s="33" t="s">
        <v>61</v>
      </c>
      <c r="E31" s="33" t="s">
        <v>269</v>
      </c>
      <c r="F31" s="33" t="s">
        <v>888</v>
      </c>
      <c r="G31" s="33" t="s">
        <v>721</v>
      </c>
      <c r="H31" s="33" t="s">
        <v>691</v>
      </c>
      <c r="I31" s="33" t="s">
        <v>860</v>
      </c>
      <c r="J31" s="33" t="s">
        <v>718</v>
      </c>
      <c r="K31" s="153">
        <v>32053</v>
      </c>
      <c r="L31" s="153">
        <v>35097</v>
      </c>
      <c r="M31" s="153">
        <v>7019.4000000000005</v>
      </c>
      <c r="N31" s="153">
        <v>42116.4</v>
      </c>
      <c r="O31" s="33" t="s">
        <v>879</v>
      </c>
    </row>
    <row r="32" spans="2:15" ht="14.4">
      <c r="B32" s="33" t="s">
        <v>879</v>
      </c>
      <c r="C32" s="33" t="s">
        <v>284</v>
      </c>
      <c r="D32" s="33" t="s">
        <v>341</v>
      </c>
      <c r="E32" s="33" t="s">
        <v>342</v>
      </c>
      <c r="F32" s="33" t="s">
        <v>645</v>
      </c>
      <c r="G32" s="33" t="s">
        <v>721</v>
      </c>
      <c r="H32" s="33" t="s">
        <v>691</v>
      </c>
      <c r="I32" s="33" t="s">
        <v>461</v>
      </c>
      <c r="J32" s="33" t="s">
        <v>718</v>
      </c>
      <c r="K32" s="153">
        <v>32053</v>
      </c>
      <c r="L32" s="153">
        <v>35097</v>
      </c>
      <c r="M32" s="153">
        <v>7019.4000000000005</v>
      </c>
      <c r="N32" s="153">
        <v>42116.4</v>
      </c>
      <c r="O32" s="33" t="s">
        <v>880</v>
      </c>
    </row>
    <row r="33" spans="2:15" ht="14.4">
      <c r="B33" s="33" t="s">
        <v>879</v>
      </c>
      <c r="C33" s="33" t="s">
        <v>284</v>
      </c>
      <c r="D33" s="33" t="s">
        <v>282</v>
      </c>
      <c r="E33" s="33" t="s">
        <v>283</v>
      </c>
      <c r="F33" s="33" t="s">
        <v>199</v>
      </c>
      <c r="G33" s="33" t="s">
        <v>721</v>
      </c>
      <c r="H33" s="33" t="s">
        <v>691</v>
      </c>
      <c r="I33" s="33" t="s">
        <v>274</v>
      </c>
      <c r="J33" s="33">
        <v>11</v>
      </c>
      <c r="L33" s="153">
        <v>25439</v>
      </c>
      <c r="M33" s="153">
        <v>5087.8</v>
      </c>
      <c r="N33" s="153">
        <v>30526.799999999999</v>
      </c>
      <c r="O33" s="33" t="s">
        <v>880</v>
      </c>
    </row>
    <row r="34" spans="2:15" ht="14.4">
      <c r="B34" s="33" t="s">
        <v>879</v>
      </c>
      <c r="C34" s="33" t="s">
        <v>379</v>
      </c>
      <c r="D34" s="33" t="s">
        <v>560</v>
      </c>
      <c r="E34" s="33" t="s">
        <v>561</v>
      </c>
      <c r="F34" s="33" t="s">
        <v>562</v>
      </c>
      <c r="G34" s="33" t="s">
        <v>700</v>
      </c>
      <c r="H34" s="33" t="s">
        <v>691</v>
      </c>
      <c r="I34" s="33" t="s">
        <v>724</v>
      </c>
      <c r="J34" s="617" t="s">
        <v>221</v>
      </c>
      <c r="K34" s="153">
        <v>14400</v>
      </c>
      <c r="L34" s="153">
        <v>14993</v>
      </c>
      <c r="M34" s="153">
        <v>2998.6000000000004</v>
      </c>
      <c r="N34" s="153">
        <v>17991.599999999999</v>
      </c>
      <c r="O34" s="33" t="s">
        <v>879</v>
      </c>
    </row>
    <row r="35" spans="2:15" ht="14.4">
      <c r="B35" s="33" t="s">
        <v>879</v>
      </c>
      <c r="C35" s="33" t="s">
        <v>455</v>
      </c>
      <c r="D35" s="33" t="s">
        <v>260</v>
      </c>
      <c r="E35" s="33" t="s">
        <v>261</v>
      </c>
      <c r="F35" s="33" t="s">
        <v>262</v>
      </c>
      <c r="G35" s="33" t="s">
        <v>721</v>
      </c>
      <c r="H35" s="33" t="s">
        <v>691</v>
      </c>
      <c r="I35" s="33" t="s">
        <v>605</v>
      </c>
      <c r="J35" s="616" t="s">
        <v>701</v>
      </c>
      <c r="K35" s="153">
        <v>22316</v>
      </c>
      <c r="L35" s="153">
        <v>25439</v>
      </c>
      <c r="M35" s="153">
        <v>5087.8</v>
      </c>
      <c r="N35" s="153">
        <v>30526.799999999999</v>
      </c>
      <c r="O35" s="33" t="s">
        <v>878</v>
      </c>
    </row>
    <row r="36" spans="2:15" ht="14.4">
      <c r="B36" s="33" t="s">
        <v>879</v>
      </c>
      <c r="C36" s="33" t="s">
        <v>284</v>
      </c>
      <c r="D36" s="33" t="s">
        <v>63</v>
      </c>
      <c r="E36" s="33" t="s">
        <v>230</v>
      </c>
      <c r="F36" s="33" t="s">
        <v>517</v>
      </c>
      <c r="G36" s="33" t="s">
        <v>721</v>
      </c>
      <c r="H36" s="33" t="s">
        <v>691</v>
      </c>
      <c r="I36" s="33" t="s">
        <v>220</v>
      </c>
      <c r="J36" s="33" t="s">
        <v>884</v>
      </c>
      <c r="K36" s="153">
        <v>24495</v>
      </c>
      <c r="L36" s="153">
        <v>27608</v>
      </c>
      <c r="M36" s="153">
        <v>5521.6</v>
      </c>
      <c r="N36" s="153">
        <v>33129.599999999999</v>
      </c>
      <c r="O36" s="33" t="s">
        <v>885</v>
      </c>
    </row>
  </sheetData>
  <autoFilter ref="B4:O36" xr:uid="{00000000-0009-0000-0000-000024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filterMode="1">
    <outlinePr summaryBelow="0" summaryRight="0"/>
    <pageSetUpPr fitToPage="1"/>
  </sheetPr>
  <dimension ref="A1:W998"/>
  <sheetViews>
    <sheetView workbookViewId="0"/>
  </sheetViews>
  <sheetFormatPr defaultColWidth="14.44140625" defaultRowHeight="15" customHeight="1"/>
  <cols>
    <col min="1" max="1" width="18" customWidth="1"/>
    <col min="2" max="2" width="7" customWidth="1"/>
    <col min="3" max="3" width="25.88671875" customWidth="1"/>
    <col min="4" max="5" width="29" customWidth="1"/>
    <col min="6" max="6" width="17.6640625" customWidth="1"/>
    <col min="7" max="7" width="16" customWidth="1"/>
    <col min="8" max="8" width="29.5546875" customWidth="1"/>
    <col min="9" max="9" width="11.109375" customWidth="1"/>
    <col min="10" max="10" width="21.5546875" customWidth="1"/>
    <col min="11" max="11" width="19.44140625" customWidth="1"/>
    <col min="12" max="12" width="19.33203125" customWidth="1"/>
    <col min="14" max="14" width="13.88671875" customWidth="1"/>
  </cols>
  <sheetData>
    <row r="1" spans="1:23" ht="15.6">
      <c r="A1" s="300"/>
      <c r="C1" s="302"/>
      <c r="D1" s="89"/>
      <c r="E1" s="89"/>
      <c r="F1" s="89"/>
      <c r="G1" s="89"/>
      <c r="H1" s="89"/>
      <c r="I1" s="303"/>
    </row>
    <row r="2" spans="1:23" ht="15.6">
      <c r="A2" s="300"/>
      <c r="C2" s="302"/>
      <c r="D2" s="89"/>
      <c r="E2" s="89"/>
      <c r="F2" s="89"/>
      <c r="G2" s="89"/>
      <c r="H2" s="89"/>
      <c r="I2" s="303"/>
    </row>
    <row r="3" spans="1:23" ht="15.6">
      <c r="A3" s="300"/>
      <c r="C3" s="302"/>
      <c r="D3" s="89"/>
      <c r="E3" s="89"/>
      <c r="F3" s="89"/>
      <c r="G3" s="89"/>
      <c r="H3" s="89"/>
      <c r="I3" s="303"/>
    </row>
    <row r="4" spans="1:23" ht="15.6">
      <c r="A4" s="300"/>
      <c r="C4" s="302"/>
      <c r="D4" s="89"/>
      <c r="E4" s="89"/>
      <c r="F4" s="89"/>
      <c r="G4" s="89"/>
      <c r="H4" s="89"/>
      <c r="I4" s="303"/>
    </row>
    <row r="5" spans="1:23" ht="15.6">
      <c r="A5" s="300"/>
      <c r="C5" s="302"/>
      <c r="D5" s="89"/>
      <c r="E5" s="89"/>
      <c r="F5" s="89"/>
      <c r="G5" s="89"/>
      <c r="H5" s="89"/>
      <c r="I5" s="303"/>
    </row>
    <row r="6" spans="1:23" ht="15.6">
      <c r="A6" s="300"/>
      <c r="C6" s="302"/>
      <c r="D6" s="89"/>
      <c r="E6" s="705" t="s">
        <v>876</v>
      </c>
      <c r="F6" s="649"/>
      <c r="G6" s="649"/>
      <c r="H6" s="649"/>
      <c r="I6" s="649"/>
      <c r="J6" s="649"/>
    </row>
    <row r="7" spans="1:23" ht="15.6">
      <c r="A7" s="300"/>
      <c r="C7" s="302"/>
      <c r="D7" s="89"/>
      <c r="E7" s="649"/>
      <c r="F7" s="649"/>
      <c r="G7" s="649"/>
      <c r="H7" s="649"/>
      <c r="I7" s="649"/>
      <c r="J7" s="649"/>
    </row>
    <row r="8" spans="1:23" ht="15.6">
      <c r="A8" s="300"/>
      <c r="C8" s="302"/>
      <c r="D8" s="89"/>
      <c r="E8" s="89"/>
      <c r="F8" s="89"/>
      <c r="G8" s="89"/>
      <c r="H8" s="89"/>
      <c r="I8" s="303"/>
    </row>
    <row r="9" spans="1:23" ht="17.399999999999999">
      <c r="B9" s="304"/>
      <c r="C9" s="706" t="s">
        <v>44</v>
      </c>
      <c r="D9" s="656"/>
      <c r="E9" s="656"/>
      <c r="F9" s="657"/>
      <c r="G9" s="307"/>
      <c r="H9" s="308"/>
      <c r="I9" s="706" t="s">
        <v>43</v>
      </c>
      <c r="J9" s="656"/>
      <c r="K9" s="656"/>
      <c r="L9" s="656"/>
      <c r="M9" s="657"/>
      <c r="P9" s="140"/>
      <c r="Q9" s="309"/>
      <c r="R9" s="141"/>
      <c r="S9" s="141"/>
      <c r="T9" s="140"/>
      <c r="U9" s="140"/>
      <c r="V9" s="140"/>
      <c r="W9" s="139"/>
    </row>
    <row r="10" spans="1:23" ht="17.399999999999999">
      <c r="B10" s="310" t="s">
        <v>845</v>
      </c>
      <c r="C10" s="310" t="s">
        <v>654</v>
      </c>
      <c r="D10" s="310" t="s">
        <v>655</v>
      </c>
      <c r="E10" s="310" t="s">
        <v>656</v>
      </c>
      <c r="F10" s="310" t="s">
        <v>45</v>
      </c>
      <c r="G10" s="310" t="s">
        <v>540</v>
      </c>
      <c r="H10" s="310" t="s">
        <v>815</v>
      </c>
      <c r="I10" s="310" t="s">
        <v>42</v>
      </c>
      <c r="J10" s="310">
        <v>2021</v>
      </c>
      <c r="K10" s="310">
        <v>2022</v>
      </c>
      <c r="L10" s="312">
        <v>0.2</v>
      </c>
      <c r="M10" s="312">
        <v>1.2</v>
      </c>
      <c r="P10" s="140"/>
      <c r="Q10" s="309"/>
      <c r="R10" s="141"/>
      <c r="S10" s="141"/>
      <c r="T10" s="140"/>
      <c r="U10" s="140"/>
      <c r="V10" s="140"/>
      <c r="W10" s="139"/>
    </row>
    <row r="11" spans="1:23" ht="18.600000000000001" hidden="1">
      <c r="B11" s="313">
        <v>1</v>
      </c>
      <c r="C11" s="27" t="s">
        <v>163</v>
      </c>
      <c r="D11" s="27" t="s">
        <v>164</v>
      </c>
      <c r="E11" s="27" t="s">
        <v>82</v>
      </c>
      <c r="F11" s="19" t="s">
        <v>721</v>
      </c>
      <c r="G11" s="19" t="s">
        <v>791</v>
      </c>
      <c r="H11" s="27" t="s">
        <v>151</v>
      </c>
      <c r="I11" s="314" t="s">
        <v>790</v>
      </c>
      <c r="J11" s="52">
        <v>20918</v>
      </c>
      <c r="K11" s="52">
        <v>21747</v>
      </c>
      <c r="L11" s="52">
        <f t="shared" ref="L11:L17" si="0">K11*20%</f>
        <v>4349.4000000000005</v>
      </c>
      <c r="M11" s="52">
        <f t="shared" ref="M11:M17" si="1">K11*1.2</f>
        <v>26096.399999999998</v>
      </c>
      <c r="P11" s="140"/>
      <c r="Q11" s="309"/>
      <c r="R11" s="141"/>
      <c r="S11" s="141"/>
      <c r="T11" s="140"/>
      <c r="U11" s="140"/>
      <c r="V11" s="140"/>
      <c r="W11" s="139"/>
    </row>
    <row r="12" spans="1:23" ht="18.600000000000001">
      <c r="B12" s="313"/>
      <c r="C12" s="27" t="s">
        <v>141</v>
      </c>
      <c r="D12" s="27" t="s">
        <v>142</v>
      </c>
      <c r="E12" s="27" t="s">
        <v>143</v>
      </c>
      <c r="F12" s="19" t="s">
        <v>721</v>
      </c>
      <c r="G12" s="19" t="s">
        <v>691</v>
      </c>
      <c r="H12" s="27" t="s">
        <v>605</v>
      </c>
      <c r="I12" s="316" t="s">
        <v>718</v>
      </c>
      <c r="J12" s="52">
        <v>32053</v>
      </c>
      <c r="K12" s="52">
        <v>35097</v>
      </c>
      <c r="L12" s="52">
        <f t="shared" si="0"/>
        <v>7019.4000000000005</v>
      </c>
      <c r="M12" s="52">
        <f t="shared" si="1"/>
        <v>42116.4</v>
      </c>
      <c r="P12" s="140"/>
      <c r="Q12" s="309"/>
      <c r="R12" s="141"/>
      <c r="S12" s="141"/>
      <c r="T12" s="140"/>
      <c r="U12" s="140"/>
      <c r="V12" s="140"/>
      <c r="W12" s="139"/>
    </row>
    <row r="13" spans="1:23" ht="18.600000000000001">
      <c r="B13" s="313"/>
      <c r="C13" s="27" t="s">
        <v>128</v>
      </c>
      <c r="D13" s="27" t="s">
        <v>129</v>
      </c>
      <c r="E13" s="27" t="s">
        <v>130</v>
      </c>
      <c r="F13" s="19" t="s">
        <v>721</v>
      </c>
      <c r="G13" s="19" t="s">
        <v>691</v>
      </c>
      <c r="H13" s="27" t="s">
        <v>724</v>
      </c>
      <c r="I13" s="316" t="s">
        <v>718</v>
      </c>
      <c r="J13" s="52">
        <v>32053</v>
      </c>
      <c r="K13" s="52">
        <v>35097</v>
      </c>
      <c r="L13" s="52">
        <f t="shared" si="0"/>
        <v>7019.4000000000005</v>
      </c>
      <c r="M13" s="52">
        <f t="shared" si="1"/>
        <v>42116.4</v>
      </c>
      <c r="P13" s="140"/>
      <c r="Q13" s="309"/>
      <c r="R13" s="141"/>
      <c r="S13" s="141"/>
      <c r="T13" s="140"/>
      <c r="U13" s="140"/>
      <c r="V13" s="140"/>
      <c r="W13" s="139"/>
    </row>
    <row r="14" spans="1:23" ht="18.600000000000001">
      <c r="B14" s="313"/>
      <c r="C14" s="27" t="s">
        <v>309</v>
      </c>
      <c r="D14" s="27" t="s">
        <v>310</v>
      </c>
      <c r="E14" s="27" t="s">
        <v>311</v>
      </c>
      <c r="F14" s="19" t="s">
        <v>721</v>
      </c>
      <c r="G14" s="19" t="s">
        <v>691</v>
      </c>
      <c r="H14" s="27" t="s">
        <v>724</v>
      </c>
      <c r="I14" s="316" t="s">
        <v>718</v>
      </c>
      <c r="J14" s="52">
        <v>32053</v>
      </c>
      <c r="K14" s="52">
        <v>35097</v>
      </c>
      <c r="L14" s="52">
        <f t="shared" si="0"/>
        <v>7019.4000000000005</v>
      </c>
      <c r="M14" s="52">
        <f t="shared" si="1"/>
        <v>42116.4</v>
      </c>
      <c r="P14" s="140"/>
      <c r="Q14" s="309"/>
      <c r="R14" s="141"/>
      <c r="S14" s="141"/>
      <c r="T14" s="140"/>
      <c r="U14" s="140"/>
      <c r="V14" s="140"/>
      <c r="W14" s="139"/>
    </row>
    <row r="15" spans="1:23" ht="18.600000000000001" hidden="1">
      <c r="B15" s="313">
        <v>5</v>
      </c>
      <c r="C15" s="27" t="s">
        <v>211</v>
      </c>
      <c r="D15" s="27" t="s">
        <v>212</v>
      </c>
      <c r="E15" s="27" t="s">
        <v>213</v>
      </c>
      <c r="F15" s="19" t="s">
        <v>721</v>
      </c>
      <c r="G15" s="19" t="s">
        <v>66</v>
      </c>
      <c r="H15" s="27" t="s">
        <v>178</v>
      </c>
      <c r="I15" s="314" t="s">
        <v>800</v>
      </c>
      <c r="J15" s="52">
        <v>17269</v>
      </c>
      <c r="K15" s="52">
        <v>17962</v>
      </c>
      <c r="L15" s="52">
        <f t="shared" si="0"/>
        <v>3592.4</v>
      </c>
      <c r="M15" s="52">
        <f t="shared" si="1"/>
        <v>21554.399999999998</v>
      </c>
      <c r="P15" s="140"/>
      <c r="Q15" s="139"/>
      <c r="R15" s="141"/>
      <c r="S15" s="141"/>
      <c r="T15" s="140"/>
      <c r="U15" s="140"/>
      <c r="V15" s="140"/>
      <c r="W15" s="139"/>
    </row>
    <row r="16" spans="1:23" ht="18.600000000000001">
      <c r="B16" s="313"/>
      <c r="C16" s="27" t="s">
        <v>622</v>
      </c>
      <c r="D16" s="27" t="s">
        <v>623</v>
      </c>
      <c r="E16" s="27" t="s">
        <v>624</v>
      </c>
      <c r="F16" s="19" t="s">
        <v>721</v>
      </c>
      <c r="G16" s="19" t="s">
        <v>691</v>
      </c>
      <c r="H16" s="27" t="s">
        <v>621</v>
      </c>
      <c r="I16" s="316" t="s">
        <v>722</v>
      </c>
      <c r="J16" s="52">
        <v>35106</v>
      </c>
      <c r="K16" s="52">
        <v>38150</v>
      </c>
      <c r="L16" s="52">
        <f t="shared" si="0"/>
        <v>7630</v>
      </c>
      <c r="M16" s="52">
        <f t="shared" si="1"/>
        <v>45780</v>
      </c>
      <c r="P16" s="140"/>
      <c r="Q16" s="309"/>
      <c r="R16" s="141"/>
      <c r="S16" s="141"/>
      <c r="T16" s="140"/>
      <c r="U16" s="140"/>
      <c r="V16" s="140"/>
      <c r="W16" s="139"/>
    </row>
    <row r="17" spans="2:23" ht="18.600000000000001" hidden="1">
      <c r="B17" s="313">
        <v>7</v>
      </c>
      <c r="C17" s="27" t="s">
        <v>184</v>
      </c>
      <c r="D17" s="27" t="s">
        <v>185</v>
      </c>
      <c r="E17" s="27" t="s">
        <v>186</v>
      </c>
      <c r="F17" s="19" t="s">
        <v>721</v>
      </c>
      <c r="G17" s="19" t="s">
        <v>66</v>
      </c>
      <c r="H17" s="27" t="s">
        <v>178</v>
      </c>
      <c r="I17" s="314" t="s">
        <v>809</v>
      </c>
      <c r="J17" s="52">
        <v>18739</v>
      </c>
      <c r="K17" s="52">
        <v>18739</v>
      </c>
      <c r="L17" s="52">
        <f t="shared" si="0"/>
        <v>3747.8</v>
      </c>
      <c r="M17" s="52">
        <f t="shared" si="1"/>
        <v>22486.799999999999</v>
      </c>
      <c r="P17" s="140"/>
      <c r="Q17" s="309"/>
      <c r="R17" s="141"/>
      <c r="S17" s="141"/>
      <c r="T17" s="140"/>
      <c r="U17" s="140"/>
      <c r="V17" s="140"/>
      <c r="W17" s="139"/>
    </row>
    <row r="18" spans="2:23" ht="18.600000000000001">
      <c r="B18" s="313"/>
      <c r="C18" s="27" t="s">
        <v>336</v>
      </c>
      <c r="D18" s="27" t="s">
        <v>337</v>
      </c>
      <c r="E18" s="27" t="s">
        <v>695</v>
      </c>
      <c r="F18" s="19" t="s">
        <v>721</v>
      </c>
      <c r="G18" s="79" t="s">
        <v>691</v>
      </c>
      <c r="H18" s="6" t="s">
        <v>870</v>
      </c>
      <c r="I18" s="317">
        <v>45231</v>
      </c>
      <c r="J18" s="52">
        <v>22316</v>
      </c>
      <c r="K18" s="52">
        <v>25439</v>
      </c>
      <c r="L18" s="52">
        <v>5087.8</v>
      </c>
      <c r="M18" s="52">
        <v>30526</v>
      </c>
      <c r="P18" s="140"/>
      <c r="Q18" s="309"/>
      <c r="R18" s="141"/>
      <c r="S18" s="141"/>
      <c r="T18" s="226"/>
      <c r="U18" s="226"/>
      <c r="V18" s="226"/>
      <c r="W18" s="226"/>
    </row>
    <row r="19" spans="2:23" ht="18.600000000000001">
      <c r="B19" s="313"/>
      <c r="C19" s="319" t="s">
        <v>336</v>
      </c>
      <c r="D19" s="319" t="s">
        <v>381</v>
      </c>
      <c r="E19" s="319" t="s">
        <v>382</v>
      </c>
      <c r="F19" s="19" t="s">
        <v>721</v>
      </c>
      <c r="G19" s="320" t="s">
        <v>691</v>
      </c>
      <c r="H19" s="321" t="s">
        <v>730</v>
      </c>
      <c r="I19" s="322">
        <v>11</v>
      </c>
      <c r="J19" s="321"/>
      <c r="K19" s="267">
        <v>24439</v>
      </c>
      <c r="L19" s="52">
        <f t="shared" ref="L19:L67" si="2">K19*20%</f>
        <v>4887.8</v>
      </c>
      <c r="M19" s="52">
        <f t="shared" ref="M19:M67" si="3">K19*1.2</f>
        <v>29326.799999999999</v>
      </c>
      <c r="P19" s="140"/>
      <c r="Q19" s="309"/>
      <c r="R19" s="141"/>
      <c r="S19" s="141"/>
      <c r="T19" s="140"/>
      <c r="U19" s="140"/>
      <c r="V19" s="140"/>
      <c r="W19" s="139"/>
    </row>
    <row r="20" spans="2:23" ht="18.600000000000001" hidden="1">
      <c r="B20" s="313">
        <v>10</v>
      </c>
      <c r="C20" s="27" t="s">
        <v>82</v>
      </c>
      <c r="D20" s="27" t="s">
        <v>83</v>
      </c>
      <c r="E20" s="27" t="s">
        <v>84</v>
      </c>
      <c r="F20" s="19" t="s">
        <v>721</v>
      </c>
      <c r="G20" s="19" t="s">
        <v>66</v>
      </c>
      <c r="H20" s="27" t="s">
        <v>80</v>
      </c>
      <c r="I20" s="323" t="s">
        <v>794</v>
      </c>
      <c r="J20" s="52">
        <v>69963</v>
      </c>
      <c r="K20" s="52">
        <v>71511</v>
      </c>
      <c r="L20" s="52">
        <f t="shared" si="2"/>
        <v>14302.2</v>
      </c>
      <c r="M20" s="52">
        <f t="shared" si="3"/>
        <v>85813.2</v>
      </c>
      <c r="P20" s="140"/>
      <c r="Q20" s="309"/>
      <c r="R20" s="141"/>
      <c r="S20" s="141"/>
      <c r="T20" s="140"/>
      <c r="U20" s="140"/>
      <c r="V20" s="140"/>
      <c r="W20" s="139"/>
    </row>
    <row r="21" spans="2:23" ht="18.600000000000001">
      <c r="B21" s="313"/>
      <c r="C21" s="27" t="s">
        <v>111</v>
      </c>
      <c r="D21" s="27" t="s">
        <v>112</v>
      </c>
      <c r="E21" s="27" t="s">
        <v>101</v>
      </c>
      <c r="F21" s="19" t="s">
        <v>721</v>
      </c>
      <c r="G21" s="19" t="s">
        <v>691</v>
      </c>
      <c r="H21" s="27" t="s">
        <v>274</v>
      </c>
      <c r="I21" s="316" t="s">
        <v>722</v>
      </c>
      <c r="J21" s="52">
        <v>35106</v>
      </c>
      <c r="K21" s="52">
        <v>38150</v>
      </c>
      <c r="L21" s="52">
        <f t="shared" si="2"/>
        <v>7630</v>
      </c>
      <c r="M21" s="52">
        <f t="shared" si="3"/>
        <v>45780</v>
      </c>
      <c r="P21" s="140"/>
      <c r="Q21" s="309"/>
      <c r="R21" s="141"/>
      <c r="S21" s="141"/>
      <c r="T21" s="140"/>
      <c r="U21" s="140"/>
      <c r="V21" s="140"/>
      <c r="W21" s="139"/>
    </row>
    <row r="22" spans="2:23" ht="18.600000000000001" hidden="1">
      <c r="B22" s="313">
        <v>12</v>
      </c>
      <c r="C22" s="27" t="s">
        <v>237</v>
      </c>
      <c r="D22" s="27" t="s">
        <v>238</v>
      </c>
      <c r="E22" s="27" t="s">
        <v>239</v>
      </c>
      <c r="F22" s="19" t="s">
        <v>721</v>
      </c>
      <c r="G22" s="19" t="s">
        <v>791</v>
      </c>
      <c r="H22" s="27" t="s">
        <v>807</v>
      </c>
      <c r="I22" s="314" t="s">
        <v>808</v>
      </c>
      <c r="J22" s="52">
        <v>14903</v>
      </c>
      <c r="K22" s="52">
        <v>15486</v>
      </c>
      <c r="L22" s="52">
        <f t="shared" si="2"/>
        <v>3097.2000000000003</v>
      </c>
      <c r="M22" s="52">
        <f t="shared" si="3"/>
        <v>18583.2</v>
      </c>
      <c r="P22" s="140"/>
      <c r="Q22" s="309"/>
      <c r="R22" s="141"/>
      <c r="S22" s="141"/>
      <c r="T22" s="140"/>
      <c r="U22" s="140"/>
      <c r="V22" s="140"/>
      <c r="W22" s="139"/>
    </row>
    <row r="23" spans="2:23" ht="18.600000000000001" hidden="1">
      <c r="B23" s="313">
        <v>13</v>
      </c>
      <c r="C23" s="27" t="s">
        <v>216</v>
      </c>
      <c r="D23" s="27" t="s">
        <v>217</v>
      </c>
      <c r="E23" s="27" t="s">
        <v>184</v>
      </c>
      <c r="F23" s="19" t="s">
        <v>721</v>
      </c>
      <c r="G23" s="19" t="s">
        <v>66</v>
      </c>
      <c r="H23" s="27" t="s">
        <v>178</v>
      </c>
      <c r="I23" s="323" t="s">
        <v>795</v>
      </c>
      <c r="J23" s="52">
        <v>16877</v>
      </c>
      <c r="K23" s="52">
        <v>17553</v>
      </c>
      <c r="L23" s="52">
        <f t="shared" si="2"/>
        <v>3510.6000000000004</v>
      </c>
      <c r="M23" s="52">
        <f t="shared" si="3"/>
        <v>21063.599999999999</v>
      </c>
      <c r="P23" s="140"/>
      <c r="Q23" s="309"/>
      <c r="R23" s="141"/>
      <c r="S23" s="141"/>
      <c r="T23" s="140"/>
      <c r="U23" s="140"/>
      <c r="V23" s="140"/>
      <c r="W23" s="139"/>
    </row>
    <row r="24" spans="2:23" ht="18.600000000000001">
      <c r="B24" s="313"/>
      <c r="C24" s="27" t="s">
        <v>134</v>
      </c>
      <c r="D24" s="27" t="s">
        <v>135</v>
      </c>
      <c r="E24" s="27" t="s">
        <v>136</v>
      </c>
      <c r="F24" s="19" t="s">
        <v>700</v>
      </c>
      <c r="G24" s="19" t="s">
        <v>691</v>
      </c>
      <c r="H24" s="27" t="s">
        <v>754</v>
      </c>
      <c r="I24" s="324" t="s">
        <v>701</v>
      </c>
      <c r="J24" s="52">
        <v>22316</v>
      </c>
      <c r="K24" s="52">
        <v>25439</v>
      </c>
      <c r="L24" s="52">
        <f t="shared" si="2"/>
        <v>5087.8</v>
      </c>
      <c r="M24" s="52">
        <f t="shared" si="3"/>
        <v>30526.799999999999</v>
      </c>
      <c r="P24" s="140"/>
      <c r="Q24" s="309"/>
      <c r="R24" s="141"/>
      <c r="S24" s="141"/>
      <c r="T24" s="140"/>
      <c r="U24" s="140"/>
      <c r="V24" s="140"/>
      <c r="W24" s="139"/>
    </row>
    <row r="25" spans="2:23" ht="18.600000000000001" hidden="1">
      <c r="B25" s="313">
        <v>15</v>
      </c>
      <c r="C25" s="27" t="s">
        <v>147</v>
      </c>
      <c r="D25" s="27" t="s">
        <v>148</v>
      </c>
      <c r="E25" s="27" t="s">
        <v>149</v>
      </c>
      <c r="F25" s="19" t="s">
        <v>700</v>
      </c>
      <c r="G25" s="19" t="s">
        <v>791</v>
      </c>
      <c r="H25" s="27" t="s">
        <v>151</v>
      </c>
      <c r="I25" s="325" t="s">
        <v>796</v>
      </c>
      <c r="J25" s="52">
        <v>21626</v>
      </c>
      <c r="K25" s="52">
        <v>22483</v>
      </c>
      <c r="L25" s="52">
        <f t="shared" si="2"/>
        <v>4496.6000000000004</v>
      </c>
      <c r="M25" s="52">
        <f t="shared" si="3"/>
        <v>26979.599999999999</v>
      </c>
      <c r="P25" s="140"/>
      <c r="Q25" s="309"/>
      <c r="R25" s="141"/>
      <c r="S25" s="141"/>
      <c r="T25" s="140"/>
      <c r="U25" s="140"/>
      <c r="V25" s="140"/>
      <c r="W25" s="139"/>
    </row>
    <row r="26" spans="2:23" ht="18.600000000000001" hidden="1">
      <c r="B26" s="313">
        <v>16</v>
      </c>
      <c r="C26" s="27" t="s">
        <v>147</v>
      </c>
      <c r="D26" s="27" t="s">
        <v>208</v>
      </c>
      <c r="E26" s="27" t="s">
        <v>209</v>
      </c>
      <c r="F26" s="19" t="s">
        <v>721</v>
      </c>
      <c r="G26" s="19" t="s">
        <v>791</v>
      </c>
      <c r="H26" s="27" t="s">
        <v>207</v>
      </c>
      <c r="I26" s="314" t="s">
        <v>883</v>
      </c>
      <c r="J26" s="52">
        <v>17269</v>
      </c>
      <c r="K26" s="52">
        <v>17962</v>
      </c>
      <c r="L26" s="52">
        <f t="shared" si="2"/>
        <v>3592.4</v>
      </c>
      <c r="M26" s="52">
        <f t="shared" si="3"/>
        <v>21554.399999999998</v>
      </c>
      <c r="P26" s="140"/>
      <c r="Q26" s="309"/>
      <c r="R26" s="141"/>
      <c r="S26" s="141"/>
      <c r="T26" s="140"/>
      <c r="U26" s="140"/>
      <c r="V26" s="140"/>
      <c r="W26" s="139"/>
    </row>
    <row r="27" spans="2:23" ht="18.600000000000001">
      <c r="B27" s="313"/>
      <c r="C27" s="27" t="s">
        <v>869</v>
      </c>
      <c r="D27" s="27" t="s">
        <v>607</v>
      </c>
      <c r="E27" s="27" t="s">
        <v>608</v>
      </c>
      <c r="F27" s="19" t="s">
        <v>721</v>
      </c>
      <c r="G27" s="19" t="s">
        <v>691</v>
      </c>
      <c r="H27" s="27" t="s">
        <v>605</v>
      </c>
      <c r="I27" s="316" t="s">
        <v>120</v>
      </c>
      <c r="J27" s="52">
        <v>32053</v>
      </c>
      <c r="K27" s="52">
        <v>35097</v>
      </c>
      <c r="L27" s="52">
        <f t="shared" si="2"/>
        <v>7019.4000000000005</v>
      </c>
      <c r="M27" s="52">
        <f t="shared" si="3"/>
        <v>42116.4</v>
      </c>
      <c r="P27" s="140"/>
      <c r="Q27" s="309"/>
      <c r="R27" s="141"/>
      <c r="S27" s="141"/>
      <c r="T27" s="140"/>
      <c r="U27" s="140"/>
      <c r="V27" s="140"/>
      <c r="W27" s="139"/>
    </row>
    <row r="28" spans="2:23" ht="18.600000000000001">
      <c r="B28" s="313"/>
      <c r="C28" s="27" t="s">
        <v>101</v>
      </c>
      <c r="D28" s="27" t="s">
        <v>304</v>
      </c>
      <c r="E28" s="27" t="s">
        <v>305</v>
      </c>
      <c r="F28" s="19" t="s">
        <v>700</v>
      </c>
      <c r="G28" s="19" t="s">
        <v>691</v>
      </c>
      <c r="H28" s="27" t="s">
        <v>754</v>
      </c>
      <c r="I28" s="324" t="s">
        <v>701</v>
      </c>
      <c r="J28" s="52">
        <v>22316</v>
      </c>
      <c r="K28" s="52">
        <v>25439</v>
      </c>
      <c r="L28" s="52">
        <f t="shared" si="2"/>
        <v>5087.8</v>
      </c>
      <c r="M28" s="52">
        <f t="shared" si="3"/>
        <v>30526.799999999999</v>
      </c>
      <c r="P28" s="140"/>
      <c r="Q28" s="309"/>
      <c r="R28" s="141"/>
      <c r="S28" s="141"/>
      <c r="T28" s="140"/>
      <c r="U28" s="140"/>
      <c r="V28" s="140"/>
      <c r="W28" s="139"/>
    </row>
    <row r="29" spans="2:23" ht="18.600000000000001" hidden="1">
      <c r="B29" s="313">
        <v>19</v>
      </c>
      <c r="C29" s="27" t="s">
        <v>737</v>
      </c>
      <c r="D29" s="27" t="s">
        <v>192</v>
      </c>
      <c r="E29" s="27" t="s">
        <v>193</v>
      </c>
      <c r="F29" s="19" t="s">
        <v>721</v>
      </c>
      <c r="G29" s="19" t="s">
        <v>791</v>
      </c>
      <c r="H29" s="27" t="s">
        <v>189</v>
      </c>
      <c r="I29" s="314" t="s">
        <v>800</v>
      </c>
      <c r="J29" s="52">
        <v>17269</v>
      </c>
      <c r="K29" s="52">
        <v>17962</v>
      </c>
      <c r="L29" s="52">
        <f t="shared" si="2"/>
        <v>3592.4</v>
      </c>
      <c r="M29" s="52">
        <f t="shared" si="3"/>
        <v>21554.399999999998</v>
      </c>
      <c r="P29" s="140"/>
      <c r="Q29" s="309"/>
      <c r="R29" s="141"/>
      <c r="S29" s="141"/>
      <c r="T29" s="140"/>
      <c r="U29" s="140"/>
      <c r="V29" s="140"/>
      <c r="W29" s="139"/>
    </row>
    <row r="30" spans="2:23" ht="18.600000000000001">
      <c r="B30" s="313"/>
      <c r="C30" s="27" t="s">
        <v>473</v>
      </c>
      <c r="D30" s="27" t="s">
        <v>627</v>
      </c>
      <c r="E30" s="27" t="s">
        <v>628</v>
      </c>
      <c r="F30" s="19" t="s">
        <v>721</v>
      </c>
      <c r="G30" s="19" t="s">
        <v>691</v>
      </c>
      <c r="H30" s="27" t="s">
        <v>139</v>
      </c>
      <c r="I30" s="316" t="s">
        <v>884</v>
      </c>
      <c r="J30" s="52">
        <v>24495</v>
      </c>
      <c r="K30" s="52">
        <v>27608</v>
      </c>
      <c r="L30" s="52">
        <f t="shared" si="2"/>
        <v>5521.6</v>
      </c>
      <c r="M30" s="52">
        <f t="shared" si="3"/>
        <v>33129.599999999999</v>
      </c>
      <c r="P30" s="140"/>
      <c r="Q30" s="309"/>
      <c r="R30" s="141"/>
      <c r="S30" s="141"/>
      <c r="T30" s="140"/>
      <c r="U30" s="140"/>
      <c r="V30" s="140"/>
      <c r="W30" s="139"/>
    </row>
    <row r="31" spans="2:23" ht="18.600000000000001">
      <c r="B31" s="313"/>
      <c r="C31" s="27" t="s">
        <v>296</v>
      </c>
      <c r="D31" s="27" t="s">
        <v>297</v>
      </c>
      <c r="E31" s="27" t="s">
        <v>298</v>
      </c>
      <c r="F31" s="19" t="s">
        <v>700</v>
      </c>
      <c r="G31" s="19" t="s">
        <v>691</v>
      </c>
      <c r="H31" s="27" t="s">
        <v>724</v>
      </c>
      <c r="I31" s="316" t="s">
        <v>718</v>
      </c>
      <c r="J31" s="52">
        <v>32053</v>
      </c>
      <c r="K31" s="52">
        <v>35097</v>
      </c>
      <c r="L31" s="52">
        <f t="shared" si="2"/>
        <v>7019.4000000000005</v>
      </c>
      <c r="M31" s="52">
        <f t="shared" si="3"/>
        <v>42116.4</v>
      </c>
      <c r="P31" s="140"/>
      <c r="Q31" s="309"/>
      <c r="R31" s="141"/>
      <c r="S31" s="141"/>
      <c r="T31" s="140"/>
      <c r="U31" s="140"/>
      <c r="V31" s="140"/>
      <c r="W31" s="139"/>
    </row>
    <row r="32" spans="2:23" ht="18.600000000000001">
      <c r="B32" s="313"/>
      <c r="C32" s="27" t="s">
        <v>322</v>
      </c>
      <c r="D32" s="27" t="s">
        <v>323</v>
      </c>
      <c r="E32" s="27" t="s">
        <v>615</v>
      </c>
      <c r="F32" s="19" t="s">
        <v>700</v>
      </c>
      <c r="G32" s="19" t="s">
        <v>691</v>
      </c>
      <c r="H32" s="27" t="s">
        <v>605</v>
      </c>
      <c r="I32" s="316" t="s">
        <v>718</v>
      </c>
      <c r="J32" s="52">
        <v>32053</v>
      </c>
      <c r="K32" s="52">
        <v>35097</v>
      </c>
      <c r="L32" s="52">
        <f t="shared" si="2"/>
        <v>7019.4000000000005</v>
      </c>
      <c r="M32" s="52">
        <f t="shared" si="3"/>
        <v>42116.4</v>
      </c>
      <c r="P32" s="140"/>
      <c r="Q32" s="309"/>
      <c r="R32" s="141"/>
      <c r="S32" s="141"/>
      <c r="T32" s="140"/>
      <c r="U32" s="140"/>
      <c r="V32" s="140"/>
      <c r="W32" s="139"/>
    </row>
    <row r="33" spans="2:23" ht="18.600000000000001">
      <c r="B33" s="313"/>
      <c r="C33" s="27" t="s">
        <v>276</v>
      </c>
      <c r="D33" s="27" t="s">
        <v>277</v>
      </c>
      <c r="E33" s="27" t="s">
        <v>278</v>
      </c>
      <c r="F33" s="19" t="s">
        <v>721</v>
      </c>
      <c r="G33" s="19" t="s">
        <v>691</v>
      </c>
      <c r="H33" s="27" t="s">
        <v>274</v>
      </c>
      <c r="I33" s="316" t="s">
        <v>722</v>
      </c>
      <c r="J33" s="52">
        <v>35106</v>
      </c>
      <c r="K33" s="52">
        <v>38150</v>
      </c>
      <c r="L33" s="52">
        <f t="shared" si="2"/>
        <v>7630</v>
      </c>
      <c r="M33" s="52">
        <f t="shared" si="3"/>
        <v>45780</v>
      </c>
      <c r="P33" s="140"/>
      <c r="Q33" s="326"/>
      <c r="R33" s="141"/>
      <c r="S33" s="141"/>
      <c r="T33" s="140"/>
      <c r="U33" s="140"/>
      <c r="V33" s="140"/>
      <c r="W33" s="139"/>
    </row>
    <row r="34" spans="2:23" ht="18.600000000000001">
      <c r="B34" s="313"/>
      <c r="C34" s="27" t="s">
        <v>375</v>
      </c>
      <c r="D34" s="27" t="s">
        <v>376</v>
      </c>
      <c r="E34" s="27" t="s">
        <v>377</v>
      </c>
      <c r="F34" s="19" t="s">
        <v>700</v>
      </c>
      <c r="G34" s="19" t="s">
        <v>691</v>
      </c>
      <c r="H34" s="27" t="s">
        <v>754</v>
      </c>
      <c r="I34" s="324" t="s">
        <v>701</v>
      </c>
      <c r="J34" s="52">
        <v>22316</v>
      </c>
      <c r="K34" s="52">
        <v>25439</v>
      </c>
      <c r="L34" s="52">
        <f t="shared" si="2"/>
        <v>5087.8</v>
      </c>
      <c r="M34" s="52">
        <f t="shared" si="3"/>
        <v>30526.799999999999</v>
      </c>
      <c r="P34" s="140"/>
      <c r="Q34" s="309"/>
      <c r="R34" s="141"/>
      <c r="S34" s="141"/>
      <c r="T34" s="140"/>
      <c r="U34" s="140"/>
      <c r="V34" s="140"/>
      <c r="W34" s="139"/>
    </row>
    <row r="35" spans="2:23" ht="18.600000000000001">
      <c r="B35" s="313"/>
      <c r="C35" s="27" t="s">
        <v>99</v>
      </c>
      <c r="D35" s="27" t="s">
        <v>370</v>
      </c>
      <c r="E35" s="27" t="s">
        <v>371</v>
      </c>
      <c r="F35" s="19" t="s">
        <v>721</v>
      </c>
      <c r="G35" s="19" t="s">
        <v>691</v>
      </c>
      <c r="H35" s="27" t="s">
        <v>754</v>
      </c>
      <c r="I35" s="324" t="s">
        <v>701</v>
      </c>
      <c r="J35" s="52">
        <v>22316</v>
      </c>
      <c r="K35" s="52">
        <v>25439</v>
      </c>
      <c r="L35" s="52">
        <f t="shared" si="2"/>
        <v>5087.8</v>
      </c>
      <c r="M35" s="52">
        <f t="shared" si="3"/>
        <v>30526.799999999999</v>
      </c>
      <c r="P35" s="140"/>
      <c r="Q35" s="309"/>
      <c r="R35" s="141"/>
      <c r="S35" s="141"/>
      <c r="T35" s="226"/>
      <c r="U35" s="226"/>
      <c r="V35" s="226"/>
      <c r="W35" s="226"/>
    </row>
    <row r="36" spans="2:23" ht="18.600000000000001" hidden="1">
      <c r="B36" s="313">
        <v>26</v>
      </c>
      <c r="C36" s="27" t="s">
        <v>195</v>
      </c>
      <c r="D36" s="27" t="s">
        <v>196</v>
      </c>
      <c r="E36" s="27" t="s">
        <v>197</v>
      </c>
      <c r="F36" s="19" t="s">
        <v>721</v>
      </c>
      <c r="G36" s="19" t="s">
        <v>791</v>
      </c>
      <c r="H36" s="27" t="s">
        <v>189</v>
      </c>
      <c r="I36" s="314" t="s">
        <v>800</v>
      </c>
      <c r="J36" s="52">
        <v>17269</v>
      </c>
      <c r="K36" s="52">
        <v>17962</v>
      </c>
      <c r="L36" s="52">
        <f t="shared" si="2"/>
        <v>3592.4</v>
      </c>
      <c r="M36" s="52">
        <f t="shared" si="3"/>
        <v>21554.399999999998</v>
      </c>
    </row>
    <row r="37" spans="2:23" ht="18.600000000000001">
      <c r="B37" s="313"/>
      <c r="C37" s="27" t="s">
        <v>114</v>
      </c>
      <c r="D37" s="27" t="s">
        <v>115</v>
      </c>
      <c r="E37" s="27" t="s">
        <v>116</v>
      </c>
      <c r="F37" s="19" t="s">
        <v>721</v>
      </c>
      <c r="G37" s="19" t="s">
        <v>691</v>
      </c>
      <c r="H37" s="27" t="s">
        <v>245</v>
      </c>
      <c r="I37" s="316" t="s">
        <v>886</v>
      </c>
      <c r="J37" s="52">
        <v>46791</v>
      </c>
      <c r="K37" s="52">
        <v>49835</v>
      </c>
      <c r="L37" s="52">
        <f t="shared" si="2"/>
        <v>9967</v>
      </c>
      <c r="M37" s="52">
        <f t="shared" si="3"/>
        <v>59802</v>
      </c>
    </row>
    <row r="38" spans="2:23" ht="18.600000000000001" hidden="1">
      <c r="B38" s="313">
        <v>28</v>
      </c>
      <c r="C38" s="27" t="s">
        <v>225</v>
      </c>
      <c r="D38" s="27" t="s">
        <v>226</v>
      </c>
      <c r="E38" s="27" t="s">
        <v>227</v>
      </c>
      <c r="F38" s="19" t="s">
        <v>721</v>
      </c>
      <c r="G38" s="19" t="s">
        <v>66</v>
      </c>
      <c r="H38" s="27" t="s">
        <v>220</v>
      </c>
      <c r="I38" s="323" t="s">
        <v>802</v>
      </c>
      <c r="J38" s="52">
        <v>14993</v>
      </c>
      <c r="K38" s="52">
        <v>15586</v>
      </c>
      <c r="L38" s="52">
        <f t="shared" si="2"/>
        <v>3117.2000000000003</v>
      </c>
      <c r="M38" s="52">
        <f t="shared" si="3"/>
        <v>18703.2</v>
      </c>
    </row>
    <row r="39" spans="2:23" ht="18.600000000000001">
      <c r="B39" s="313"/>
      <c r="C39" s="27" t="s">
        <v>315</v>
      </c>
      <c r="D39" s="27" t="s">
        <v>316</v>
      </c>
      <c r="E39" s="27" t="s">
        <v>317</v>
      </c>
      <c r="F39" s="19" t="s">
        <v>700</v>
      </c>
      <c r="G39" s="19" t="s">
        <v>691</v>
      </c>
      <c r="H39" s="27" t="s">
        <v>724</v>
      </c>
      <c r="I39" s="316" t="s">
        <v>120</v>
      </c>
      <c r="J39" s="52">
        <v>32053</v>
      </c>
      <c r="K39" s="52">
        <v>35097</v>
      </c>
      <c r="L39" s="52">
        <f t="shared" si="2"/>
        <v>7019.4000000000005</v>
      </c>
      <c r="M39" s="52">
        <f t="shared" si="3"/>
        <v>42116.4</v>
      </c>
    </row>
    <row r="40" spans="2:23" ht="18.600000000000001">
      <c r="B40" s="313"/>
      <c r="C40" s="27" t="s">
        <v>327</v>
      </c>
      <c r="D40" s="27" t="s">
        <v>328</v>
      </c>
      <c r="E40" s="27" t="s">
        <v>329</v>
      </c>
      <c r="F40" s="19" t="s">
        <v>700</v>
      </c>
      <c r="G40" s="19" t="s">
        <v>691</v>
      </c>
      <c r="H40" s="27" t="s">
        <v>754</v>
      </c>
      <c r="I40" s="324" t="s">
        <v>701</v>
      </c>
      <c r="J40" s="52">
        <v>22316</v>
      </c>
      <c r="K40" s="52">
        <v>25439</v>
      </c>
      <c r="L40" s="52">
        <f t="shared" si="2"/>
        <v>5087.8</v>
      </c>
      <c r="M40" s="52">
        <f t="shared" si="3"/>
        <v>30526.799999999999</v>
      </c>
    </row>
    <row r="41" spans="2:23" ht="18.600000000000001" hidden="1">
      <c r="B41" s="313">
        <v>31</v>
      </c>
      <c r="C41" s="27" t="s">
        <v>87</v>
      </c>
      <c r="D41" s="27" t="s">
        <v>88</v>
      </c>
      <c r="E41" s="27" t="s">
        <v>89</v>
      </c>
      <c r="F41" s="19" t="s">
        <v>721</v>
      </c>
      <c r="G41" s="19" t="s">
        <v>66</v>
      </c>
      <c r="H41" s="27" t="s">
        <v>80</v>
      </c>
      <c r="I41" s="323" t="s">
        <v>794</v>
      </c>
      <c r="J41" s="52">
        <v>69963</v>
      </c>
      <c r="K41" s="52">
        <v>71511</v>
      </c>
      <c r="L41" s="52">
        <f t="shared" si="2"/>
        <v>14302.2</v>
      </c>
      <c r="M41" s="52">
        <f t="shared" si="3"/>
        <v>85813.2</v>
      </c>
    </row>
    <row r="42" spans="2:23" ht="18.600000000000001" hidden="1">
      <c r="B42" s="313">
        <v>32</v>
      </c>
      <c r="C42" s="27" t="s">
        <v>70</v>
      </c>
      <c r="D42" s="27" t="s">
        <v>71</v>
      </c>
      <c r="E42" s="27" t="s">
        <v>72</v>
      </c>
      <c r="F42" s="19" t="s">
        <v>700</v>
      </c>
      <c r="G42" s="19" t="s">
        <v>66</v>
      </c>
      <c r="H42" s="27" t="s">
        <v>80</v>
      </c>
      <c r="I42" s="323" t="s">
        <v>794</v>
      </c>
      <c r="J42" s="52">
        <v>69963</v>
      </c>
      <c r="K42" s="52">
        <v>71511</v>
      </c>
      <c r="L42" s="52">
        <f t="shared" si="2"/>
        <v>14302.2</v>
      </c>
      <c r="M42" s="52">
        <f t="shared" si="3"/>
        <v>85813.2</v>
      </c>
    </row>
    <row r="43" spans="2:23" ht="18.600000000000001">
      <c r="B43" s="313"/>
      <c r="C43" s="27" t="s">
        <v>300</v>
      </c>
      <c r="D43" s="27" t="s">
        <v>301</v>
      </c>
      <c r="E43" s="27" t="s">
        <v>302</v>
      </c>
      <c r="F43" s="19" t="s">
        <v>721</v>
      </c>
      <c r="G43" s="19" t="s">
        <v>691</v>
      </c>
      <c r="H43" s="27" t="s">
        <v>724</v>
      </c>
      <c r="I43" s="324" t="s">
        <v>718</v>
      </c>
      <c r="J43" s="52">
        <v>32053</v>
      </c>
      <c r="K43" s="52">
        <v>35097</v>
      </c>
      <c r="L43" s="52">
        <f t="shared" si="2"/>
        <v>7019.4000000000005</v>
      </c>
      <c r="M43" s="52">
        <f t="shared" si="3"/>
        <v>42116.4</v>
      </c>
    </row>
    <row r="44" spans="2:23" ht="18.600000000000001" hidden="1">
      <c r="B44" s="313">
        <v>34</v>
      </c>
      <c r="C44" s="27" t="s">
        <v>180</v>
      </c>
      <c r="D44" s="27" t="s">
        <v>181</v>
      </c>
      <c r="E44" s="27" t="s">
        <v>182</v>
      </c>
      <c r="F44" s="19" t="s">
        <v>721</v>
      </c>
      <c r="G44" s="19" t="s">
        <v>66</v>
      </c>
      <c r="H44" s="27" t="s">
        <v>178</v>
      </c>
      <c r="I44" s="314" t="s">
        <v>804</v>
      </c>
      <c r="J44" s="52">
        <v>17806</v>
      </c>
      <c r="K44" s="52">
        <v>18520</v>
      </c>
      <c r="L44" s="52">
        <f t="shared" si="2"/>
        <v>3704</v>
      </c>
      <c r="M44" s="52">
        <f t="shared" si="3"/>
        <v>22224</v>
      </c>
    </row>
    <row r="45" spans="2:23" ht="18.600000000000001">
      <c r="B45" s="313"/>
      <c r="C45" s="319" t="s">
        <v>61</v>
      </c>
      <c r="D45" s="319" t="s">
        <v>269</v>
      </c>
      <c r="E45" s="319" t="s">
        <v>888</v>
      </c>
      <c r="F45" s="19" t="s">
        <v>721</v>
      </c>
      <c r="G45" s="320" t="s">
        <v>691</v>
      </c>
      <c r="H45" s="321" t="s">
        <v>860</v>
      </c>
      <c r="I45" s="322">
        <v>18</v>
      </c>
      <c r="J45" s="327"/>
      <c r="K45" s="267">
        <v>45203</v>
      </c>
      <c r="L45" s="52">
        <f t="shared" si="2"/>
        <v>9040.6</v>
      </c>
      <c r="M45" s="52">
        <f t="shared" si="3"/>
        <v>54243.6</v>
      </c>
    </row>
    <row r="46" spans="2:23" ht="18.600000000000001">
      <c r="B46" s="313"/>
      <c r="C46" s="27" t="s">
        <v>341</v>
      </c>
      <c r="D46" s="27" t="s">
        <v>342</v>
      </c>
      <c r="E46" s="27" t="s">
        <v>645</v>
      </c>
      <c r="F46" s="19" t="s">
        <v>721</v>
      </c>
      <c r="G46" s="19" t="s">
        <v>691</v>
      </c>
      <c r="H46" s="27" t="s">
        <v>461</v>
      </c>
      <c r="I46" s="328">
        <v>45261</v>
      </c>
      <c r="J46" s="267">
        <v>26952</v>
      </c>
      <c r="K46" s="267">
        <v>27608</v>
      </c>
      <c r="L46" s="52">
        <f t="shared" si="2"/>
        <v>5521.6</v>
      </c>
      <c r="M46" s="52">
        <f t="shared" si="3"/>
        <v>33129.599999999999</v>
      </c>
    </row>
    <row r="47" spans="2:23" ht="18.600000000000001">
      <c r="B47" s="313"/>
      <c r="C47" s="27" t="s">
        <v>282</v>
      </c>
      <c r="D47" s="27" t="s">
        <v>283</v>
      </c>
      <c r="E47" s="27" t="s">
        <v>199</v>
      </c>
      <c r="F47" s="19" t="s">
        <v>721</v>
      </c>
      <c r="G47" s="19" t="s">
        <v>691</v>
      </c>
      <c r="H47" s="27" t="s">
        <v>274</v>
      </c>
      <c r="I47" s="316" t="s">
        <v>722</v>
      </c>
      <c r="J47" s="52">
        <v>35106</v>
      </c>
      <c r="K47" s="52">
        <v>38150</v>
      </c>
      <c r="L47" s="52">
        <f t="shared" si="2"/>
        <v>7630</v>
      </c>
      <c r="M47" s="52">
        <f t="shared" si="3"/>
        <v>45780</v>
      </c>
    </row>
    <row r="48" spans="2:23" ht="18.600000000000001" hidden="1">
      <c r="B48" s="313">
        <v>38</v>
      </c>
      <c r="C48" s="27" t="s">
        <v>92</v>
      </c>
      <c r="D48" s="27" t="s">
        <v>93</v>
      </c>
      <c r="E48" s="27" t="s">
        <v>94</v>
      </c>
      <c r="F48" s="19" t="s">
        <v>721</v>
      </c>
      <c r="G48" s="19" t="s">
        <v>66</v>
      </c>
      <c r="H48" s="27" t="s">
        <v>245</v>
      </c>
      <c r="I48" s="323" t="s">
        <v>886</v>
      </c>
      <c r="J48" s="52">
        <v>49835</v>
      </c>
      <c r="K48" s="52">
        <v>51357</v>
      </c>
      <c r="L48" s="52">
        <f t="shared" si="2"/>
        <v>10271.400000000001</v>
      </c>
      <c r="M48" s="52">
        <f t="shared" si="3"/>
        <v>61628.399999999994</v>
      </c>
    </row>
    <row r="49" spans="2:13" ht="18.600000000000001">
      <c r="B49" s="313"/>
      <c r="C49" s="27" t="s">
        <v>866</v>
      </c>
      <c r="D49" s="27" t="s">
        <v>867</v>
      </c>
      <c r="E49" s="27" t="s">
        <v>868</v>
      </c>
      <c r="F49" s="19" t="s">
        <v>721</v>
      </c>
      <c r="G49" s="79" t="s">
        <v>691</v>
      </c>
      <c r="H49" s="6" t="s">
        <v>461</v>
      </c>
      <c r="I49" s="328">
        <v>45261</v>
      </c>
      <c r="J49" s="52">
        <v>26952</v>
      </c>
      <c r="K49" s="52">
        <v>27608</v>
      </c>
      <c r="L49" s="52">
        <f t="shared" si="2"/>
        <v>5521.6</v>
      </c>
      <c r="M49" s="52">
        <f t="shared" si="3"/>
        <v>33129.599999999999</v>
      </c>
    </row>
    <row r="50" spans="2:13" ht="18.600000000000001" hidden="1">
      <c r="B50" s="313">
        <v>40</v>
      </c>
      <c r="C50" s="27" t="s">
        <v>203</v>
      </c>
      <c r="D50" s="27" t="s">
        <v>204</v>
      </c>
      <c r="E50" s="27" t="s">
        <v>205</v>
      </c>
      <c r="F50" s="19" t="s">
        <v>721</v>
      </c>
      <c r="G50" s="19" t="s">
        <v>66</v>
      </c>
      <c r="H50" s="27" t="s">
        <v>178</v>
      </c>
      <c r="I50" s="314" t="s">
        <v>800</v>
      </c>
      <c r="J50" s="52">
        <v>17269</v>
      </c>
      <c r="K50" s="52">
        <v>17962</v>
      </c>
      <c r="L50" s="52">
        <f t="shared" si="2"/>
        <v>3592.4</v>
      </c>
      <c r="M50" s="52">
        <f t="shared" si="3"/>
        <v>21554.399999999998</v>
      </c>
    </row>
    <row r="51" spans="2:13" ht="18.600000000000001">
      <c r="B51" s="313"/>
      <c r="C51" s="27" t="s">
        <v>560</v>
      </c>
      <c r="D51" s="27" t="s">
        <v>561</v>
      </c>
      <c r="E51" s="27" t="s">
        <v>562</v>
      </c>
      <c r="F51" s="19" t="s">
        <v>700</v>
      </c>
      <c r="G51" s="19" t="s">
        <v>691</v>
      </c>
      <c r="H51" s="27" t="s">
        <v>724</v>
      </c>
      <c r="I51" s="316" t="s">
        <v>718</v>
      </c>
      <c r="J51" s="52">
        <v>32053</v>
      </c>
      <c r="K51" s="52">
        <v>35097</v>
      </c>
      <c r="L51" s="52">
        <f t="shared" si="2"/>
        <v>7019.4000000000005</v>
      </c>
      <c r="M51" s="52">
        <f t="shared" si="3"/>
        <v>42116.4</v>
      </c>
    </row>
    <row r="52" spans="2:13" ht="18.600000000000001" hidden="1">
      <c r="B52" s="313">
        <v>42</v>
      </c>
      <c r="C52" s="27" t="s">
        <v>153</v>
      </c>
      <c r="D52" s="27" t="s">
        <v>154</v>
      </c>
      <c r="E52" s="27" t="s">
        <v>155</v>
      </c>
      <c r="F52" s="19" t="s">
        <v>721</v>
      </c>
      <c r="G52" s="19" t="s">
        <v>791</v>
      </c>
      <c r="H52" s="27" t="s">
        <v>151</v>
      </c>
      <c r="I52" s="314" t="s">
        <v>805</v>
      </c>
      <c r="J52" s="52">
        <v>21093</v>
      </c>
      <c r="K52" s="52">
        <v>21929</v>
      </c>
      <c r="L52" s="52">
        <f t="shared" si="2"/>
        <v>4385.8</v>
      </c>
      <c r="M52" s="52">
        <f t="shared" si="3"/>
        <v>26314.799999999999</v>
      </c>
    </row>
    <row r="53" spans="2:13" ht="18.600000000000001" hidden="1">
      <c r="B53" s="313">
        <v>43</v>
      </c>
      <c r="C53" s="27" t="s">
        <v>153</v>
      </c>
      <c r="D53" s="27" t="s">
        <v>167</v>
      </c>
      <c r="E53" s="27" t="s">
        <v>155</v>
      </c>
      <c r="F53" s="19" t="s">
        <v>721</v>
      </c>
      <c r="G53" s="19" t="s">
        <v>791</v>
      </c>
      <c r="H53" s="27" t="s">
        <v>151</v>
      </c>
      <c r="I53" s="314" t="s">
        <v>790</v>
      </c>
      <c r="J53" s="52">
        <v>20918</v>
      </c>
      <c r="K53" s="52">
        <v>21747</v>
      </c>
      <c r="L53" s="52">
        <f t="shared" si="2"/>
        <v>4349.4000000000005</v>
      </c>
      <c r="M53" s="52">
        <f t="shared" si="3"/>
        <v>26096.399999999998</v>
      </c>
    </row>
    <row r="54" spans="2:13" ht="18.600000000000001">
      <c r="B54" s="313"/>
      <c r="C54" s="27" t="s">
        <v>514</v>
      </c>
      <c r="D54" s="27" t="s">
        <v>515</v>
      </c>
      <c r="E54" s="27" t="s">
        <v>516</v>
      </c>
      <c r="F54" s="19" t="s">
        <v>721</v>
      </c>
      <c r="G54" s="19" t="s">
        <v>691</v>
      </c>
      <c r="H54" s="27" t="s">
        <v>274</v>
      </c>
      <c r="I54" s="316" t="s">
        <v>722</v>
      </c>
      <c r="J54" s="52">
        <v>35106</v>
      </c>
      <c r="K54" s="52">
        <v>38150</v>
      </c>
      <c r="L54" s="52">
        <f t="shared" si="2"/>
        <v>7630</v>
      </c>
      <c r="M54" s="52">
        <f t="shared" si="3"/>
        <v>45780</v>
      </c>
    </row>
    <row r="55" spans="2:13" ht="18.600000000000001" hidden="1">
      <c r="B55" s="313">
        <v>45</v>
      </c>
      <c r="C55" s="27" t="s">
        <v>169</v>
      </c>
      <c r="D55" s="27" t="s">
        <v>170</v>
      </c>
      <c r="E55" s="27" t="s">
        <v>171</v>
      </c>
      <c r="F55" s="19" t="s">
        <v>700</v>
      </c>
      <c r="G55" s="19" t="s">
        <v>791</v>
      </c>
      <c r="H55" s="27" t="s">
        <v>151</v>
      </c>
      <c r="I55" s="314" t="s">
        <v>790</v>
      </c>
      <c r="J55" s="52">
        <v>20918</v>
      </c>
      <c r="K55" s="52">
        <v>21747</v>
      </c>
      <c r="L55" s="52">
        <f t="shared" si="2"/>
        <v>4349.4000000000005</v>
      </c>
      <c r="M55" s="52">
        <f t="shared" si="3"/>
        <v>26096.399999999998</v>
      </c>
    </row>
    <row r="56" spans="2:13" ht="18.600000000000001" hidden="1">
      <c r="B56" s="313">
        <v>46</v>
      </c>
      <c r="C56" s="27" t="s">
        <v>157</v>
      </c>
      <c r="D56" s="27" t="s">
        <v>158</v>
      </c>
      <c r="E56" s="27" t="s">
        <v>159</v>
      </c>
      <c r="F56" s="19" t="s">
        <v>721</v>
      </c>
      <c r="G56" s="19" t="s">
        <v>791</v>
      </c>
      <c r="H56" s="27" t="s">
        <v>151</v>
      </c>
      <c r="I56" s="314" t="s">
        <v>805</v>
      </c>
      <c r="J56" s="52">
        <v>21093</v>
      </c>
      <c r="K56" s="52">
        <v>21929</v>
      </c>
      <c r="L56" s="52">
        <f t="shared" si="2"/>
        <v>4385.8</v>
      </c>
      <c r="M56" s="52">
        <f t="shared" si="3"/>
        <v>26314.799999999999</v>
      </c>
    </row>
    <row r="57" spans="2:13" ht="18.600000000000001" hidden="1">
      <c r="B57" s="313">
        <v>47</v>
      </c>
      <c r="C57" s="27" t="s">
        <v>173</v>
      </c>
      <c r="D57" s="27" t="s">
        <v>174</v>
      </c>
      <c r="E57" s="27" t="s">
        <v>175</v>
      </c>
      <c r="F57" s="19" t="s">
        <v>721</v>
      </c>
      <c r="G57" s="19" t="s">
        <v>791</v>
      </c>
      <c r="H57" s="27" t="s">
        <v>151</v>
      </c>
      <c r="I57" s="314" t="s">
        <v>790</v>
      </c>
      <c r="J57" s="52">
        <v>20918</v>
      </c>
      <c r="K57" s="52">
        <v>21747</v>
      </c>
      <c r="L57" s="52">
        <f t="shared" si="2"/>
        <v>4349.4000000000005</v>
      </c>
      <c r="M57" s="52">
        <f t="shared" si="3"/>
        <v>26096.399999999998</v>
      </c>
    </row>
    <row r="58" spans="2:13" ht="18.600000000000001">
      <c r="B58" s="313"/>
      <c r="C58" s="27" t="s">
        <v>260</v>
      </c>
      <c r="D58" s="27" t="s">
        <v>261</v>
      </c>
      <c r="E58" s="27" t="s">
        <v>262</v>
      </c>
      <c r="F58" s="19" t="s">
        <v>721</v>
      </c>
      <c r="G58" s="19" t="s">
        <v>691</v>
      </c>
      <c r="H58" s="27" t="s">
        <v>605</v>
      </c>
      <c r="I58" s="316" t="s">
        <v>718</v>
      </c>
      <c r="J58" s="52">
        <v>32053</v>
      </c>
      <c r="K58" s="52">
        <v>35097</v>
      </c>
      <c r="L58" s="52">
        <f t="shared" si="2"/>
        <v>7019.4000000000005</v>
      </c>
      <c r="M58" s="52">
        <f t="shared" si="3"/>
        <v>42116.4</v>
      </c>
    </row>
    <row r="59" spans="2:13" ht="18.600000000000001" hidden="1">
      <c r="B59" s="313">
        <v>49</v>
      </c>
      <c r="C59" s="27" t="s">
        <v>199</v>
      </c>
      <c r="D59" s="27" t="s">
        <v>200</v>
      </c>
      <c r="E59" s="27" t="s">
        <v>197</v>
      </c>
      <c r="F59" s="19" t="s">
        <v>700</v>
      </c>
      <c r="G59" s="19" t="s">
        <v>791</v>
      </c>
      <c r="H59" s="27" t="s">
        <v>189</v>
      </c>
      <c r="I59" s="314" t="s">
        <v>800</v>
      </c>
      <c r="J59" s="52">
        <v>17269</v>
      </c>
      <c r="K59" s="52">
        <v>17962</v>
      </c>
      <c r="L59" s="52">
        <f t="shared" si="2"/>
        <v>3592.4</v>
      </c>
      <c r="M59" s="52">
        <f t="shared" si="3"/>
        <v>21554.399999999998</v>
      </c>
    </row>
    <row r="60" spans="2:13" ht="18.600000000000001">
      <c r="B60" s="313"/>
      <c r="C60" s="27" t="s">
        <v>366</v>
      </c>
      <c r="D60" s="27" t="s">
        <v>367</v>
      </c>
      <c r="E60" s="27" t="s">
        <v>89</v>
      </c>
      <c r="F60" s="19" t="s">
        <v>700</v>
      </c>
      <c r="G60" s="19" t="s">
        <v>691</v>
      </c>
      <c r="H60" s="27" t="s">
        <v>724</v>
      </c>
      <c r="I60" s="316" t="s">
        <v>718</v>
      </c>
      <c r="J60" s="52">
        <v>32053</v>
      </c>
      <c r="K60" s="52">
        <v>35097</v>
      </c>
      <c r="L60" s="52">
        <f t="shared" si="2"/>
        <v>7019.4000000000005</v>
      </c>
      <c r="M60" s="52">
        <f t="shared" si="3"/>
        <v>42116.4</v>
      </c>
    </row>
    <row r="61" spans="2:13" ht="18.600000000000001">
      <c r="B61" s="313"/>
      <c r="C61" s="319" t="s">
        <v>386</v>
      </c>
      <c r="D61" s="319" t="s">
        <v>707</v>
      </c>
      <c r="E61" s="319" t="s">
        <v>889</v>
      </c>
      <c r="F61" s="320" t="s">
        <v>721</v>
      </c>
      <c r="G61" s="320" t="s">
        <v>691</v>
      </c>
      <c r="H61" s="321" t="s">
        <v>730</v>
      </c>
      <c r="I61" s="322">
        <v>11</v>
      </c>
      <c r="J61" s="321"/>
      <c r="K61" s="267">
        <v>25439</v>
      </c>
      <c r="L61" s="52">
        <f t="shared" si="2"/>
        <v>5087.8</v>
      </c>
      <c r="M61" s="52">
        <f t="shared" si="3"/>
        <v>30526.799999999999</v>
      </c>
    </row>
    <row r="62" spans="2:13" ht="18.600000000000001" hidden="1">
      <c r="B62" s="313">
        <v>52</v>
      </c>
      <c r="C62" s="27" t="s">
        <v>106</v>
      </c>
      <c r="D62" s="27" t="s">
        <v>107</v>
      </c>
      <c r="E62" s="27" t="s">
        <v>108</v>
      </c>
      <c r="F62" s="19" t="s">
        <v>700</v>
      </c>
      <c r="G62" s="19" t="s">
        <v>66</v>
      </c>
      <c r="H62" s="27" t="s">
        <v>139</v>
      </c>
      <c r="I62" s="323" t="s">
        <v>884</v>
      </c>
      <c r="J62" s="52">
        <v>27608</v>
      </c>
      <c r="K62" s="52">
        <v>29165</v>
      </c>
      <c r="L62" s="52">
        <f t="shared" si="2"/>
        <v>5833</v>
      </c>
      <c r="M62" s="52">
        <f t="shared" si="3"/>
        <v>34998</v>
      </c>
    </row>
    <row r="63" spans="2:13" ht="18.600000000000001">
      <c r="B63" s="313"/>
      <c r="C63" s="319" t="s">
        <v>63</v>
      </c>
      <c r="D63" s="319" t="s">
        <v>230</v>
      </c>
      <c r="E63" s="319" t="s">
        <v>517</v>
      </c>
      <c r="F63" s="19" t="s">
        <v>721</v>
      </c>
      <c r="G63" s="19" t="s">
        <v>691</v>
      </c>
      <c r="H63" s="27" t="s">
        <v>220</v>
      </c>
      <c r="I63" s="329" t="s">
        <v>221</v>
      </c>
      <c r="J63" s="267">
        <v>14400</v>
      </c>
      <c r="K63" s="267">
        <v>14993</v>
      </c>
      <c r="L63" s="52">
        <f t="shared" si="2"/>
        <v>2998.6000000000004</v>
      </c>
      <c r="M63" s="52">
        <f t="shared" si="3"/>
        <v>17991.599999999999</v>
      </c>
    </row>
    <row r="64" spans="2:13" ht="18.600000000000001" hidden="1">
      <c r="B64" s="313">
        <v>54</v>
      </c>
      <c r="C64" s="27" t="s">
        <v>63</v>
      </c>
      <c r="D64" s="27" t="s">
        <v>222</v>
      </c>
      <c r="E64" s="27" t="s">
        <v>223</v>
      </c>
      <c r="F64" s="19" t="s">
        <v>721</v>
      </c>
      <c r="G64" s="19" t="s">
        <v>66</v>
      </c>
      <c r="H64" s="27" t="s">
        <v>220</v>
      </c>
      <c r="I64" s="324" t="s">
        <v>802</v>
      </c>
      <c r="J64" s="52">
        <v>14993</v>
      </c>
      <c r="K64" s="52">
        <v>15586</v>
      </c>
      <c r="L64" s="52">
        <f t="shared" si="2"/>
        <v>3117.2000000000003</v>
      </c>
      <c r="M64" s="52">
        <f t="shared" si="3"/>
        <v>18703.2</v>
      </c>
    </row>
    <row r="65" spans="1:13" ht="18.600000000000001">
      <c r="B65" s="313"/>
      <c r="C65" s="27" t="s">
        <v>363</v>
      </c>
      <c r="D65" s="27" t="s">
        <v>364</v>
      </c>
      <c r="E65" s="27" t="s">
        <v>365</v>
      </c>
      <c r="F65" s="19" t="s">
        <v>700</v>
      </c>
      <c r="G65" s="19" t="s">
        <v>691</v>
      </c>
      <c r="H65" s="27" t="s">
        <v>754</v>
      </c>
      <c r="I65" s="324" t="s">
        <v>701</v>
      </c>
      <c r="J65" s="52">
        <v>22316</v>
      </c>
      <c r="K65" s="52">
        <v>25439</v>
      </c>
      <c r="L65" s="52">
        <f t="shared" si="2"/>
        <v>5087.8</v>
      </c>
      <c r="M65" s="52">
        <f t="shared" si="3"/>
        <v>30526.799999999999</v>
      </c>
    </row>
    <row r="66" spans="1:13" ht="18.600000000000001">
      <c r="B66" s="313"/>
      <c r="C66" s="27" t="s">
        <v>298</v>
      </c>
      <c r="D66" s="27" t="s">
        <v>635</v>
      </c>
      <c r="E66" s="27" t="s">
        <v>636</v>
      </c>
      <c r="F66" s="19" t="s">
        <v>721</v>
      </c>
      <c r="G66" s="19" t="s">
        <v>691</v>
      </c>
      <c r="H66" s="27" t="s">
        <v>139</v>
      </c>
      <c r="I66" s="316" t="s">
        <v>884</v>
      </c>
      <c r="J66" s="52">
        <v>24495</v>
      </c>
      <c r="K66" s="52">
        <v>27608</v>
      </c>
      <c r="L66" s="52">
        <f t="shared" si="2"/>
        <v>5521.6</v>
      </c>
      <c r="M66" s="52">
        <f t="shared" si="3"/>
        <v>33129.599999999999</v>
      </c>
    </row>
    <row r="67" spans="1:13" ht="18.600000000000001" hidden="1">
      <c r="B67" s="313">
        <v>57</v>
      </c>
      <c r="C67" s="27" t="s">
        <v>75</v>
      </c>
      <c r="D67" s="27" t="s">
        <v>76</v>
      </c>
      <c r="E67" s="27" t="s">
        <v>77</v>
      </c>
      <c r="F67" s="19" t="s">
        <v>700</v>
      </c>
      <c r="G67" s="19" t="s">
        <v>66</v>
      </c>
      <c r="H67" s="27" t="s">
        <v>105</v>
      </c>
      <c r="I67" s="323" t="s">
        <v>886</v>
      </c>
      <c r="J67" s="52">
        <v>49835</v>
      </c>
      <c r="K67" s="52">
        <v>51357</v>
      </c>
      <c r="L67" s="52">
        <f t="shared" si="2"/>
        <v>10271.400000000001</v>
      </c>
      <c r="M67" s="52">
        <f t="shared" si="3"/>
        <v>61628.399999999994</v>
      </c>
    </row>
    <row r="68" spans="1:13" ht="15.6">
      <c r="A68" s="300"/>
      <c r="C68" s="302"/>
      <c r="D68" s="89"/>
      <c r="E68" s="89"/>
      <c r="F68" s="89"/>
      <c r="G68" s="89"/>
      <c r="H68" s="89"/>
      <c r="I68" s="303"/>
    </row>
    <row r="69" spans="1:13" ht="15.6">
      <c r="A69" s="300"/>
      <c r="C69" s="302"/>
      <c r="D69" s="89"/>
      <c r="E69" s="89"/>
      <c r="F69" s="89"/>
      <c r="G69" s="89"/>
      <c r="H69" s="89"/>
      <c r="I69" s="303"/>
    </row>
    <row r="70" spans="1:13" ht="15.6">
      <c r="A70" s="300"/>
      <c r="C70" s="302"/>
      <c r="D70" s="89"/>
      <c r="E70" s="89"/>
      <c r="F70" s="89"/>
      <c r="G70" s="89"/>
      <c r="H70" s="89"/>
      <c r="I70" s="303"/>
    </row>
    <row r="71" spans="1:13" ht="15.6">
      <c r="A71" s="300"/>
      <c r="C71" s="302"/>
      <c r="D71" s="89"/>
      <c r="E71" s="89"/>
      <c r="F71" s="89"/>
      <c r="G71" s="89"/>
      <c r="H71" s="89"/>
      <c r="I71" s="303"/>
    </row>
    <row r="72" spans="1:13" ht="15.6">
      <c r="A72" s="300"/>
      <c r="C72" s="302"/>
      <c r="D72" s="89"/>
      <c r="E72" s="89"/>
      <c r="F72" s="89"/>
      <c r="G72" s="89"/>
      <c r="H72" s="89"/>
      <c r="I72" s="303"/>
    </row>
    <row r="73" spans="1:13" ht="15.6">
      <c r="A73" s="300"/>
      <c r="C73" s="302"/>
      <c r="D73" s="89"/>
      <c r="E73" s="89"/>
      <c r="F73" s="89"/>
      <c r="G73" s="89"/>
      <c r="H73" s="89"/>
      <c r="I73" s="303"/>
    </row>
    <row r="74" spans="1:13" ht="15.6">
      <c r="A74" s="300"/>
      <c r="C74" s="302"/>
      <c r="D74" s="89"/>
      <c r="E74" s="89"/>
      <c r="F74" s="89"/>
      <c r="G74" s="89"/>
      <c r="H74" s="89"/>
      <c r="I74" s="303"/>
    </row>
    <row r="75" spans="1:13" ht="15.6">
      <c r="A75" s="300"/>
      <c r="C75" s="302"/>
      <c r="D75" s="89"/>
      <c r="E75" s="89"/>
      <c r="F75" s="89"/>
      <c r="G75" s="89"/>
      <c r="H75" s="89"/>
      <c r="I75" s="303"/>
    </row>
    <row r="76" spans="1:13" ht="15.6">
      <c r="A76" s="300"/>
      <c r="C76" s="302"/>
      <c r="D76" s="89"/>
      <c r="E76" s="89"/>
      <c r="F76" s="89"/>
      <c r="G76" s="89"/>
      <c r="H76" s="89"/>
      <c r="I76" s="303"/>
    </row>
    <row r="77" spans="1:13" ht="15.6">
      <c r="A77" s="300"/>
      <c r="C77" s="302"/>
      <c r="D77" s="89"/>
      <c r="E77" s="89"/>
      <c r="F77" s="89"/>
      <c r="G77" s="89"/>
      <c r="H77" s="89"/>
      <c r="I77" s="303"/>
    </row>
    <row r="78" spans="1:13" ht="15.6">
      <c r="A78" s="300"/>
      <c r="C78" s="302"/>
      <c r="D78" s="89"/>
      <c r="E78" s="89"/>
      <c r="F78" s="89"/>
      <c r="G78" s="89"/>
      <c r="H78" s="89"/>
      <c r="I78" s="303"/>
    </row>
    <row r="79" spans="1:13" ht="15.6">
      <c r="A79" s="300"/>
      <c r="C79" s="302"/>
      <c r="D79" s="89"/>
      <c r="E79" s="89"/>
      <c r="F79" s="89"/>
      <c r="G79" s="89"/>
      <c r="H79" s="89"/>
      <c r="I79" s="303"/>
    </row>
    <row r="80" spans="1:13" ht="15.6">
      <c r="A80" s="300"/>
      <c r="C80" s="302"/>
      <c r="D80" s="89"/>
      <c r="E80" s="89"/>
      <c r="F80" s="89"/>
      <c r="G80" s="89"/>
      <c r="H80" s="89"/>
      <c r="I80" s="303"/>
    </row>
    <row r="81" spans="1:9" ht="15.6">
      <c r="A81" s="300"/>
      <c r="C81" s="302"/>
      <c r="D81" s="89"/>
      <c r="E81" s="89"/>
      <c r="F81" s="89"/>
      <c r="G81" s="89"/>
      <c r="H81" s="89"/>
      <c r="I81" s="303"/>
    </row>
    <row r="82" spans="1:9" ht="15.6">
      <c r="A82" s="300"/>
      <c r="C82" s="302"/>
      <c r="D82" s="89"/>
      <c r="E82" s="89"/>
      <c r="F82" s="89"/>
      <c r="G82" s="89"/>
      <c r="H82" s="89"/>
      <c r="I82" s="303"/>
    </row>
    <row r="83" spans="1:9" ht="15.6">
      <c r="A83" s="300"/>
      <c r="C83" s="302"/>
      <c r="D83" s="89"/>
      <c r="E83" s="89"/>
      <c r="F83" s="89"/>
      <c r="G83" s="89"/>
      <c r="H83" s="89"/>
      <c r="I83" s="303"/>
    </row>
    <row r="84" spans="1:9" ht="15.6">
      <c r="A84" s="300"/>
      <c r="C84" s="302"/>
      <c r="D84" s="89"/>
      <c r="E84" s="89"/>
      <c r="F84" s="89"/>
      <c r="G84" s="89"/>
      <c r="H84" s="89"/>
      <c r="I84" s="303"/>
    </row>
    <row r="85" spans="1:9" ht="15.6">
      <c r="A85" s="300"/>
      <c r="C85" s="302"/>
      <c r="D85" s="89"/>
      <c r="E85" s="89"/>
      <c r="F85" s="89"/>
      <c r="G85" s="89"/>
      <c r="H85" s="89"/>
      <c r="I85" s="303"/>
    </row>
    <row r="86" spans="1:9" ht="15.6">
      <c r="A86" s="300"/>
      <c r="C86" s="302"/>
      <c r="D86" s="89"/>
      <c r="E86" s="89"/>
      <c r="F86" s="89"/>
      <c r="G86" s="89"/>
      <c r="H86" s="89"/>
      <c r="I86" s="303"/>
    </row>
    <row r="87" spans="1:9" ht="15.6">
      <c r="A87" s="300"/>
      <c r="C87" s="302"/>
      <c r="D87" s="89"/>
      <c r="E87" s="89"/>
      <c r="F87" s="89"/>
      <c r="G87" s="89"/>
      <c r="H87" s="89"/>
      <c r="I87" s="303"/>
    </row>
    <row r="88" spans="1:9" ht="15.6">
      <c r="A88" s="300"/>
      <c r="C88" s="302"/>
      <c r="D88" s="89"/>
      <c r="E88" s="89"/>
      <c r="F88" s="89"/>
      <c r="G88" s="89"/>
      <c r="H88" s="89"/>
      <c r="I88" s="303"/>
    </row>
    <row r="89" spans="1:9" ht="15.6">
      <c r="A89" s="300"/>
      <c r="C89" s="302"/>
      <c r="D89" s="89"/>
      <c r="E89" s="89"/>
      <c r="F89" s="89"/>
      <c r="G89" s="89"/>
      <c r="H89" s="89"/>
      <c r="I89" s="303"/>
    </row>
    <row r="90" spans="1:9" ht="15.6">
      <c r="A90" s="300"/>
      <c r="C90" s="302"/>
      <c r="D90" s="89"/>
      <c r="E90" s="89"/>
      <c r="F90" s="89"/>
      <c r="G90" s="89"/>
      <c r="H90" s="89"/>
      <c r="I90" s="303"/>
    </row>
    <row r="91" spans="1:9" ht="15.6">
      <c r="A91" s="300"/>
      <c r="C91" s="302"/>
      <c r="D91" s="89"/>
      <c r="E91" s="89"/>
      <c r="F91" s="89"/>
      <c r="G91" s="89"/>
      <c r="H91" s="89"/>
      <c r="I91" s="303"/>
    </row>
    <row r="92" spans="1:9" ht="15.6">
      <c r="A92" s="300"/>
      <c r="C92" s="302"/>
      <c r="D92" s="89"/>
      <c r="E92" s="89"/>
      <c r="F92" s="89"/>
      <c r="G92" s="89"/>
      <c r="H92" s="89"/>
      <c r="I92" s="303"/>
    </row>
    <row r="93" spans="1:9" ht="15.6">
      <c r="A93" s="300"/>
      <c r="C93" s="302"/>
      <c r="D93" s="89"/>
      <c r="E93" s="89"/>
      <c r="F93" s="89"/>
      <c r="G93" s="89"/>
      <c r="H93" s="89"/>
      <c r="I93" s="303"/>
    </row>
    <row r="94" spans="1:9" ht="15.6">
      <c r="A94" s="300"/>
      <c r="C94" s="302"/>
      <c r="D94" s="89"/>
      <c r="E94" s="89"/>
      <c r="F94" s="89"/>
      <c r="G94" s="89"/>
      <c r="H94" s="89"/>
      <c r="I94" s="303"/>
    </row>
    <row r="95" spans="1:9" ht="15.6">
      <c r="A95" s="300"/>
      <c r="C95" s="302"/>
      <c r="D95" s="89"/>
      <c r="E95" s="89"/>
      <c r="F95" s="89"/>
      <c r="G95" s="89"/>
      <c r="H95" s="89"/>
      <c r="I95" s="303"/>
    </row>
    <row r="96" spans="1:9" ht="15.6">
      <c r="A96" s="300"/>
      <c r="C96" s="302"/>
      <c r="D96" s="89"/>
      <c r="E96" s="89"/>
      <c r="F96" s="89"/>
      <c r="G96" s="89"/>
      <c r="H96" s="89"/>
      <c r="I96" s="303"/>
    </row>
    <row r="97" spans="1:9" ht="15.6">
      <c r="A97" s="300"/>
      <c r="C97" s="302"/>
      <c r="D97" s="89"/>
      <c r="E97" s="89"/>
      <c r="F97" s="89"/>
      <c r="G97" s="89"/>
      <c r="H97" s="89"/>
      <c r="I97" s="303"/>
    </row>
    <row r="98" spans="1:9" ht="15.6">
      <c r="A98" s="300"/>
      <c r="C98" s="302"/>
      <c r="D98" s="89"/>
      <c r="E98" s="89"/>
      <c r="F98" s="89"/>
      <c r="G98" s="89"/>
      <c r="H98" s="89"/>
      <c r="I98" s="303"/>
    </row>
    <row r="99" spans="1:9" ht="15.6">
      <c r="A99" s="300"/>
      <c r="C99" s="302"/>
      <c r="D99" s="89"/>
      <c r="E99" s="89"/>
      <c r="F99" s="89"/>
      <c r="G99" s="89"/>
      <c r="H99" s="89"/>
      <c r="I99" s="303"/>
    </row>
    <row r="100" spans="1:9" ht="15.6">
      <c r="A100" s="300"/>
      <c r="C100" s="302"/>
      <c r="D100" s="89"/>
      <c r="E100" s="89"/>
      <c r="F100" s="89"/>
      <c r="G100" s="89"/>
      <c r="H100" s="89"/>
      <c r="I100" s="303"/>
    </row>
    <row r="101" spans="1:9" ht="15.6">
      <c r="A101" s="300"/>
      <c r="C101" s="302"/>
      <c r="D101" s="89"/>
      <c r="E101" s="89"/>
      <c r="F101" s="89"/>
      <c r="G101" s="89"/>
      <c r="H101" s="89"/>
      <c r="I101" s="303"/>
    </row>
    <row r="102" spans="1:9" ht="15.6">
      <c r="A102" s="300"/>
      <c r="C102" s="302"/>
      <c r="D102" s="89"/>
      <c r="E102" s="89"/>
      <c r="F102" s="89"/>
      <c r="G102" s="89"/>
      <c r="H102" s="89"/>
      <c r="I102" s="303"/>
    </row>
    <row r="103" spans="1:9" ht="15.6">
      <c r="A103" s="300"/>
      <c r="C103" s="302"/>
      <c r="D103" s="89"/>
      <c r="E103" s="89"/>
      <c r="F103" s="89"/>
      <c r="G103" s="89"/>
      <c r="H103" s="89"/>
      <c r="I103" s="303"/>
    </row>
    <row r="104" spans="1:9" ht="15.6">
      <c r="A104" s="300"/>
      <c r="C104" s="302"/>
      <c r="D104" s="89"/>
      <c r="E104" s="89"/>
      <c r="F104" s="89"/>
      <c r="G104" s="89"/>
      <c r="H104" s="89"/>
      <c r="I104" s="303"/>
    </row>
    <row r="105" spans="1:9" ht="15.6">
      <c r="A105" s="300"/>
      <c r="C105" s="302"/>
      <c r="D105" s="89"/>
      <c r="E105" s="89"/>
      <c r="F105" s="89"/>
      <c r="G105" s="89"/>
      <c r="H105" s="89"/>
      <c r="I105" s="303"/>
    </row>
    <row r="106" spans="1:9" ht="15.6">
      <c r="A106" s="300"/>
      <c r="C106" s="302"/>
      <c r="D106" s="89"/>
      <c r="E106" s="89"/>
      <c r="F106" s="89"/>
      <c r="G106" s="89"/>
      <c r="H106" s="89"/>
      <c r="I106" s="303"/>
    </row>
    <row r="107" spans="1:9" ht="15.6">
      <c r="A107" s="300"/>
      <c r="C107" s="302"/>
      <c r="D107" s="89"/>
      <c r="E107" s="89"/>
      <c r="F107" s="89"/>
      <c r="G107" s="89"/>
      <c r="H107" s="89"/>
      <c r="I107" s="303"/>
    </row>
    <row r="108" spans="1:9" ht="15.6">
      <c r="A108" s="300"/>
      <c r="C108" s="302"/>
      <c r="D108" s="89"/>
      <c r="E108" s="89"/>
      <c r="F108" s="89"/>
      <c r="G108" s="89"/>
      <c r="H108" s="89"/>
      <c r="I108" s="303"/>
    </row>
    <row r="109" spans="1:9" ht="15.6">
      <c r="A109" s="300"/>
      <c r="C109" s="302"/>
      <c r="D109" s="89"/>
      <c r="E109" s="89"/>
      <c r="F109" s="89"/>
      <c r="G109" s="89"/>
      <c r="H109" s="89"/>
      <c r="I109" s="303"/>
    </row>
    <row r="110" spans="1:9" ht="15.6">
      <c r="A110" s="300"/>
      <c r="C110" s="302"/>
      <c r="D110" s="89"/>
      <c r="E110" s="89"/>
      <c r="F110" s="89"/>
      <c r="G110" s="89"/>
      <c r="H110" s="89"/>
      <c r="I110" s="303"/>
    </row>
    <row r="111" spans="1:9" ht="15.6">
      <c r="A111" s="300"/>
      <c r="C111" s="302"/>
      <c r="D111" s="89"/>
      <c r="E111" s="89"/>
      <c r="F111" s="89"/>
      <c r="G111" s="89"/>
      <c r="H111" s="89"/>
      <c r="I111" s="303"/>
    </row>
    <row r="112" spans="1:9" ht="15.6">
      <c r="A112" s="300"/>
      <c r="C112" s="302"/>
      <c r="D112" s="89"/>
      <c r="E112" s="89"/>
      <c r="F112" s="89"/>
      <c r="G112" s="89"/>
      <c r="H112" s="89"/>
      <c r="I112" s="303"/>
    </row>
    <row r="113" spans="1:9" ht="15.6">
      <c r="A113" s="300"/>
      <c r="C113" s="302"/>
      <c r="D113" s="89"/>
      <c r="E113" s="89"/>
      <c r="F113" s="89"/>
      <c r="G113" s="89"/>
      <c r="H113" s="89"/>
      <c r="I113" s="303"/>
    </row>
    <row r="114" spans="1:9" ht="15.6">
      <c r="A114" s="300"/>
      <c r="C114" s="302"/>
      <c r="D114" s="89"/>
      <c r="E114" s="89"/>
      <c r="F114" s="89"/>
      <c r="G114" s="89"/>
      <c r="H114" s="89"/>
      <c r="I114" s="303"/>
    </row>
    <row r="115" spans="1:9" ht="15.6">
      <c r="A115" s="300"/>
      <c r="C115" s="302"/>
      <c r="D115" s="89"/>
      <c r="E115" s="89"/>
      <c r="F115" s="89"/>
      <c r="G115" s="89"/>
      <c r="H115" s="89"/>
      <c r="I115" s="303"/>
    </row>
    <row r="116" spans="1:9" ht="15.6">
      <c r="A116" s="300"/>
      <c r="C116" s="302"/>
      <c r="D116" s="89"/>
      <c r="E116" s="89"/>
      <c r="F116" s="89"/>
      <c r="G116" s="89"/>
      <c r="H116" s="89"/>
      <c r="I116" s="303"/>
    </row>
    <row r="117" spans="1:9" ht="15.6">
      <c r="A117" s="300"/>
      <c r="C117" s="302"/>
      <c r="D117" s="89"/>
      <c r="E117" s="89"/>
      <c r="F117" s="89"/>
      <c r="G117" s="89"/>
      <c r="H117" s="89"/>
      <c r="I117" s="303"/>
    </row>
    <row r="118" spans="1:9" ht="15.6">
      <c r="A118" s="300"/>
      <c r="C118" s="302"/>
      <c r="D118" s="89"/>
      <c r="E118" s="89"/>
      <c r="F118" s="89"/>
      <c r="G118" s="89"/>
      <c r="H118" s="89"/>
      <c r="I118" s="303"/>
    </row>
    <row r="119" spans="1:9" ht="15.6">
      <c r="A119" s="300"/>
      <c r="C119" s="302"/>
      <c r="D119" s="89"/>
      <c r="E119" s="89"/>
      <c r="F119" s="89"/>
      <c r="G119" s="89"/>
      <c r="H119" s="89"/>
      <c r="I119" s="303"/>
    </row>
    <row r="120" spans="1:9" ht="15.6">
      <c r="A120" s="300"/>
      <c r="C120" s="302"/>
      <c r="D120" s="89"/>
      <c r="E120" s="89"/>
      <c r="F120" s="89"/>
      <c r="G120" s="89"/>
      <c r="H120" s="89"/>
      <c r="I120" s="303"/>
    </row>
    <row r="121" spans="1:9" ht="15.6">
      <c r="A121" s="300"/>
      <c r="C121" s="302"/>
      <c r="D121" s="89"/>
      <c r="E121" s="89"/>
      <c r="F121" s="89"/>
      <c r="G121" s="89"/>
      <c r="H121" s="89"/>
      <c r="I121" s="303"/>
    </row>
    <row r="122" spans="1:9" ht="15.6">
      <c r="A122" s="300"/>
      <c r="C122" s="302"/>
      <c r="D122" s="89"/>
      <c r="E122" s="89"/>
      <c r="F122" s="89"/>
      <c r="G122" s="89"/>
      <c r="H122" s="89"/>
      <c r="I122" s="303"/>
    </row>
    <row r="123" spans="1:9" ht="15.6">
      <c r="A123" s="300"/>
      <c r="C123" s="302"/>
      <c r="D123" s="89"/>
      <c r="E123" s="89"/>
      <c r="F123" s="89"/>
      <c r="G123" s="89"/>
      <c r="H123" s="89"/>
      <c r="I123" s="303"/>
    </row>
    <row r="124" spans="1:9" ht="15.6">
      <c r="A124" s="300"/>
      <c r="C124" s="302"/>
      <c r="D124" s="89"/>
      <c r="E124" s="89"/>
      <c r="F124" s="89"/>
      <c r="G124" s="89"/>
      <c r="H124" s="89"/>
      <c r="I124" s="303"/>
    </row>
    <row r="125" spans="1:9" ht="15.6">
      <c r="A125" s="300"/>
      <c r="C125" s="302"/>
      <c r="D125" s="89"/>
      <c r="E125" s="89"/>
      <c r="F125" s="89"/>
      <c r="G125" s="89"/>
      <c r="H125" s="89"/>
      <c r="I125" s="303"/>
    </row>
    <row r="126" spans="1:9" ht="15.6">
      <c r="A126" s="300"/>
      <c r="C126" s="302"/>
      <c r="D126" s="89"/>
      <c r="E126" s="89"/>
      <c r="F126" s="89"/>
      <c r="G126" s="89"/>
      <c r="H126" s="89"/>
      <c r="I126" s="303"/>
    </row>
    <row r="127" spans="1:9" ht="15.6">
      <c r="A127" s="300"/>
      <c r="C127" s="302"/>
      <c r="D127" s="89"/>
      <c r="E127" s="89"/>
      <c r="F127" s="89"/>
      <c r="G127" s="89"/>
      <c r="H127" s="89"/>
      <c r="I127" s="303"/>
    </row>
    <row r="128" spans="1:9" ht="15.6">
      <c r="A128" s="300"/>
      <c r="C128" s="302"/>
      <c r="D128" s="89"/>
      <c r="E128" s="89"/>
      <c r="F128" s="89"/>
      <c r="G128" s="89"/>
      <c r="H128" s="89"/>
      <c r="I128" s="303"/>
    </row>
    <row r="129" spans="1:9" ht="15.6">
      <c r="A129" s="300"/>
      <c r="C129" s="302"/>
      <c r="D129" s="89"/>
      <c r="E129" s="89"/>
      <c r="F129" s="89"/>
      <c r="G129" s="89"/>
      <c r="H129" s="89"/>
      <c r="I129" s="303"/>
    </row>
    <row r="130" spans="1:9" ht="15.6">
      <c r="A130" s="300"/>
      <c r="C130" s="302"/>
      <c r="D130" s="89"/>
      <c r="E130" s="89"/>
      <c r="F130" s="89"/>
      <c r="G130" s="89"/>
      <c r="H130" s="89"/>
      <c r="I130" s="303"/>
    </row>
    <row r="131" spans="1:9" ht="15.6">
      <c r="A131" s="300"/>
      <c r="C131" s="302"/>
      <c r="D131" s="89"/>
      <c r="E131" s="89"/>
      <c r="F131" s="89"/>
      <c r="G131" s="89"/>
      <c r="H131" s="89"/>
      <c r="I131" s="303"/>
    </row>
    <row r="132" spans="1:9" ht="15.6">
      <c r="A132" s="300"/>
      <c r="C132" s="302"/>
      <c r="D132" s="89"/>
      <c r="E132" s="89"/>
      <c r="F132" s="89"/>
      <c r="G132" s="89"/>
      <c r="H132" s="89"/>
      <c r="I132" s="303"/>
    </row>
    <row r="133" spans="1:9" ht="15.6">
      <c r="A133" s="300"/>
      <c r="C133" s="302"/>
      <c r="D133" s="89"/>
      <c r="E133" s="89"/>
      <c r="F133" s="89"/>
      <c r="G133" s="89"/>
      <c r="H133" s="89"/>
      <c r="I133" s="303"/>
    </row>
    <row r="134" spans="1:9" ht="15.6">
      <c r="A134" s="300"/>
      <c r="C134" s="302"/>
      <c r="D134" s="89"/>
      <c r="E134" s="89"/>
      <c r="F134" s="89"/>
      <c r="G134" s="89"/>
      <c r="H134" s="89"/>
      <c r="I134" s="303"/>
    </row>
    <row r="135" spans="1:9" ht="15.6">
      <c r="A135" s="300"/>
      <c r="C135" s="302"/>
      <c r="D135" s="89"/>
      <c r="E135" s="89"/>
      <c r="F135" s="89"/>
      <c r="G135" s="89"/>
      <c r="H135" s="89"/>
      <c r="I135" s="303"/>
    </row>
    <row r="136" spans="1:9" ht="15.6">
      <c r="A136" s="300"/>
      <c r="C136" s="302"/>
      <c r="D136" s="89"/>
      <c r="E136" s="89"/>
      <c r="F136" s="89"/>
      <c r="G136" s="89"/>
      <c r="H136" s="89"/>
      <c r="I136" s="303"/>
    </row>
    <row r="137" spans="1:9" ht="15.6">
      <c r="A137" s="300"/>
      <c r="C137" s="302"/>
      <c r="D137" s="89"/>
      <c r="E137" s="89"/>
      <c r="F137" s="89"/>
      <c r="G137" s="89"/>
      <c r="H137" s="89"/>
      <c r="I137" s="303"/>
    </row>
    <row r="138" spans="1:9" ht="15.6">
      <c r="A138" s="300"/>
      <c r="C138" s="302"/>
      <c r="D138" s="89"/>
      <c r="E138" s="89"/>
      <c r="F138" s="89"/>
      <c r="G138" s="89"/>
      <c r="H138" s="89"/>
      <c r="I138" s="303"/>
    </row>
    <row r="139" spans="1:9" ht="15.6">
      <c r="A139" s="300"/>
      <c r="C139" s="302"/>
      <c r="D139" s="89"/>
      <c r="E139" s="89"/>
      <c r="F139" s="89"/>
      <c r="G139" s="89"/>
      <c r="H139" s="89"/>
      <c r="I139" s="303"/>
    </row>
    <row r="140" spans="1:9" ht="15.6">
      <c r="A140" s="300"/>
      <c r="C140" s="302"/>
      <c r="D140" s="89"/>
      <c r="E140" s="89"/>
      <c r="F140" s="89"/>
      <c r="G140" s="89"/>
      <c r="H140" s="89"/>
      <c r="I140" s="303"/>
    </row>
    <row r="141" spans="1:9" ht="15.6">
      <c r="A141" s="300"/>
      <c r="C141" s="302"/>
      <c r="D141" s="89"/>
      <c r="E141" s="89"/>
      <c r="F141" s="89"/>
      <c r="G141" s="89"/>
      <c r="H141" s="89"/>
      <c r="I141" s="303"/>
    </row>
    <row r="142" spans="1:9" ht="15.6">
      <c r="A142" s="300"/>
      <c r="C142" s="302"/>
      <c r="D142" s="89"/>
      <c r="E142" s="89"/>
      <c r="F142" s="89"/>
      <c r="G142" s="89"/>
      <c r="H142" s="89"/>
      <c r="I142" s="303"/>
    </row>
    <row r="143" spans="1:9" ht="15.6">
      <c r="A143" s="300"/>
      <c r="C143" s="302"/>
      <c r="D143" s="89"/>
      <c r="E143" s="89"/>
      <c r="F143" s="89"/>
      <c r="G143" s="89"/>
      <c r="H143" s="89"/>
      <c r="I143" s="303"/>
    </row>
    <row r="144" spans="1:9" ht="15.6">
      <c r="A144" s="300"/>
      <c r="C144" s="302"/>
      <c r="D144" s="89"/>
      <c r="E144" s="89"/>
      <c r="F144" s="89"/>
      <c r="G144" s="89"/>
      <c r="H144" s="89"/>
      <c r="I144" s="303"/>
    </row>
    <row r="145" spans="1:9" ht="15.6">
      <c r="A145" s="300"/>
      <c r="C145" s="302"/>
      <c r="D145" s="89"/>
      <c r="E145" s="89"/>
      <c r="F145" s="89"/>
      <c r="G145" s="89"/>
      <c r="H145" s="89"/>
      <c r="I145" s="303"/>
    </row>
    <row r="146" spans="1:9" ht="15.6">
      <c r="A146" s="300"/>
      <c r="C146" s="302"/>
      <c r="D146" s="89"/>
      <c r="E146" s="89"/>
      <c r="F146" s="89"/>
      <c r="G146" s="89"/>
      <c r="H146" s="89"/>
      <c r="I146" s="303"/>
    </row>
    <row r="147" spans="1:9" ht="15.6">
      <c r="A147" s="300"/>
      <c r="C147" s="302"/>
      <c r="D147" s="89"/>
      <c r="E147" s="89"/>
      <c r="F147" s="89"/>
      <c r="G147" s="89"/>
      <c r="H147" s="89"/>
      <c r="I147" s="303"/>
    </row>
    <row r="148" spans="1:9" ht="15.6">
      <c r="A148" s="300"/>
      <c r="C148" s="302"/>
      <c r="D148" s="89"/>
      <c r="E148" s="89"/>
      <c r="F148" s="89"/>
      <c r="G148" s="89"/>
      <c r="H148" s="89"/>
      <c r="I148" s="303"/>
    </row>
    <row r="149" spans="1:9" ht="15.6">
      <c r="A149" s="300"/>
      <c r="C149" s="302"/>
      <c r="D149" s="89"/>
      <c r="E149" s="89"/>
      <c r="F149" s="89"/>
      <c r="G149" s="89"/>
      <c r="H149" s="89"/>
      <c r="I149" s="303"/>
    </row>
    <row r="150" spans="1:9" ht="15.6">
      <c r="A150" s="300"/>
      <c r="C150" s="302"/>
      <c r="D150" s="89"/>
      <c r="E150" s="89"/>
      <c r="F150" s="89"/>
      <c r="G150" s="89"/>
      <c r="H150" s="89"/>
      <c r="I150" s="303"/>
    </row>
    <row r="151" spans="1:9" ht="15.6">
      <c r="A151" s="300"/>
      <c r="C151" s="302"/>
      <c r="D151" s="89"/>
      <c r="E151" s="89"/>
      <c r="F151" s="89"/>
      <c r="G151" s="89"/>
      <c r="H151" s="89"/>
      <c r="I151" s="303"/>
    </row>
    <row r="152" spans="1:9" ht="15.6">
      <c r="A152" s="300"/>
      <c r="C152" s="302"/>
      <c r="D152" s="89"/>
      <c r="E152" s="89"/>
      <c r="F152" s="89"/>
      <c r="G152" s="89"/>
      <c r="H152" s="89"/>
      <c r="I152" s="303"/>
    </row>
    <row r="153" spans="1:9" ht="15.6">
      <c r="A153" s="300"/>
      <c r="C153" s="302"/>
      <c r="D153" s="89"/>
      <c r="E153" s="89"/>
      <c r="F153" s="89"/>
      <c r="G153" s="89"/>
      <c r="H153" s="89"/>
      <c r="I153" s="303"/>
    </row>
    <row r="154" spans="1:9" ht="15.6">
      <c r="A154" s="300"/>
      <c r="C154" s="302"/>
      <c r="D154" s="89"/>
      <c r="E154" s="89"/>
      <c r="F154" s="89"/>
      <c r="G154" s="89"/>
      <c r="H154" s="89"/>
      <c r="I154" s="303"/>
    </row>
    <row r="155" spans="1:9" ht="15.6">
      <c r="A155" s="300"/>
      <c r="C155" s="302"/>
      <c r="D155" s="89"/>
      <c r="E155" s="89"/>
      <c r="F155" s="89"/>
      <c r="G155" s="89"/>
      <c r="H155" s="89"/>
      <c r="I155" s="303"/>
    </row>
    <row r="156" spans="1:9" ht="15.6">
      <c r="A156" s="300"/>
      <c r="C156" s="302"/>
      <c r="D156" s="89"/>
      <c r="E156" s="89"/>
      <c r="F156" s="89"/>
      <c r="G156" s="89"/>
      <c r="H156" s="89"/>
      <c r="I156" s="303"/>
    </row>
    <row r="157" spans="1:9" ht="15.6">
      <c r="A157" s="300"/>
      <c r="C157" s="302"/>
      <c r="D157" s="89"/>
      <c r="E157" s="89"/>
      <c r="F157" s="89"/>
      <c r="G157" s="89"/>
      <c r="H157" s="89"/>
      <c r="I157" s="303"/>
    </row>
    <row r="158" spans="1:9" ht="15.6">
      <c r="A158" s="300"/>
      <c r="C158" s="302"/>
      <c r="D158" s="89"/>
      <c r="E158" s="89"/>
      <c r="F158" s="89"/>
      <c r="G158" s="89"/>
      <c r="H158" s="89"/>
      <c r="I158" s="303"/>
    </row>
    <row r="159" spans="1:9" ht="15.6">
      <c r="A159" s="300"/>
      <c r="C159" s="302"/>
      <c r="D159" s="89"/>
      <c r="E159" s="89"/>
      <c r="F159" s="89"/>
      <c r="G159" s="89"/>
      <c r="H159" s="89"/>
      <c r="I159" s="303"/>
    </row>
    <row r="160" spans="1:9" ht="15.6">
      <c r="A160" s="300"/>
      <c r="C160" s="302"/>
      <c r="D160" s="89"/>
      <c r="E160" s="89"/>
      <c r="F160" s="89"/>
      <c r="G160" s="89"/>
      <c r="H160" s="89"/>
      <c r="I160" s="303"/>
    </row>
    <row r="161" spans="1:9" ht="15.6">
      <c r="A161" s="300"/>
      <c r="C161" s="302"/>
      <c r="D161" s="89"/>
      <c r="E161" s="89"/>
      <c r="F161" s="89"/>
      <c r="G161" s="89"/>
      <c r="H161" s="89"/>
      <c r="I161" s="303"/>
    </row>
    <row r="162" spans="1:9" ht="15.6">
      <c r="A162" s="300"/>
      <c r="C162" s="302"/>
      <c r="D162" s="89"/>
      <c r="E162" s="89"/>
      <c r="F162" s="89"/>
      <c r="G162" s="89"/>
      <c r="H162" s="89"/>
      <c r="I162" s="303"/>
    </row>
    <row r="163" spans="1:9" ht="15.6">
      <c r="A163" s="300"/>
      <c r="C163" s="302"/>
      <c r="D163" s="89"/>
      <c r="E163" s="89"/>
      <c r="F163" s="89"/>
      <c r="G163" s="89"/>
      <c r="H163" s="89"/>
      <c r="I163" s="303"/>
    </row>
    <row r="164" spans="1:9" ht="15.6">
      <c r="A164" s="300"/>
      <c r="C164" s="302"/>
      <c r="D164" s="89"/>
      <c r="E164" s="89"/>
      <c r="F164" s="89"/>
      <c r="G164" s="89"/>
      <c r="H164" s="89"/>
      <c r="I164" s="303"/>
    </row>
    <row r="165" spans="1:9" ht="15.6">
      <c r="A165" s="300"/>
      <c r="C165" s="302"/>
      <c r="D165" s="89"/>
      <c r="E165" s="89"/>
      <c r="F165" s="89"/>
      <c r="G165" s="89"/>
      <c r="H165" s="89"/>
      <c r="I165" s="303"/>
    </row>
    <row r="166" spans="1:9" ht="15.6">
      <c r="A166" s="300"/>
      <c r="C166" s="302"/>
      <c r="D166" s="89"/>
      <c r="E166" s="89"/>
      <c r="F166" s="89"/>
      <c r="G166" s="89"/>
      <c r="H166" s="89"/>
      <c r="I166" s="303"/>
    </row>
    <row r="167" spans="1:9" ht="15.6">
      <c r="A167" s="300"/>
      <c r="C167" s="302"/>
      <c r="D167" s="89"/>
      <c r="E167" s="89"/>
      <c r="F167" s="89"/>
      <c r="G167" s="89"/>
      <c r="H167" s="89"/>
      <c r="I167" s="303"/>
    </row>
    <row r="168" spans="1:9" ht="15.6">
      <c r="A168" s="300"/>
      <c r="C168" s="302"/>
      <c r="D168" s="89"/>
      <c r="E168" s="89"/>
      <c r="F168" s="89"/>
      <c r="G168" s="89"/>
      <c r="H168" s="89"/>
      <c r="I168" s="303"/>
    </row>
    <row r="169" spans="1:9" ht="15.6">
      <c r="A169" s="300"/>
      <c r="C169" s="302"/>
      <c r="D169" s="89"/>
      <c r="E169" s="89"/>
      <c r="F169" s="89"/>
      <c r="G169" s="89"/>
      <c r="H169" s="89"/>
      <c r="I169" s="303"/>
    </row>
    <row r="170" spans="1:9" ht="15.6">
      <c r="A170" s="300"/>
      <c r="C170" s="302"/>
      <c r="D170" s="89"/>
      <c r="E170" s="89"/>
      <c r="F170" s="89"/>
      <c r="G170" s="89"/>
      <c r="H170" s="89"/>
      <c r="I170" s="303"/>
    </row>
    <row r="171" spans="1:9" ht="15.6">
      <c r="A171" s="300"/>
      <c r="C171" s="302"/>
      <c r="D171" s="89"/>
      <c r="E171" s="89"/>
      <c r="F171" s="89"/>
      <c r="G171" s="89"/>
      <c r="H171" s="89"/>
      <c r="I171" s="303"/>
    </row>
    <row r="172" spans="1:9" ht="15.6">
      <c r="A172" s="300"/>
      <c r="C172" s="302"/>
      <c r="D172" s="89"/>
      <c r="E172" s="89"/>
      <c r="F172" s="89"/>
      <c r="G172" s="89"/>
      <c r="H172" s="89"/>
      <c r="I172" s="303"/>
    </row>
    <row r="173" spans="1:9" ht="15.6">
      <c r="A173" s="300"/>
      <c r="C173" s="302"/>
      <c r="D173" s="89"/>
      <c r="E173" s="89"/>
      <c r="F173" s="89"/>
      <c r="G173" s="89"/>
      <c r="H173" s="89"/>
      <c r="I173" s="303"/>
    </row>
    <row r="174" spans="1:9" ht="15.6">
      <c r="A174" s="300"/>
      <c r="C174" s="302"/>
      <c r="D174" s="89"/>
      <c r="E174" s="89"/>
      <c r="F174" s="89"/>
      <c r="G174" s="89"/>
      <c r="H174" s="89"/>
      <c r="I174" s="303"/>
    </row>
    <row r="175" spans="1:9" ht="15.6">
      <c r="A175" s="300"/>
      <c r="C175" s="302"/>
      <c r="D175" s="89"/>
      <c r="E175" s="89"/>
      <c r="F175" s="89"/>
      <c r="G175" s="89"/>
      <c r="H175" s="89"/>
      <c r="I175" s="303"/>
    </row>
    <row r="176" spans="1:9" ht="15.6">
      <c r="A176" s="300"/>
      <c r="C176" s="302"/>
      <c r="D176" s="89"/>
      <c r="E176" s="89"/>
      <c r="F176" s="89"/>
      <c r="G176" s="89"/>
      <c r="H176" s="89"/>
      <c r="I176" s="303"/>
    </row>
    <row r="177" spans="1:9" ht="15.6">
      <c r="A177" s="300"/>
      <c r="C177" s="302"/>
      <c r="D177" s="89"/>
      <c r="E177" s="89"/>
      <c r="F177" s="89"/>
      <c r="G177" s="89"/>
      <c r="H177" s="89"/>
      <c r="I177" s="303"/>
    </row>
    <row r="178" spans="1:9" ht="15.6">
      <c r="A178" s="300"/>
      <c r="C178" s="302"/>
      <c r="D178" s="89"/>
      <c r="E178" s="89"/>
      <c r="F178" s="89"/>
      <c r="G178" s="89"/>
      <c r="H178" s="89"/>
      <c r="I178" s="303"/>
    </row>
    <row r="179" spans="1:9" ht="15.6">
      <c r="A179" s="300"/>
      <c r="C179" s="302"/>
      <c r="D179" s="89"/>
      <c r="E179" s="89"/>
      <c r="F179" s="89"/>
      <c r="G179" s="89"/>
      <c r="H179" s="89"/>
      <c r="I179" s="303"/>
    </row>
    <row r="180" spans="1:9" ht="15.6">
      <c r="A180" s="300"/>
      <c r="C180" s="302"/>
      <c r="D180" s="89"/>
      <c r="E180" s="89"/>
      <c r="F180" s="89"/>
      <c r="G180" s="89"/>
      <c r="H180" s="89"/>
      <c r="I180" s="303"/>
    </row>
    <row r="181" spans="1:9" ht="15.6">
      <c r="A181" s="300"/>
      <c r="C181" s="302"/>
      <c r="D181" s="89"/>
      <c r="E181" s="89"/>
      <c r="F181" s="89"/>
      <c r="G181" s="89"/>
      <c r="H181" s="89"/>
      <c r="I181" s="303"/>
    </row>
    <row r="182" spans="1:9" ht="15.6">
      <c r="A182" s="300"/>
      <c r="C182" s="302"/>
      <c r="D182" s="89"/>
      <c r="E182" s="89"/>
      <c r="F182" s="89"/>
      <c r="G182" s="89"/>
      <c r="H182" s="89"/>
      <c r="I182" s="303"/>
    </row>
    <row r="183" spans="1:9" ht="15.6">
      <c r="A183" s="300"/>
      <c r="C183" s="302"/>
      <c r="D183" s="89"/>
      <c r="E183" s="89"/>
      <c r="F183" s="89"/>
      <c r="G183" s="89"/>
      <c r="H183" s="89"/>
      <c r="I183" s="303"/>
    </row>
    <row r="184" spans="1:9" ht="15.6">
      <c r="A184" s="300"/>
      <c r="C184" s="302"/>
      <c r="D184" s="89"/>
      <c r="E184" s="89"/>
      <c r="F184" s="89"/>
      <c r="G184" s="89"/>
      <c r="H184" s="89"/>
      <c r="I184" s="303"/>
    </row>
    <row r="185" spans="1:9" ht="15.6">
      <c r="A185" s="300"/>
      <c r="C185" s="302"/>
      <c r="D185" s="89"/>
      <c r="E185" s="89"/>
      <c r="F185" s="89"/>
      <c r="G185" s="89"/>
      <c r="H185" s="89"/>
      <c r="I185" s="303"/>
    </row>
    <row r="186" spans="1:9" ht="15.6">
      <c r="A186" s="300"/>
      <c r="C186" s="302"/>
      <c r="D186" s="89"/>
      <c r="E186" s="89"/>
      <c r="F186" s="89"/>
      <c r="G186" s="89"/>
      <c r="H186" s="89"/>
      <c r="I186" s="303"/>
    </row>
    <row r="187" spans="1:9" ht="15.6">
      <c r="A187" s="300"/>
      <c r="C187" s="302"/>
      <c r="D187" s="89"/>
      <c r="E187" s="89"/>
      <c r="F187" s="89"/>
      <c r="G187" s="89"/>
      <c r="H187" s="89"/>
      <c r="I187" s="303"/>
    </row>
    <row r="188" spans="1:9" ht="15.6">
      <c r="A188" s="300"/>
      <c r="C188" s="302"/>
      <c r="D188" s="89"/>
      <c r="E188" s="89"/>
      <c r="F188" s="89"/>
      <c r="G188" s="89"/>
      <c r="H188" s="89"/>
      <c r="I188" s="303"/>
    </row>
    <row r="189" spans="1:9" ht="15.6">
      <c r="A189" s="300"/>
      <c r="C189" s="302"/>
      <c r="D189" s="89"/>
      <c r="E189" s="89"/>
      <c r="F189" s="89"/>
      <c r="G189" s="89"/>
      <c r="H189" s="89"/>
      <c r="I189" s="303"/>
    </row>
    <row r="190" spans="1:9" ht="15.6">
      <c r="A190" s="300"/>
      <c r="C190" s="302"/>
      <c r="D190" s="89"/>
      <c r="E190" s="89"/>
      <c r="F190" s="89"/>
      <c r="G190" s="89"/>
      <c r="H190" s="89"/>
      <c r="I190" s="303"/>
    </row>
    <row r="191" spans="1:9" ht="15.6">
      <c r="A191" s="300"/>
      <c r="C191" s="302"/>
      <c r="D191" s="89"/>
      <c r="E191" s="89"/>
      <c r="F191" s="89"/>
      <c r="G191" s="89"/>
      <c r="H191" s="89"/>
      <c r="I191" s="303"/>
    </row>
    <row r="192" spans="1:9" ht="15.6">
      <c r="A192" s="300"/>
      <c r="C192" s="302"/>
      <c r="D192" s="89"/>
      <c r="E192" s="89"/>
      <c r="F192" s="89"/>
      <c r="G192" s="89"/>
      <c r="H192" s="89"/>
      <c r="I192" s="303"/>
    </row>
    <row r="193" spans="1:9" ht="15.6">
      <c r="A193" s="300"/>
      <c r="C193" s="302"/>
      <c r="D193" s="89"/>
      <c r="E193" s="89"/>
      <c r="F193" s="89"/>
      <c r="G193" s="89"/>
      <c r="H193" s="89"/>
      <c r="I193" s="303"/>
    </row>
    <row r="194" spans="1:9" ht="15.6">
      <c r="A194" s="300"/>
      <c r="C194" s="302"/>
      <c r="D194" s="89"/>
      <c r="E194" s="89"/>
      <c r="F194" s="89"/>
      <c r="G194" s="89"/>
      <c r="H194" s="89"/>
      <c r="I194" s="303"/>
    </row>
    <row r="195" spans="1:9" ht="15.6">
      <c r="A195" s="300"/>
      <c r="C195" s="302"/>
      <c r="D195" s="89"/>
      <c r="E195" s="89"/>
      <c r="F195" s="89"/>
      <c r="G195" s="89"/>
      <c r="H195" s="89"/>
      <c r="I195" s="303"/>
    </row>
    <row r="196" spans="1:9" ht="15.6">
      <c r="A196" s="300"/>
      <c r="C196" s="302"/>
      <c r="D196" s="89"/>
      <c r="E196" s="89"/>
      <c r="F196" s="89"/>
      <c r="G196" s="89"/>
      <c r="H196" s="89"/>
      <c r="I196" s="303"/>
    </row>
    <row r="197" spans="1:9" ht="15.6">
      <c r="A197" s="300"/>
      <c r="C197" s="302"/>
      <c r="D197" s="89"/>
      <c r="E197" s="89"/>
      <c r="F197" s="89"/>
      <c r="G197" s="89"/>
      <c r="H197" s="89"/>
      <c r="I197" s="303"/>
    </row>
    <row r="198" spans="1:9" ht="15.6">
      <c r="A198" s="300"/>
      <c r="C198" s="302"/>
      <c r="D198" s="89"/>
      <c r="E198" s="89"/>
      <c r="F198" s="89"/>
      <c r="G198" s="89"/>
      <c r="H198" s="89"/>
      <c r="I198" s="303"/>
    </row>
    <row r="199" spans="1:9" ht="15.6">
      <c r="A199" s="300"/>
      <c r="C199" s="302"/>
      <c r="D199" s="89"/>
      <c r="E199" s="89"/>
      <c r="F199" s="89"/>
      <c r="G199" s="89"/>
      <c r="H199" s="89"/>
      <c r="I199" s="303"/>
    </row>
    <row r="200" spans="1:9" ht="15.6">
      <c r="A200" s="300"/>
      <c r="C200" s="302"/>
      <c r="D200" s="89"/>
      <c r="E200" s="89"/>
      <c r="F200" s="89"/>
      <c r="G200" s="89"/>
      <c r="H200" s="89"/>
      <c r="I200" s="303"/>
    </row>
    <row r="201" spans="1:9" ht="15.6">
      <c r="A201" s="300"/>
      <c r="C201" s="302"/>
      <c r="D201" s="89"/>
      <c r="E201" s="89"/>
      <c r="F201" s="89"/>
      <c r="G201" s="89"/>
      <c r="H201" s="89"/>
      <c r="I201" s="303"/>
    </row>
    <row r="202" spans="1:9" ht="15.6">
      <c r="A202" s="300"/>
      <c r="C202" s="302"/>
      <c r="D202" s="89"/>
      <c r="E202" s="89"/>
      <c r="F202" s="89"/>
      <c r="G202" s="89"/>
      <c r="H202" s="89"/>
      <c r="I202" s="303"/>
    </row>
    <row r="203" spans="1:9" ht="15.6">
      <c r="A203" s="300"/>
      <c r="C203" s="302"/>
      <c r="D203" s="89"/>
      <c r="E203" s="89"/>
      <c r="F203" s="89"/>
      <c r="G203" s="89"/>
      <c r="H203" s="89"/>
      <c r="I203" s="303"/>
    </row>
    <row r="204" spans="1:9" ht="15.6">
      <c r="A204" s="300"/>
      <c r="C204" s="302"/>
      <c r="D204" s="89"/>
      <c r="E204" s="89"/>
      <c r="F204" s="89"/>
      <c r="G204" s="89"/>
      <c r="H204" s="89"/>
      <c r="I204" s="303"/>
    </row>
    <row r="205" spans="1:9" ht="15.6">
      <c r="A205" s="300"/>
      <c r="C205" s="302"/>
      <c r="D205" s="89"/>
      <c r="E205" s="89"/>
      <c r="F205" s="89"/>
      <c r="G205" s="89"/>
      <c r="H205" s="89"/>
      <c r="I205" s="303"/>
    </row>
    <row r="206" spans="1:9" ht="15.6">
      <c r="A206" s="300"/>
      <c r="C206" s="302"/>
      <c r="D206" s="89"/>
      <c r="E206" s="89"/>
      <c r="F206" s="89"/>
      <c r="G206" s="89"/>
      <c r="H206" s="89"/>
      <c r="I206" s="303"/>
    </row>
    <row r="207" spans="1:9" ht="15.6">
      <c r="A207" s="300"/>
      <c r="C207" s="302"/>
      <c r="D207" s="89"/>
      <c r="E207" s="89"/>
      <c r="F207" s="89"/>
      <c r="G207" s="89"/>
      <c r="H207" s="89"/>
      <c r="I207" s="303"/>
    </row>
    <row r="208" spans="1:9" ht="15.6">
      <c r="A208" s="300"/>
      <c r="C208" s="302"/>
      <c r="D208" s="89"/>
      <c r="E208" s="89"/>
      <c r="F208" s="89"/>
      <c r="G208" s="89"/>
      <c r="H208" s="89"/>
      <c r="I208" s="303"/>
    </row>
    <row r="209" spans="1:9" ht="15.6">
      <c r="A209" s="300"/>
      <c r="C209" s="302"/>
      <c r="D209" s="89"/>
      <c r="E209" s="89"/>
      <c r="F209" s="89"/>
      <c r="G209" s="89"/>
      <c r="H209" s="89"/>
      <c r="I209" s="303"/>
    </row>
    <row r="210" spans="1:9" ht="15.6">
      <c r="A210" s="300"/>
      <c r="C210" s="302"/>
      <c r="D210" s="89"/>
      <c r="E210" s="89"/>
      <c r="F210" s="89"/>
      <c r="G210" s="89"/>
      <c r="H210" s="89"/>
      <c r="I210" s="303"/>
    </row>
    <row r="211" spans="1:9" ht="15.6">
      <c r="A211" s="300"/>
      <c r="C211" s="302"/>
      <c r="D211" s="89"/>
      <c r="E211" s="89"/>
      <c r="F211" s="89"/>
      <c r="G211" s="89"/>
      <c r="H211" s="89"/>
      <c r="I211" s="303"/>
    </row>
    <row r="212" spans="1:9" ht="15.6">
      <c r="A212" s="300"/>
      <c r="C212" s="302"/>
      <c r="D212" s="89"/>
      <c r="E212" s="89"/>
      <c r="F212" s="89"/>
      <c r="G212" s="89"/>
      <c r="H212" s="89"/>
      <c r="I212" s="303"/>
    </row>
    <row r="213" spans="1:9" ht="15.6">
      <c r="A213" s="300"/>
      <c r="C213" s="302"/>
      <c r="D213" s="89"/>
      <c r="E213" s="89"/>
      <c r="F213" s="89"/>
      <c r="G213" s="89"/>
      <c r="H213" s="89"/>
      <c r="I213" s="303"/>
    </row>
    <row r="214" spans="1:9" ht="15.6">
      <c r="A214" s="300"/>
      <c r="C214" s="302"/>
      <c r="D214" s="89"/>
      <c r="E214" s="89"/>
      <c r="F214" s="89"/>
      <c r="G214" s="89"/>
      <c r="H214" s="89"/>
      <c r="I214" s="303"/>
    </row>
    <row r="215" spans="1:9" ht="15.6">
      <c r="A215" s="300"/>
      <c r="C215" s="302"/>
      <c r="D215" s="89"/>
      <c r="E215" s="89"/>
      <c r="F215" s="89"/>
      <c r="G215" s="89"/>
      <c r="H215" s="89"/>
      <c r="I215" s="303"/>
    </row>
    <row r="216" spans="1:9" ht="15.6">
      <c r="A216" s="300"/>
      <c r="C216" s="302"/>
      <c r="D216" s="89"/>
      <c r="E216" s="89"/>
      <c r="F216" s="89"/>
      <c r="G216" s="89"/>
      <c r="H216" s="89"/>
      <c r="I216" s="303"/>
    </row>
    <row r="217" spans="1:9" ht="15.6">
      <c r="A217" s="300"/>
      <c r="C217" s="302"/>
      <c r="D217" s="89"/>
      <c r="E217" s="89"/>
      <c r="F217" s="89"/>
      <c r="G217" s="89"/>
      <c r="H217" s="89"/>
      <c r="I217" s="303"/>
    </row>
    <row r="218" spans="1:9" ht="15.6">
      <c r="A218" s="300"/>
      <c r="C218" s="302"/>
      <c r="D218" s="89"/>
      <c r="E218" s="89"/>
      <c r="F218" s="89"/>
      <c r="G218" s="89"/>
      <c r="H218" s="89"/>
      <c r="I218" s="303"/>
    </row>
    <row r="219" spans="1:9" ht="15.6">
      <c r="A219" s="300"/>
      <c r="C219" s="302"/>
      <c r="D219" s="89"/>
      <c r="E219" s="89"/>
      <c r="F219" s="89"/>
      <c r="G219" s="89"/>
      <c r="H219" s="89"/>
      <c r="I219" s="303"/>
    </row>
    <row r="220" spans="1:9" ht="15.6">
      <c r="A220" s="300"/>
      <c r="C220" s="302"/>
      <c r="D220" s="89"/>
      <c r="E220" s="89"/>
      <c r="F220" s="89"/>
      <c r="G220" s="89"/>
      <c r="H220" s="89"/>
      <c r="I220" s="303"/>
    </row>
    <row r="221" spans="1:9" ht="15.6">
      <c r="A221" s="300"/>
      <c r="C221" s="302"/>
      <c r="D221" s="89"/>
      <c r="E221" s="89"/>
      <c r="F221" s="89"/>
      <c r="G221" s="89"/>
      <c r="H221" s="89"/>
      <c r="I221" s="303"/>
    </row>
    <row r="222" spans="1:9" ht="15.6">
      <c r="A222" s="300"/>
      <c r="C222" s="302"/>
      <c r="D222" s="89"/>
      <c r="E222" s="89"/>
      <c r="F222" s="89"/>
      <c r="G222" s="89"/>
      <c r="H222" s="89"/>
      <c r="I222" s="303"/>
    </row>
    <row r="223" spans="1:9" ht="15.6">
      <c r="A223" s="300"/>
      <c r="C223" s="302"/>
      <c r="D223" s="89"/>
      <c r="E223" s="89"/>
      <c r="F223" s="89"/>
      <c r="G223" s="89"/>
      <c r="H223" s="89"/>
      <c r="I223" s="303"/>
    </row>
    <row r="224" spans="1:9" ht="15.6">
      <c r="A224" s="300"/>
      <c r="C224" s="302"/>
      <c r="D224" s="89"/>
      <c r="E224" s="89"/>
      <c r="F224" s="89"/>
      <c r="G224" s="89"/>
      <c r="H224" s="89"/>
      <c r="I224" s="303"/>
    </row>
    <row r="225" spans="1:9" ht="15.6">
      <c r="A225" s="300"/>
      <c r="C225" s="302"/>
      <c r="D225" s="89"/>
      <c r="E225" s="89"/>
      <c r="F225" s="89"/>
      <c r="G225" s="89"/>
      <c r="H225" s="89"/>
      <c r="I225" s="303"/>
    </row>
    <row r="226" spans="1:9" ht="15.6">
      <c r="A226" s="300"/>
      <c r="C226" s="302"/>
      <c r="D226" s="89"/>
      <c r="E226" s="89"/>
      <c r="F226" s="89"/>
      <c r="G226" s="89"/>
      <c r="H226" s="89"/>
      <c r="I226" s="303"/>
    </row>
    <row r="227" spans="1:9" ht="15.6">
      <c r="A227" s="300"/>
      <c r="C227" s="302"/>
      <c r="D227" s="89"/>
      <c r="E227" s="89"/>
      <c r="F227" s="89"/>
      <c r="G227" s="89"/>
      <c r="H227" s="89"/>
      <c r="I227" s="303"/>
    </row>
    <row r="228" spans="1:9" ht="15.6">
      <c r="A228" s="300"/>
      <c r="C228" s="302"/>
      <c r="D228" s="89"/>
      <c r="E228" s="89"/>
      <c r="F228" s="89"/>
      <c r="G228" s="89"/>
      <c r="H228" s="89"/>
      <c r="I228" s="303"/>
    </row>
    <row r="229" spans="1:9" ht="15.6">
      <c r="A229" s="300"/>
      <c r="C229" s="302"/>
      <c r="D229" s="89"/>
      <c r="E229" s="89"/>
      <c r="F229" s="89"/>
      <c r="G229" s="89"/>
      <c r="H229" s="89"/>
      <c r="I229" s="303"/>
    </row>
    <row r="230" spans="1:9" ht="15.6">
      <c r="A230" s="300"/>
      <c r="C230" s="302"/>
      <c r="D230" s="89"/>
      <c r="E230" s="89"/>
      <c r="F230" s="89"/>
      <c r="G230" s="89"/>
      <c r="H230" s="89"/>
      <c r="I230" s="303"/>
    </row>
    <row r="231" spans="1:9" ht="15.6">
      <c r="A231" s="300"/>
      <c r="C231" s="302"/>
      <c r="D231" s="89"/>
      <c r="E231" s="89"/>
      <c r="F231" s="89"/>
      <c r="G231" s="89"/>
      <c r="H231" s="89"/>
      <c r="I231" s="303"/>
    </row>
    <row r="232" spans="1:9" ht="15.6">
      <c r="A232" s="300"/>
      <c r="C232" s="302"/>
      <c r="D232" s="89"/>
      <c r="E232" s="89"/>
      <c r="F232" s="89"/>
      <c r="G232" s="89"/>
      <c r="H232" s="89"/>
      <c r="I232" s="303"/>
    </row>
    <row r="233" spans="1:9" ht="15.6">
      <c r="A233" s="300"/>
      <c r="C233" s="302"/>
      <c r="D233" s="89"/>
      <c r="E233" s="89"/>
      <c r="F233" s="89"/>
      <c r="G233" s="89"/>
      <c r="H233" s="89"/>
      <c r="I233" s="303"/>
    </row>
    <row r="234" spans="1:9" ht="15.6">
      <c r="A234" s="300"/>
      <c r="C234" s="302"/>
      <c r="D234" s="89"/>
      <c r="E234" s="89"/>
      <c r="F234" s="89"/>
      <c r="G234" s="89"/>
      <c r="H234" s="89"/>
      <c r="I234" s="303"/>
    </row>
    <row r="235" spans="1:9" ht="15.6">
      <c r="A235" s="300"/>
      <c r="C235" s="302"/>
      <c r="D235" s="89"/>
      <c r="E235" s="89"/>
      <c r="F235" s="89"/>
      <c r="G235" s="89"/>
      <c r="H235" s="89"/>
      <c r="I235" s="303"/>
    </row>
    <row r="236" spans="1:9" ht="15.6">
      <c r="A236" s="300"/>
      <c r="C236" s="302"/>
      <c r="D236" s="89"/>
      <c r="E236" s="89"/>
      <c r="F236" s="89"/>
      <c r="G236" s="89"/>
      <c r="H236" s="89"/>
      <c r="I236" s="303"/>
    </row>
    <row r="237" spans="1:9" ht="15.6">
      <c r="A237" s="300"/>
      <c r="C237" s="302"/>
      <c r="D237" s="89"/>
      <c r="E237" s="89"/>
      <c r="F237" s="89"/>
      <c r="G237" s="89"/>
      <c r="H237" s="89"/>
      <c r="I237" s="303"/>
    </row>
    <row r="238" spans="1:9" ht="15.6">
      <c r="A238" s="300"/>
      <c r="C238" s="302"/>
      <c r="D238" s="89"/>
      <c r="E238" s="89"/>
      <c r="F238" s="89"/>
      <c r="G238" s="89"/>
      <c r="H238" s="89"/>
      <c r="I238" s="303"/>
    </row>
    <row r="239" spans="1:9" ht="15.6">
      <c r="A239" s="300"/>
      <c r="C239" s="302"/>
      <c r="D239" s="89"/>
      <c r="E239" s="89"/>
      <c r="F239" s="89"/>
      <c r="G239" s="89"/>
      <c r="H239" s="89"/>
      <c r="I239" s="303"/>
    </row>
    <row r="240" spans="1:9" ht="15.6">
      <c r="A240" s="300"/>
      <c r="C240" s="302"/>
      <c r="D240" s="89"/>
      <c r="E240" s="89"/>
      <c r="F240" s="89"/>
      <c r="G240" s="89"/>
      <c r="H240" s="89"/>
      <c r="I240" s="303"/>
    </row>
    <row r="241" spans="1:9" ht="15.6">
      <c r="A241" s="300"/>
      <c r="C241" s="302"/>
      <c r="D241" s="89"/>
      <c r="E241" s="89"/>
      <c r="F241" s="89"/>
      <c r="G241" s="89"/>
      <c r="H241" s="89"/>
      <c r="I241" s="303"/>
    </row>
    <row r="242" spans="1:9" ht="15.6">
      <c r="A242" s="300"/>
      <c r="C242" s="302"/>
      <c r="D242" s="89"/>
      <c r="E242" s="89"/>
      <c r="F242" s="89"/>
      <c r="G242" s="89"/>
      <c r="H242" s="89"/>
      <c r="I242" s="303"/>
    </row>
    <row r="243" spans="1:9" ht="15.6">
      <c r="A243" s="300"/>
      <c r="C243" s="302"/>
      <c r="D243" s="89"/>
      <c r="E243" s="89"/>
      <c r="F243" s="89"/>
      <c r="G243" s="89"/>
      <c r="H243" s="89"/>
      <c r="I243" s="303"/>
    </row>
    <row r="244" spans="1:9" ht="15.6">
      <c r="A244" s="300"/>
      <c r="C244" s="302"/>
      <c r="D244" s="89"/>
      <c r="E244" s="89"/>
      <c r="F244" s="89"/>
      <c r="G244" s="89"/>
      <c r="H244" s="89"/>
      <c r="I244" s="303"/>
    </row>
    <row r="245" spans="1:9" ht="15.6">
      <c r="A245" s="300"/>
      <c r="C245" s="302"/>
      <c r="D245" s="89"/>
      <c r="E245" s="89"/>
      <c r="F245" s="89"/>
      <c r="G245" s="89"/>
      <c r="H245" s="89"/>
      <c r="I245" s="303"/>
    </row>
    <row r="246" spans="1:9" ht="15.6">
      <c r="A246" s="300"/>
      <c r="C246" s="302"/>
      <c r="D246" s="89"/>
      <c r="E246" s="89"/>
      <c r="F246" s="89"/>
      <c r="G246" s="89"/>
      <c r="H246" s="89"/>
      <c r="I246" s="303"/>
    </row>
    <row r="247" spans="1:9" ht="15.6">
      <c r="A247" s="300"/>
      <c r="C247" s="302"/>
      <c r="D247" s="89"/>
      <c r="E247" s="89"/>
      <c r="F247" s="89"/>
      <c r="G247" s="89"/>
      <c r="H247" s="89"/>
      <c r="I247" s="303"/>
    </row>
    <row r="248" spans="1:9" ht="15.6">
      <c r="A248" s="300"/>
      <c r="C248" s="302"/>
      <c r="D248" s="89"/>
      <c r="E248" s="89"/>
      <c r="F248" s="89"/>
      <c r="G248" s="89"/>
      <c r="H248" s="89"/>
      <c r="I248" s="303"/>
    </row>
    <row r="249" spans="1:9" ht="15.6">
      <c r="A249" s="300"/>
      <c r="C249" s="302"/>
      <c r="D249" s="89"/>
      <c r="E249" s="89"/>
      <c r="F249" s="89"/>
      <c r="G249" s="89"/>
      <c r="H249" s="89"/>
      <c r="I249" s="303"/>
    </row>
    <row r="250" spans="1:9" ht="15.6">
      <c r="A250" s="300"/>
      <c r="C250" s="302"/>
      <c r="D250" s="89"/>
      <c r="E250" s="89"/>
      <c r="F250" s="89"/>
      <c r="G250" s="89"/>
      <c r="H250" s="89"/>
      <c r="I250" s="303"/>
    </row>
    <row r="251" spans="1:9" ht="15.6">
      <c r="A251" s="300"/>
      <c r="C251" s="302"/>
      <c r="D251" s="89"/>
      <c r="E251" s="89"/>
      <c r="F251" s="89"/>
      <c r="G251" s="89"/>
      <c r="H251" s="89"/>
      <c r="I251" s="303"/>
    </row>
    <row r="252" spans="1:9" ht="15.6">
      <c r="A252" s="300"/>
      <c r="C252" s="302"/>
      <c r="D252" s="89"/>
      <c r="E252" s="89"/>
      <c r="F252" s="89"/>
      <c r="G252" s="89"/>
      <c r="H252" s="89"/>
      <c r="I252" s="303"/>
    </row>
    <row r="253" spans="1:9" ht="15.6">
      <c r="A253" s="300"/>
      <c r="C253" s="302"/>
      <c r="D253" s="89"/>
      <c r="E253" s="89"/>
      <c r="F253" s="89"/>
      <c r="G253" s="89"/>
      <c r="H253" s="89"/>
      <c r="I253" s="303"/>
    </row>
    <row r="254" spans="1:9" ht="15.6">
      <c r="A254" s="300"/>
      <c r="C254" s="302"/>
      <c r="D254" s="89"/>
      <c r="E254" s="89"/>
      <c r="F254" s="89"/>
      <c r="G254" s="89"/>
      <c r="H254" s="89"/>
      <c r="I254" s="303"/>
    </row>
    <row r="255" spans="1:9" ht="15.6">
      <c r="A255" s="300"/>
      <c r="C255" s="302"/>
      <c r="D255" s="89"/>
      <c r="E255" s="89"/>
      <c r="F255" s="89"/>
      <c r="G255" s="89"/>
      <c r="H255" s="89"/>
      <c r="I255" s="303"/>
    </row>
    <row r="256" spans="1:9" ht="15.6">
      <c r="A256" s="300"/>
      <c r="C256" s="302"/>
      <c r="D256" s="89"/>
      <c r="E256" s="89"/>
      <c r="F256" s="89"/>
      <c r="G256" s="89"/>
      <c r="H256" s="89"/>
      <c r="I256" s="303"/>
    </row>
    <row r="257" spans="1:9" ht="15.6">
      <c r="A257" s="300"/>
      <c r="C257" s="302"/>
      <c r="D257" s="89"/>
      <c r="E257" s="89"/>
      <c r="F257" s="89"/>
      <c r="G257" s="89"/>
      <c r="H257" s="89"/>
      <c r="I257" s="303"/>
    </row>
    <row r="258" spans="1:9" ht="15.6">
      <c r="A258" s="300"/>
      <c r="C258" s="302"/>
      <c r="D258" s="89"/>
      <c r="E258" s="89"/>
      <c r="F258" s="89"/>
      <c r="G258" s="89"/>
      <c r="H258" s="89"/>
      <c r="I258" s="303"/>
    </row>
    <row r="259" spans="1:9" ht="15.6">
      <c r="A259" s="300"/>
      <c r="C259" s="302"/>
      <c r="D259" s="89"/>
      <c r="E259" s="89"/>
      <c r="F259" s="89"/>
      <c r="G259" s="89"/>
      <c r="H259" s="89"/>
      <c r="I259" s="303"/>
    </row>
    <row r="260" spans="1:9" ht="15.6">
      <c r="A260" s="300"/>
      <c r="C260" s="302"/>
      <c r="D260" s="89"/>
      <c r="E260" s="89"/>
      <c r="F260" s="89"/>
      <c r="G260" s="89"/>
      <c r="H260" s="89"/>
      <c r="I260" s="303"/>
    </row>
    <row r="261" spans="1:9" ht="15.6">
      <c r="A261" s="300"/>
      <c r="C261" s="302"/>
      <c r="D261" s="89"/>
      <c r="E261" s="89"/>
      <c r="F261" s="89"/>
      <c r="G261" s="89"/>
      <c r="H261" s="89"/>
      <c r="I261" s="303"/>
    </row>
    <row r="262" spans="1:9" ht="15.6">
      <c r="A262" s="300"/>
      <c r="C262" s="302"/>
      <c r="D262" s="89"/>
      <c r="E262" s="89"/>
      <c r="F262" s="89"/>
      <c r="G262" s="89"/>
      <c r="H262" s="89"/>
      <c r="I262" s="303"/>
    </row>
    <row r="263" spans="1:9" ht="15.6">
      <c r="A263" s="300"/>
      <c r="C263" s="302"/>
      <c r="D263" s="89"/>
      <c r="E263" s="89"/>
      <c r="F263" s="89"/>
      <c r="G263" s="89"/>
      <c r="H263" s="89"/>
      <c r="I263" s="303"/>
    </row>
    <row r="264" spans="1:9" ht="15.6">
      <c r="A264" s="300"/>
      <c r="C264" s="302"/>
      <c r="D264" s="89"/>
      <c r="E264" s="89"/>
      <c r="F264" s="89"/>
      <c r="G264" s="89"/>
      <c r="H264" s="89"/>
      <c r="I264" s="303"/>
    </row>
    <row r="265" spans="1:9" ht="15.6">
      <c r="A265" s="300"/>
      <c r="C265" s="302"/>
      <c r="D265" s="89"/>
      <c r="E265" s="89"/>
      <c r="F265" s="89"/>
      <c r="G265" s="89"/>
      <c r="H265" s="89"/>
      <c r="I265" s="303"/>
    </row>
    <row r="266" spans="1:9" ht="15.6">
      <c r="A266" s="300"/>
      <c r="C266" s="302"/>
      <c r="D266" s="89"/>
      <c r="E266" s="89"/>
      <c r="F266" s="89"/>
      <c r="G266" s="89"/>
      <c r="H266" s="89"/>
      <c r="I266" s="303"/>
    </row>
    <row r="267" spans="1:9" ht="15.6">
      <c r="A267" s="300"/>
      <c r="C267" s="302"/>
      <c r="D267" s="89"/>
      <c r="E267" s="89"/>
      <c r="F267" s="89"/>
      <c r="G267" s="89"/>
      <c r="H267" s="89"/>
      <c r="I267" s="303"/>
    </row>
    <row r="268" spans="1:9" ht="15.6">
      <c r="A268" s="300"/>
      <c r="C268" s="302"/>
      <c r="D268" s="89"/>
      <c r="E268" s="89"/>
      <c r="F268" s="89"/>
      <c r="G268" s="89"/>
      <c r="H268" s="89"/>
      <c r="I268" s="303"/>
    </row>
    <row r="269" spans="1:9" ht="15.6">
      <c r="A269" s="300"/>
      <c r="C269" s="302"/>
      <c r="D269" s="89"/>
      <c r="E269" s="89"/>
      <c r="F269" s="89"/>
      <c r="G269" s="89"/>
      <c r="H269" s="89"/>
      <c r="I269" s="303"/>
    </row>
    <row r="270" spans="1:9" ht="15.6">
      <c r="A270" s="300"/>
      <c r="C270" s="302"/>
      <c r="D270" s="89"/>
      <c r="E270" s="89"/>
      <c r="F270" s="89"/>
      <c r="G270" s="89"/>
      <c r="H270" s="89"/>
      <c r="I270" s="303"/>
    </row>
    <row r="271" spans="1:9" ht="15.6">
      <c r="A271" s="300"/>
      <c r="C271" s="302"/>
      <c r="D271" s="89"/>
      <c r="E271" s="89"/>
      <c r="F271" s="89"/>
      <c r="G271" s="89"/>
      <c r="H271" s="89"/>
      <c r="I271" s="303"/>
    </row>
    <row r="272" spans="1:9" ht="15.6">
      <c r="A272" s="300"/>
      <c r="C272" s="302"/>
      <c r="D272" s="89"/>
      <c r="E272" s="89"/>
      <c r="F272" s="89"/>
      <c r="G272" s="89"/>
      <c r="H272" s="89"/>
      <c r="I272" s="303"/>
    </row>
    <row r="273" spans="1:9" ht="15.6">
      <c r="A273" s="300"/>
      <c r="C273" s="302"/>
      <c r="D273" s="89"/>
      <c r="E273" s="89"/>
      <c r="F273" s="89"/>
      <c r="G273" s="89"/>
      <c r="H273" s="89"/>
      <c r="I273" s="303"/>
    </row>
    <row r="274" spans="1:9" ht="15.6">
      <c r="A274" s="300"/>
      <c r="C274" s="302"/>
      <c r="D274" s="89"/>
      <c r="E274" s="89"/>
      <c r="F274" s="89"/>
      <c r="G274" s="89"/>
      <c r="H274" s="89"/>
      <c r="I274" s="303"/>
    </row>
    <row r="275" spans="1:9" ht="15.6">
      <c r="A275" s="300"/>
      <c r="C275" s="302"/>
      <c r="D275" s="89"/>
      <c r="E275" s="89"/>
      <c r="F275" s="89"/>
      <c r="G275" s="89"/>
      <c r="H275" s="89"/>
      <c r="I275" s="303"/>
    </row>
    <row r="276" spans="1:9" ht="15.6">
      <c r="A276" s="300"/>
      <c r="C276" s="302"/>
      <c r="D276" s="89"/>
      <c r="E276" s="89"/>
      <c r="F276" s="89"/>
      <c r="G276" s="89"/>
      <c r="H276" s="89"/>
      <c r="I276" s="303"/>
    </row>
    <row r="277" spans="1:9" ht="15.6">
      <c r="A277" s="300"/>
      <c r="C277" s="302"/>
      <c r="D277" s="89"/>
      <c r="E277" s="89"/>
      <c r="F277" s="89"/>
      <c r="G277" s="89"/>
      <c r="H277" s="89"/>
      <c r="I277" s="303"/>
    </row>
    <row r="278" spans="1:9" ht="15.6">
      <c r="A278" s="300"/>
      <c r="C278" s="302"/>
      <c r="D278" s="89"/>
      <c r="E278" s="89"/>
      <c r="F278" s="89"/>
      <c r="G278" s="89"/>
      <c r="H278" s="89"/>
      <c r="I278" s="303"/>
    </row>
    <row r="279" spans="1:9" ht="15.6">
      <c r="A279" s="300"/>
      <c r="C279" s="302"/>
      <c r="D279" s="89"/>
      <c r="E279" s="89"/>
      <c r="F279" s="89"/>
      <c r="G279" s="89"/>
      <c r="H279" s="89"/>
      <c r="I279" s="303"/>
    </row>
    <row r="280" spans="1:9" ht="15.6">
      <c r="A280" s="300"/>
      <c r="C280" s="302"/>
      <c r="D280" s="89"/>
      <c r="E280" s="89"/>
      <c r="F280" s="89"/>
      <c r="G280" s="89"/>
      <c r="H280" s="89"/>
      <c r="I280" s="303"/>
    </row>
    <row r="281" spans="1:9" ht="15.6">
      <c r="A281" s="300"/>
      <c r="C281" s="302"/>
      <c r="D281" s="89"/>
      <c r="E281" s="89"/>
      <c r="F281" s="89"/>
      <c r="G281" s="89"/>
      <c r="H281" s="89"/>
      <c r="I281" s="303"/>
    </row>
    <row r="282" spans="1:9" ht="15.6">
      <c r="A282" s="300"/>
      <c r="C282" s="302"/>
      <c r="D282" s="89"/>
      <c r="E282" s="89"/>
      <c r="F282" s="89"/>
      <c r="G282" s="89"/>
      <c r="H282" s="89"/>
      <c r="I282" s="303"/>
    </row>
    <row r="283" spans="1:9" ht="15.6">
      <c r="A283" s="300"/>
      <c r="C283" s="302"/>
      <c r="D283" s="89"/>
      <c r="E283" s="89"/>
      <c r="F283" s="89"/>
      <c r="G283" s="89"/>
      <c r="H283" s="89"/>
      <c r="I283" s="303"/>
    </row>
    <row r="284" spans="1:9" ht="15.6">
      <c r="A284" s="300"/>
      <c r="C284" s="302"/>
      <c r="D284" s="89"/>
      <c r="E284" s="89"/>
      <c r="F284" s="89"/>
      <c r="G284" s="89"/>
      <c r="H284" s="89"/>
      <c r="I284" s="303"/>
    </row>
    <row r="285" spans="1:9" ht="15.6">
      <c r="A285" s="300"/>
      <c r="C285" s="302"/>
      <c r="D285" s="89"/>
      <c r="E285" s="89"/>
      <c r="F285" s="89"/>
      <c r="G285" s="89"/>
      <c r="H285" s="89"/>
      <c r="I285" s="303"/>
    </row>
    <row r="286" spans="1:9" ht="15.6">
      <c r="A286" s="300"/>
      <c r="C286" s="302"/>
      <c r="D286" s="89"/>
      <c r="E286" s="89"/>
      <c r="F286" s="89"/>
      <c r="G286" s="89"/>
      <c r="H286" s="89"/>
      <c r="I286" s="303"/>
    </row>
    <row r="287" spans="1:9" ht="15.6">
      <c r="A287" s="300"/>
      <c r="C287" s="302"/>
      <c r="D287" s="89"/>
      <c r="E287" s="89"/>
      <c r="F287" s="89"/>
      <c r="G287" s="89"/>
      <c r="H287" s="89"/>
      <c r="I287" s="303"/>
    </row>
    <row r="288" spans="1:9" ht="15.6">
      <c r="A288" s="300"/>
      <c r="C288" s="302"/>
      <c r="D288" s="89"/>
      <c r="E288" s="89"/>
      <c r="F288" s="89"/>
      <c r="G288" s="89"/>
      <c r="H288" s="89"/>
      <c r="I288" s="303"/>
    </row>
    <row r="289" spans="1:9" ht="15.6">
      <c r="A289" s="300"/>
      <c r="C289" s="302"/>
      <c r="D289" s="89"/>
      <c r="E289" s="89"/>
      <c r="F289" s="89"/>
      <c r="G289" s="89"/>
      <c r="H289" s="89"/>
      <c r="I289" s="303"/>
    </row>
    <row r="290" spans="1:9" ht="15.6">
      <c r="A290" s="300"/>
      <c r="C290" s="302"/>
      <c r="D290" s="89"/>
      <c r="E290" s="89"/>
      <c r="F290" s="89"/>
      <c r="G290" s="89"/>
      <c r="H290" s="89"/>
      <c r="I290" s="303"/>
    </row>
    <row r="291" spans="1:9" ht="15.6">
      <c r="A291" s="300"/>
      <c r="C291" s="302"/>
      <c r="D291" s="89"/>
      <c r="E291" s="89"/>
      <c r="F291" s="89"/>
      <c r="G291" s="89"/>
      <c r="H291" s="89"/>
      <c r="I291" s="303"/>
    </row>
    <row r="292" spans="1:9" ht="15.6">
      <c r="A292" s="300"/>
      <c r="C292" s="302"/>
      <c r="D292" s="89"/>
      <c r="E292" s="89"/>
      <c r="F292" s="89"/>
      <c r="G292" s="89"/>
      <c r="H292" s="89"/>
      <c r="I292" s="303"/>
    </row>
    <row r="293" spans="1:9" ht="15.6">
      <c r="A293" s="300"/>
      <c r="C293" s="302"/>
      <c r="D293" s="89"/>
      <c r="E293" s="89"/>
      <c r="F293" s="89"/>
      <c r="G293" s="89"/>
      <c r="H293" s="89"/>
      <c r="I293" s="303"/>
    </row>
    <row r="294" spans="1:9" ht="15.6">
      <c r="A294" s="300"/>
      <c r="C294" s="302"/>
      <c r="D294" s="89"/>
      <c r="E294" s="89"/>
      <c r="F294" s="89"/>
      <c r="G294" s="89"/>
      <c r="H294" s="89"/>
      <c r="I294" s="303"/>
    </row>
    <row r="295" spans="1:9" ht="15.6">
      <c r="A295" s="300"/>
      <c r="C295" s="302"/>
      <c r="D295" s="89"/>
      <c r="E295" s="89"/>
      <c r="F295" s="89"/>
      <c r="G295" s="89"/>
      <c r="H295" s="89"/>
      <c r="I295" s="303"/>
    </row>
    <row r="296" spans="1:9" ht="15.6">
      <c r="A296" s="300"/>
      <c r="C296" s="302"/>
      <c r="D296" s="89"/>
      <c r="E296" s="89"/>
      <c r="F296" s="89"/>
      <c r="G296" s="89"/>
      <c r="H296" s="89"/>
      <c r="I296" s="303"/>
    </row>
    <row r="297" spans="1:9" ht="15.6">
      <c r="A297" s="300"/>
      <c r="C297" s="302"/>
      <c r="D297" s="89"/>
      <c r="E297" s="89"/>
      <c r="F297" s="89"/>
      <c r="G297" s="89"/>
      <c r="H297" s="89"/>
      <c r="I297" s="303"/>
    </row>
    <row r="298" spans="1:9" ht="15.6">
      <c r="A298" s="300"/>
      <c r="C298" s="302"/>
      <c r="D298" s="89"/>
      <c r="E298" s="89"/>
      <c r="F298" s="89"/>
      <c r="G298" s="89"/>
      <c r="H298" s="89"/>
      <c r="I298" s="303"/>
    </row>
    <row r="299" spans="1:9" ht="15.6">
      <c r="A299" s="300"/>
      <c r="C299" s="302"/>
      <c r="D299" s="89"/>
      <c r="E299" s="89"/>
      <c r="F299" s="89"/>
      <c r="G299" s="89"/>
      <c r="H299" s="89"/>
      <c r="I299" s="303"/>
    </row>
    <row r="300" spans="1:9" ht="15.6">
      <c r="A300" s="300"/>
      <c r="C300" s="302"/>
      <c r="D300" s="89"/>
      <c r="E300" s="89"/>
      <c r="F300" s="89"/>
      <c r="G300" s="89"/>
      <c r="H300" s="89"/>
      <c r="I300" s="303"/>
    </row>
    <row r="301" spans="1:9" ht="15.6">
      <c r="A301" s="300"/>
      <c r="C301" s="302"/>
      <c r="D301" s="89"/>
      <c r="E301" s="89"/>
      <c r="F301" s="89"/>
      <c r="G301" s="89"/>
      <c r="H301" s="89"/>
      <c r="I301" s="303"/>
    </row>
    <row r="302" spans="1:9" ht="15.6">
      <c r="A302" s="300"/>
      <c r="C302" s="302"/>
      <c r="D302" s="89"/>
      <c r="E302" s="89"/>
      <c r="F302" s="89"/>
      <c r="G302" s="89"/>
      <c r="H302" s="89"/>
      <c r="I302" s="303"/>
    </row>
    <row r="303" spans="1:9" ht="15.6">
      <c r="A303" s="300"/>
      <c r="C303" s="302"/>
      <c r="D303" s="89"/>
      <c r="E303" s="89"/>
      <c r="F303" s="89"/>
      <c r="G303" s="89"/>
      <c r="H303" s="89"/>
      <c r="I303" s="303"/>
    </row>
    <row r="304" spans="1:9" ht="15.6">
      <c r="A304" s="300"/>
      <c r="C304" s="302"/>
      <c r="D304" s="89"/>
      <c r="E304" s="89"/>
      <c r="F304" s="89"/>
      <c r="G304" s="89"/>
      <c r="H304" s="89"/>
      <c r="I304" s="303"/>
    </row>
    <row r="305" spans="1:9" ht="15.6">
      <c r="A305" s="300"/>
      <c r="C305" s="302"/>
      <c r="D305" s="89"/>
      <c r="E305" s="89"/>
      <c r="F305" s="89"/>
      <c r="G305" s="89"/>
      <c r="H305" s="89"/>
      <c r="I305" s="303"/>
    </row>
    <row r="306" spans="1:9" ht="15.6">
      <c r="A306" s="300"/>
      <c r="C306" s="302"/>
      <c r="D306" s="89"/>
      <c r="E306" s="89"/>
      <c r="F306" s="89"/>
      <c r="G306" s="89"/>
      <c r="H306" s="89"/>
      <c r="I306" s="303"/>
    </row>
    <row r="307" spans="1:9" ht="15.6">
      <c r="A307" s="300"/>
      <c r="C307" s="302"/>
      <c r="D307" s="89"/>
      <c r="E307" s="89"/>
      <c r="F307" s="89"/>
      <c r="G307" s="89"/>
      <c r="H307" s="89"/>
      <c r="I307" s="303"/>
    </row>
    <row r="308" spans="1:9" ht="15.6">
      <c r="A308" s="300"/>
      <c r="C308" s="302"/>
      <c r="D308" s="89"/>
      <c r="E308" s="89"/>
      <c r="F308" s="89"/>
      <c r="G308" s="89"/>
      <c r="H308" s="89"/>
      <c r="I308" s="303"/>
    </row>
    <row r="309" spans="1:9" ht="15.6">
      <c r="A309" s="300"/>
      <c r="C309" s="302"/>
      <c r="D309" s="89"/>
      <c r="E309" s="89"/>
      <c r="F309" s="89"/>
      <c r="G309" s="89"/>
      <c r="H309" s="89"/>
      <c r="I309" s="303"/>
    </row>
    <row r="310" spans="1:9" ht="15.6">
      <c r="A310" s="300"/>
      <c r="C310" s="302"/>
      <c r="D310" s="89"/>
      <c r="E310" s="89"/>
      <c r="F310" s="89"/>
      <c r="G310" s="89"/>
      <c r="H310" s="89"/>
      <c r="I310" s="303"/>
    </row>
    <row r="311" spans="1:9" ht="15.6">
      <c r="A311" s="300"/>
      <c r="C311" s="302"/>
      <c r="D311" s="89"/>
      <c r="E311" s="89"/>
      <c r="F311" s="89"/>
      <c r="G311" s="89"/>
      <c r="H311" s="89"/>
      <c r="I311" s="303"/>
    </row>
    <row r="312" spans="1:9" ht="15.6">
      <c r="A312" s="300"/>
      <c r="C312" s="302"/>
      <c r="D312" s="89"/>
      <c r="E312" s="89"/>
      <c r="F312" s="89"/>
      <c r="G312" s="89"/>
      <c r="H312" s="89"/>
      <c r="I312" s="303"/>
    </row>
    <row r="313" spans="1:9" ht="15.6">
      <c r="A313" s="300"/>
      <c r="C313" s="302"/>
      <c r="D313" s="89"/>
      <c r="E313" s="89"/>
      <c r="F313" s="89"/>
      <c r="G313" s="89"/>
      <c r="H313" s="89"/>
      <c r="I313" s="303"/>
    </row>
    <row r="314" spans="1:9" ht="15.6">
      <c r="A314" s="300"/>
      <c r="C314" s="302"/>
      <c r="D314" s="89"/>
      <c r="E314" s="89"/>
      <c r="F314" s="89"/>
      <c r="G314" s="89"/>
      <c r="H314" s="89"/>
      <c r="I314" s="303"/>
    </row>
    <row r="315" spans="1:9" ht="15.6">
      <c r="A315" s="300"/>
      <c r="C315" s="302"/>
      <c r="D315" s="89"/>
      <c r="E315" s="89"/>
      <c r="F315" s="89"/>
      <c r="G315" s="89"/>
      <c r="H315" s="89"/>
      <c r="I315" s="303"/>
    </row>
    <row r="316" spans="1:9" ht="15.6">
      <c r="A316" s="300"/>
      <c r="C316" s="302"/>
      <c r="D316" s="89"/>
      <c r="E316" s="89"/>
      <c r="F316" s="89"/>
      <c r="G316" s="89"/>
      <c r="H316" s="89"/>
      <c r="I316" s="303"/>
    </row>
    <row r="317" spans="1:9" ht="15.6">
      <c r="A317" s="300"/>
      <c r="C317" s="302"/>
      <c r="D317" s="89"/>
      <c r="E317" s="89"/>
      <c r="F317" s="89"/>
      <c r="G317" s="89"/>
      <c r="H317" s="89"/>
      <c r="I317" s="303"/>
    </row>
    <row r="318" spans="1:9" ht="15.6">
      <c r="A318" s="300"/>
      <c r="C318" s="302"/>
      <c r="D318" s="89"/>
      <c r="E318" s="89"/>
      <c r="F318" s="89"/>
      <c r="G318" s="89"/>
      <c r="H318" s="89"/>
      <c r="I318" s="303"/>
    </row>
    <row r="319" spans="1:9" ht="15.6">
      <c r="A319" s="300"/>
      <c r="C319" s="302"/>
      <c r="D319" s="89"/>
      <c r="E319" s="89"/>
      <c r="F319" s="89"/>
      <c r="G319" s="89"/>
      <c r="H319" s="89"/>
      <c r="I319" s="303"/>
    </row>
    <row r="320" spans="1:9" ht="15.6">
      <c r="A320" s="300"/>
      <c r="C320" s="302"/>
      <c r="D320" s="89"/>
      <c r="E320" s="89"/>
      <c r="F320" s="89"/>
      <c r="G320" s="89"/>
      <c r="H320" s="89"/>
      <c r="I320" s="303"/>
    </row>
    <row r="321" spans="1:9" ht="15.6">
      <c r="A321" s="300"/>
      <c r="C321" s="302"/>
      <c r="D321" s="89"/>
      <c r="E321" s="89"/>
      <c r="F321" s="89"/>
      <c r="G321" s="89"/>
      <c r="H321" s="89"/>
      <c r="I321" s="303"/>
    </row>
    <row r="322" spans="1:9" ht="15.6">
      <c r="A322" s="300"/>
      <c r="C322" s="302"/>
      <c r="D322" s="89"/>
      <c r="E322" s="89"/>
      <c r="F322" s="89"/>
      <c r="G322" s="89"/>
      <c r="H322" s="89"/>
      <c r="I322" s="303"/>
    </row>
    <row r="323" spans="1:9" ht="15.6">
      <c r="A323" s="300"/>
      <c r="C323" s="302"/>
      <c r="D323" s="89"/>
      <c r="E323" s="89"/>
      <c r="F323" s="89"/>
      <c r="G323" s="89"/>
      <c r="H323" s="89"/>
      <c r="I323" s="303"/>
    </row>
    <row r="324" spans="1:9" ht="15.6">
      <c r="A324" s="300"/>
      <c r="C324" s="302"/>
      <c r="D324" s="89"/>
      <c r="E324" s="89"/>
      <c r="F324" s="89"/>
      <c r="G324" s="89"/>
      <c r="H324" s="89"/>
      <c r="I324" s="303"/>
    </row>
    <row r="325" spans="1:9" ht="15.6">
      <c r="A325" s="300"/>
      <c r="C325" s="302"/>
      <c r="D325" s="89"/>
      <c r="E325" s="89"/>
      <c r="F325" s="89"/>
      <c r="G325" s="89"/>
      <c r="H325" s="89"/>
      <c r="I325" s="303"/>
    </row>
    <row r="326" spans="1:9" ht="15.6">
      <c r="A326" s="300"/>
      <c r="C326" s="302"/>
      <c r="D326" s="89"/>
      <c r="E326" s="89"/>
      <c r="F326" s="89"/>
      <c r="G326" s="89"/>
      <c r="H326" s="89"/>
      <c r="I326" s="303"/>
    </row>
    <row r="327" spans="1:9" ht="15.6">
      <c r="A327" s="300"/>
      <c r="C327" s="302"/>
      <c r="D327" s="89"/>
      <c r="E327" s="89"/>
      <c r="F327" s="89"/>
      <c r="G327" s="89"/>
      <c r="H327" s="89"/>
      <c r="I327" s="303"/>
    </row>
    <row r="328" spans="1:9" ht="15.6">
      <c r="A328" s="300"/>
      <c r="C328" s="302"/>
      <c r="D328" s="89"/>
      <c r="E328" s="89"/>
      <c r="F328" s="89"/>
      <c r="G328" s="89"/>
      <c r="H328" s="89"/>
      <c r="I328" s="303"/>
    </row>
    <row r="329" spans="1:9" ht="15.6">
      <c r="A329" s="300"/>
      <c r="C329" s="302"/>
      <c r="D329" s="89"/>
      <c r="E329" s="89"/>
      <c r="F329" s="89"/>
      <c r="G329" s="89"/>
      <c r="H329" s="89"/>
      <c r="I329" s="303"/>
    </row>
    <row r="330" spans="1:9" ht="15.6">
      <c r="A330" s="300"/>
      <c r="C330" s="302"/>
      <c r="D330" s="89"/>
      <c r="E330" s="89"/>
      <c r="F330" s="89"/>
      <c r="G330" s="89"/>
      <c r="H330" s="89"/>
      <c r="I330" s="303"/>
    </row>
    <row r="331" spans="1:9" ht="15.6">
      <c r="A331" s="300"/>
      <c r="C331" s="302"/>
      <c r="D331" s="89"/>
      <c r="E331" s="89"/>
      <c r="F331" s="89"/>
      <c r="G331" s="89"/>
      <c r="H331" s="89"/>
      <c r="I331" s="303"/>
    </row>
    <row r="332" spans="1:9" ht="15.6">
      <c r="A332" s="300"/>
      <c r="C332" s="302"/>
      <c r="D332" s="89"/>
      <c r="E332" s="89"/>
      <c r="F332" s="89"/>
      <c r="G332" s="89"/>
      <c r="H332" s="89"/>
      <c r="I332" s="303"/>
    </row>
    <row r="333" spans="1:9" ht="15.6">
      <c r="A333" s="300"/>
      <c r="C333" s="302"/>
      <c r="D333" s="89"/>
      <c r="E333" s="89"/>
      <c r="F333" s="89"/>
      <c r="G333" s="89"/>
      <c r="H333" s="89"/>
      <c r="I333" s="303"/>
    </row>
    <row r="334" spans="1:9" ht="15.6">
      <c r="A334" s="300"/>
      <c r="C334" s="302"/>
      <c r="D334" s="89"/>
      <c r="E334" s="89"/>
      <c r="F334" s="89"/>
      <c r="G334" s="89"/>
      <c r="H334" s="89"/>
      <c r="I334" s="303"/>
    </row>
    <row r="335" spans="1:9" ht="15.6">
      <c r="A335" s="300"/>
      <c r="C335" s="302"/>
      <c r="D335" s="89"/>
      <c r="E335" s="89"/>
      <c r="F335" s="89"/>
      <c r="G335" s="89"/>
      <c r="H335" s="89"/>
      <c r="I335" s="303"/>
    </row>
    <row r="336" spans="1:9" ht="15.6">
      <c r="A336" s="300"/>
      <c r="C336" s="302"/>
      <c r="D336" s="89"/>
      <c r="E336" s="89"/>
      <c r="F336" s="89"/>
      <c r="G336" s="89"/>
      <c r="H336" s="89"/>
      <c r="I336" s="303"/>
    </row>
    <row r="337" spans="1:9" ht="15.6">
      <c r="A337" s="300"/>
      <c r="C337" s="302"/>
      <c r="D337" s="89"/>
      <c r="E337" s="89"/>
      <c r="F337" s="89"/>
      <c r="G337" s="89"/>
      <c r="H337" s="89"/>
      <c r="I337" s="303"/>
    </row>
    <row r="338" spans="1:9" ht="15.6">
      <c r="A338" s="300"/>
      <c r="C338" s="302"/>
      <c r="D338" s="89"/>
      <c r="E338" s="89"/>
      <c r="F338" s="89"/>
      <c r="G338" s="89"/>
      <c r="H338" s="89"/>
      <c r="I338" s="303"/>
    </row>
    <row r="339" spans="1:9" ht="15.6">
      <c r="A339" s="300"/>
      <c r="C339" s="302"/>
      <c r="D339" s="89"/>
      <c r="E339" s="89"/>
      <c r="F339" s="89"/>
      <c r="G339" s="89"/>
      <c r="H339" s="89"/>
      <c r="I339" s="303"/>
    </row>
    <row r="340" spans="1:9" ht="15.6">
      <c r="A340" s="300"/>
      <c r="C340" s="302"/>
      <c r="D340" s="89"/>
      <c r="E340" s="89"/>
      <c r="F340" s="89"/>
      <c r="G340" s="89"/>
      <c r="H340" s="89"/>
      <c r="I340" s="303"/>
    </row>
    <row r="341" spans="1:9" ht="15.6">
      <c r="A341" s="300"/>
      <c r="C341" s="302"/>
      <c r="D341" s="89"/>
      <c r="E341" s="89"/>
      <c r="F341" s="89"/>
      <c r="G341" s="89"/>
      <c r="H341" s="89"/>
      <c r="I341" s="303"/>
    </row>
    <row r="342" spans="1:9" ht="15.6">
      <c r="A342" s="300"/>
      <c r="C342" s="302"/>
      <c r="D342" s="89"/>
      <c r="E342" s="89"/>
      <c r="F342" s="89"/>
      <c r="G342" s="89"/>
      <c r="H342" s="89"/>
      <c r="I342" s="303"/>
    </row>
    <row r="343" spans="1:9" ht="15.6">
      <c r="A343" s="300"/>
      <c r="C343" s="302"/>
      <c r="D343" s="89"/>
      <c r="E343" s="89"/>
      <c r="F343" s="89"/>
      <c r="G343" s="89"/>
      <c r="H343" s="89"/>
      <c r="I343" s="303"/>
    </row>
    <row r="344" spans="1:9" ht="15.6">
      <c r="A344" s="300"/>
      <c r="C344" s="302"/>
      <c r="D344" s="89"/>
      <c r="E344" s="89"/>
      <c r="F344" s="89"/>
      <c r="G344" s="89"/>
      <c r="H344" s="89"/>
      <c r="I344" s="303"/>
    </row>
    <row r="345" spans="1:9" ht="15.6">
      <c r="A345" s="300"/>
      <c r="C345" s="302"/>
      <c r="D345" s="89"/>
      <c r="E345" s="89"/>
      <c r="F345" s="89"/>
      <c r="G345" s="89"/>
      <c r="H345" s="89"/>
      <c r="I345" s="303"/>
    </row>
    <row r="346" spans="1:9" ht="15.6">
      <c r="A346" s="300"/>
      <c r="C346" s="302"/>
      <c r="D346" s="89"/>
      <c r="E346" s="89"/>
      <c r="F346" s="89"/>
      <c r="G346" s="89"/>
      <c r="H346" s="89"/>
      <c r="I346" s="303"/>
    </row>
    <row r="347" spans="1:9" ht="15.6">
      <c r="A347" s="300"/>
      <c r="C347" s="302"/>
      <c r="D347" s="89"/>
      <c r="E347" s="89"/>
      <c r="F347" s="89"/>
      <c r="G347" s="89"/>
      <c r="H347" s="89"/>
      <c r="I347" s="303"/>
    </row>
    <row r="348" spans="1:9" ht="15.6">
      <c r="A348" s="300"/>
      <c r="C348" s="302"/>
      <c r="D348" s="89"/>
      <c r="E348" s="89"/>
      <c r="F348" s="89"/>
      <c r="G348" s="89"/>
      <c r="H348" s="89"/>
      <c r="I348" s="303"/>
    </row>
    <row r="349" spans="1:9" ht="15.6">
      <c r="A349" s="300"/>
      <c r="C349" s="302"/>
      <c r="D349" s="89"/>
      <c r="E349" s="89"/>
      <c r="F349" s="89"/>
      <c r="G349" s="89"/>
      <c r="H349" s="89"/>
      <c r="I349" s="303"/>
    </row>
    <row r="350" spans="1:9" ht="15.6">
      <c r="A350" s="300"/>
      <c r="C350" s="302"/>
      <c r="D350" s="89"/>
      <c r="E350" s="89"/>
      <c r="F350" s="89"/>
      <c r="G350" s="89"/>
      <c r="H350" s="89"/>
      <c r="I350" s="303"/>
    </row>
    <row r="351" spans="1:9" ht="15.6">
      <c r="A351" s="300"/>
      <c r="C351" s="302"/>
      <c r="D351" s="89"/>
      <c r="E351" s="89"/>
      <c r="F351" s="89"/>
      <c r="G351" s="89"/>
      <c r="H351" s="89"/>
      <c r="I351" s="303"/>
    </row>
    <row r="352" spans="1:9" ht="15.6">
      <c r="A352" s="300"/>
      <c r="C352" s="302"/>
      <c r="D352" s="89"/>
      <c r="E352" s="89"/>
      <c r="F352" s="89"/>
      <c r="G352" s="89"/>
      <c r="H352" s="89"/>
      <c r="I352" s="303"/>
    </row>
    <row r="353" spans="1:9" ht="15.6">
      <c r="A353" s="300"/>
      <c r="C353" s="302"/>
      <c r="D353" s="89"/>
      <c r="E353" s="89"/>
      <c r="F353" s="89"/>
      <c r="G353" s="89"/>
      <c r="H353" s="89"/>
      <c r="I353" s="303"/>
    </row>
    <row r="354" spans="1:9" ht="15.6">
      <c r="A354" s="300"/>
      <c r="C354" s="302"/>
      <c r="D354" s="89"/>
      <c r="E354" s="89"/>
      <c r="F354" s="89"/>
      <c r="G354" s="89"/>
      <c r="H354" s="89"/>
      <c r="I354" s="303"/>
    </row>
    <row r="355" spans="1:9" ht="15.6">
      <c r="A355" s="300"/>
      <c r="C355" s="302"/>
      <c r="D355" s="89"/>
      <c r="E355" s="89"/>
      <c r="F355" s="89"/>
      <c r="G355" s="89"/>
      <c r="H355" s="89"/>
      <c r="I355" s="303"/>
    </row>
    <row r="356" spans="1:9" ht="15.6">
      <c r="A356" s="300"/>
      <c r="C356" s="302"/>
      <c r="D356" s="89"/>
      <c r="E356" s="89"/>
      <c r="F356" s="89"/>
      <c r="G356" s="89"/>
      <c r="H356" s="89"/>
      <c r="I356" s="303"/>
    </row>
    <row r="357" spans="1:9" ht="15.6">
      <c r="A357" s="300"/>
      <c r="C357" s="302"/>
      <c r="D357" s="89"/>
      <c r="E357" s="89"/>
      <c r="F357" s="89"/>
      <c r="G357" s="89"/>
      <c r="H357" s="89"/>
      <c r="I357" s="303"/>
    </row>
    <row r="358" spans="1:9" ht="15.6">
      <c r="A358" s="300"/>
      <c r="C358" s="302"/>
      <c r="D358" s="89"/>
      <c r="E358" s="89"/>
      <c r="F358" s="89"/>
      <c r="G358" s="89"/>
      <c r="H358" s="89"/>
      <c r="I358" s="303"/>
    </row>
    <row r="359" spans="1:9" ht="15.6">
      <c r="A359" s="300"/>
      <c r="C359" s="302"/>
      <c r="D359" s="89"/>
      <c r="E359" s="89"/>
      <c r="F359" s="89"/>
      <c r="G359" s="89"/>
      <c r="H359" s="89"/>
      <c r="I359" s="303"/>
    </row>
    <row r="360" spans="1:9" ht="15.6">
      <c r="A360" s="300"/>
      <c r="C360" s="302"/>
      <c r="D360" s="89"/>
      <c r="E360" s="89"/>
      <c r="F360" s="89"/>
      <c r="G360" s="89"/>
      <c r="H360" s="89"/>
      <c r="I360" s="303"/>
    </row>
    <row r="361" spans="1:9" ht="15.6">
      <c r="A361" s="300"/>
      <c r="C361" s="302"/>
      <c r="D361" s="89"/>
      <c r="E361" s="89"/>
      <c r="F361" s="89"/>
      <c r="G361" s="89"/>
      <c r="H361" s="89"/>
      <c r="I361" s="303"/>
    </row>
    <row r="362" spans="1:9" ht="15.6">
      <c r="A362" s="300"/>
      <c r="C362" s="302"/>
      <c r="D362" s="89"/>
      <c r="E362" s="89"/>
      <c r="F362" s="89"/>
      <c r="G362" s="89"/>
      <c r="H362" s="89"/>
      <c r="I362" s="303"/>
    </row>
    <row r="363" spans="1:9" ht="15.6">
      <c r="A363" s="300"/>
      <c r="C363" s="302"/>
      <c r="D363" s="89"/>
      <c r="E363" s="89"/>
      <c r="F363" s="89"/>
      <c r="G363" s="89"/>
      <c r="H363" s="89"/>
      <c r="I363" s="303"/>
    </row>
    <row r="364" spans="1:9" ht="15.6">
      <c r="A364" s="300"/>
      <c r="C364" s="302"/>
      <c r="D364" s="89"/>
      <c r="E364" s="89"/>
      <c r="F364" s="89"/>
      <c r="G364" s="89"/>
      <c r="H364" s="89"/>
      <c r="I364" s="303"/>
    </row>
    <row r="365" spans="1:9" ht="15.6">
      <c r="A365" s="300"/>
      <c r="C365" s="302"/>
      <c r="D365" s="89"/>
      <c r="E365" s="89"/>
      <c r="F365" s="89"/>
      <c r="G365" s="89"/>
      <c r="H365" s="89"/>
      <c r="I365" s="303"/>
    </row>
    <row r="366" spans="1:9" ht="15.6">
      <c r="A366" s="300"/>
      <c r="C366" s="302"/>
      <c r="D366" s="89"/>
      <c r="E366" s="89"/>
      <c r="F366" s="89"/>
      <c r="G366" s="89"/>
      <c r="H366" s="89"/>
      <c r="I366" s="303"/>
    </row>
    <row r="367" spans="1:9" ht="15.6">
      <c r="A367" s="300"/>
      <c r="C367" s="302"/>
      <c r="D367" s="89"/>
      <c r="E367" s="89"/>
      <c r="F367" s="89"/>
      <c r="G367" s="89"/>
      <c r="H367" s="89"/>
      <c r="I367" s="303"/>
    </row>
    <row r="368" spans="1:9" ht="15.6">
      <c r="A368" s="300"/>
      <c r="C368" s="302"/>
      <c r="D368" s="89"/>
      <c r="E368" s="89"/>
      <c r="F368" s="89"/>
      <c r="G368" s="89"/>
      <c r="H368" s="89"/>
      <c r="I368" s="303"/>
    </row>
    <row r="369" spans="1:9" ht="15.6">
      <c r="A369" s="300"/>
      <c r="C369" s="302"/>
      <c r="D369" s="89"/>
      <c r="E369" s="89"/>
      <c r="F369" s="89"/>
      <c r="G369" s="89"/>
      <c r="H369" s="89"/>
      <c r="I369" s="303"/>
    </row>
    <row r="370" spans="1:9" ht="15.6">
      <c r="A370" s="300"/>
      <c r="C370" s="302"/>
      <c r="D370" s="89"/>
      <c r="E370" s="89"/>
      <c r="F370" s="89"/>
      <c r="G370" s="89"/>
      <c r="H370" s="89"/>
      <c r="I370" s="303"/>
    </row>
    <row r="371" spans="1:9" ht="15.6">
      <c r="A371" s="300"/>
      <c r="C371" s="302"/>
      <c r="D371" s="89"/>
      <c r="E371" s="89"/>
      <c r="F371" s="89"/>
      <c r="G371" s="89"/>
      <c r="H371" s="89"/>
      <c r="I371" s="303"/>
    </row>
    <row r="372" spans="1:9" ht="15.6">
      <c r="A372" s="300"/>
      <c r="C372" s="302"/>
      <c r="D372" s="89"/>
      <c r="E372" s="89"/>
      <c r="F372" s="89"/>
      <c r="G372" s="89"/>
      <c r="H372" s="89"/>
      <c r="I372" s="303"/>
    </row>
    <row r="373" spans="1:9" ht="15.6">
      <c r="A373" s="300"/>
      <c r="C373" s="302"/>
      <c r="D373" s="89"/>
      <c r="E373" s="89"/>
      <c r="F373" s="89"/>
      <c r="G373" s="89"/>
      <c r="H373" s="89"/>
      <c r="I373" s="303"/>
    </row>
    <row r="374" spans="1:9" ht="15.6">
      <c r="A374" s="300"/>
      <c r="C374" s="302"/>
      <c r="D374" s="89"/>
      <c r="E374" s="89"/>
      <c r="F374" s="89"/>
      <c r="G374" s="89"/>
      <c r="H374" s="89"/>
      <c r="I374" s="303"/>
    </row>
    <row r="375" spans="1:9" ht="15.6">
      <c r="A375" s="300"/>
      <c r="C375" s="302"/>
      <c r="D375" s="89"/>
      <c r="E375" s="89"/>
      <c r="F375" s="89"/>
      <c r="G375" s="89"/>
      <c r="H375" s="89"/>
      <c r="I375" s="303"/>
    </row>
    <row r="376" spans="1:9" ht="15.6">
      <c r="A376" s="300"/>
      <c r="C376" s="302"/>
      <c r="D376" s="89"/>
      <c r="E376" s="89"/>
      <c r="F376" s="89"/>
      <c r="G376" s="89"/>
      <c r="H376" s="89"/>
      <c r="I376" s="303"/>
    </row>
    <row r="377" spans="1:9" ht="15.6">
      <c r="A377" s="300"/>
      <c r="C377" s="302"/>
      <c r="D377" s="89"/>
      <c r="E377" s="89"/>
      <c r="F377" s="89"/>
      <c r="G377" s="89"/>
      <c r="H377" s="89"/>
      <c r="I377" s="303"/>
    </row>
    <row r="378" spans="1:9" ht="15.6">
      <c r="A378" s="300"/>
      <c r="C378" s="302"/>
      <c r="D378" s="89"/>
      <c r="E378" s="89"/>
      <c r="F378" s="89"/>
      <c r="G378" s="89"/>
      <c r="H378" s="89"/>
      <c r="I378" s="303"/>
    </row>
    <row r="379" spans="1:9" ht="15.6">
      <c r="A379" s="300"/>
      <c r="C379" s="302"/>
      <c r="D379" s="89"/>
      <c r="E379" s="89"/>
      <c r="F379" s="89"/>
      <c r="G379" s="89"/>
      <c r="H379" s="89"/>
      <c r="I379" s="303"/>
    </row>
    <row r="380" spans="1:9" ht="15.6">
      <c r="A380" s="300"/>
      <c r="C380" s="302"/>
      <c r="D380" s="89"/>
      <c r="E380" s="89"/>
      <c r="F380" s="89"/>
      <c r="G380" s="89"/>
      <c r="H380" s="89"/>
      <c r="I380" s="303"/>
    </row>
    <row r="381" spans="1:9" ht="15.6">
      <c r="A381" s="300"/>
      <c r="C381" s="302"/>
      <c r="D381" s="89"/>
      <c r="E381" s="89"/>
      <c r="F381" s="89"/>
      <c r="G381" s="89"/>
      <c r="H381" s="89"/>
      <c r="I381" s="303"/>
    </row>
    <row r="382" spans="1:9" ht="15.6">
      <c r="A382" s="300"/>
      <c r="C382" s="302"/>
      <c r="D382" s="89"/>
      <c r="E382" s="89"/>
      <c r="F382" s="89"/>
      <c r="G382" s="89"/>
      <c r="H382" s="89"/>
      <c r="I382" s="303"/>
    </row>
    <row r="383" spans="1:9" ht="15.6">
      <c r="A383" s="300"/>
      <c r="C383" s="302"/>
      <c r="D383" s="89"/>
      <c r="E383" s="89"/>
      <c r="F383" s="89"/>
      <c r="G383" s="89"/>
      <c r="H383" s="89"/>
      <c r="I383" s="303"/>
    </row>
    <row r="384" spans="1:9" ht="15.6">
      <c r="A384" s="300"/>
      <c r="C384" s="302"/>
      <c r="D384" s="89"/>
      <c r="E384" s="89"/>
      <c r="F384" s="89"/>
      <c r="G384" s="89"/>
      <c r="H384" s="89"/>
      <c r="I384" s="303"/>
    </row>
    <row r="385" spans="1:9" ht="15.6">
      <c r="A385" s="300"/>
      <c r="C385" s="302"/>
      <c r="D385" s="89"/>
      <c r="E385" s="89"/>
      <c r="F385" s="89"/>
      <c r="G385" s="89"/>
      <c r="H385" s="89"/>
      <c r="I385" s="303"/>
    </row>
    <row r="386" spans="1:9" ht="15.6">
      <c r="A386" s="300"/>
      <c r="C386" s="302"/>
      <c r="D386" s="89"/>
      <c r="E386" s="89"/>
      <c r="F386" s="89"/>
      <c r="G386" s="89"/>
      <c r="H386" s="89"/>
      <c r="I386" s="303"/>
    </row>
    <row r="387" spans="1:9" ht="15.6">
      <c r="A387" s="300"/>
      <c r="C387" s="302"/>
      <c r="D387" s="89"/>
      <c r="E387" s="89"/>
      <c r="F387" s="89"/>
      <c r="G387" s="89"/>
      <c r="H387" s="89"/>
      <c r="I387" s="303"/>
    </row>
    <row r="388" spans="1:9" ht="15.6">
      <c r="A388" s="300"/>
      <c r="C388" s="302"/>
      <c r="D388" s="89"/>
      <c r="E388" s="89"/>
      <c r="F388" s="89"/>
      <c r="G388" s="89"/>
      <c r="H388" s="89"/>
      <c r="I388" s="303"/>
    </row>
    <row r="389" spans="1:9" ht="15.6">
      <c r="A389" s="300"/>
      <c r="C389" s="302"/>
      <c r="D389" s="89"/>
      <c r="E389" s="89"/>
      <c r="F389" s="89"/>
      <c r="G389" s="89"/>
      <c r="H389" s="89"/>
      <c r="I389" s="303"/>
    </row>
    <row r="390" spans="1:9" ht="15.6">
      <c r="A390" s="300"/>
      <c r="C390" s="302"/>
      <c r="D390" s="89"/>
      <c r="E390" s="89"/>
      <c r="F390" s="89"/>
      <c r="G390" s="89"/>
      <c r="H390" s="89"/>
      <c r="I390" s="303"/>
    </row>
    <row r="391" spans="1:9" ht="15.6">
      <c r="A391" s="300"/>
      <c r="C391" s="302"/>
      <c r="D391" s="89"/>
      <c r="E391" s="89"/>
      <c r="F391" s="89"/>
      <c r="G391" s="89"/>
      <c r="H391" s="89"/>
      <c r="I391" s="303"/>
    </row>
    <row r="392" spans="1:9" ht="15.6">
      <c r="A392" s="300"/>
      <c r="C392" s="302"/>
      <c r="D392" s="89"/>
      <c r="E392" s="89"/>
      <c r="F392" s="89"/>
      <c r="G392" s="89"/>
      <c r="H392" s="89"/>
      <c r="I392" s="303"/>
    </row>
    <row r="393" spans="1:9" ht="15.6">
      <c r="A393" s="300"/>
      <c r="C393" s="302"/>
      <c r="D393" s="89"/>
      <c r="E393" s="89"/>
      <c r="F393" s="89"/>
      <c r="G393" s="89"/>
      <c r="H393" s="89"/>
      <c r="I393" s="303"/>
    </row>
    <row r="394" spans="1:9" ht="15.6">
      <c r="A394" s="300"/>
      <c r="C394" s="302"/>
      <c r="D394" s="89"/>
      <c r="E394" s="89"/>
      <c r="F394" s="89"/>
      <c r="G394" s="89"/>
      <c r="H394" s="89"/>
      <c r="I394" s="303"/>
    </row>
    <row r="395" spans="1:9" ht="15.6">
      <c r="A395" s="300"/>
      <c r="C395" s="302"/>
      <c r="D395" s="89"/>
      <c r="E395" s="89"/>
      <c r="F395" s="89"/>
      <c r="G395" s="89"/>
      <c r="H395" s="89"/>
      <c r="I395" s="303"/>
    </row>
    <row r="396" spans="1:9" ht="15.6">
      <c r="A396" s="300"/>
      <c r="C396" s="302"/>
      <c r="D396" s="89"/>
      <c r="E396" s="89"/>
      <c r="F396" s="89"/>
      <c r="G396" s="89"/>
      <c r="H396" s="89"/>
      <c r="I396" s="303"/>
    </row>
    <row r="397" spans="1:9" ht="15.6">
      <c r="A397" s="300"/>
      <c r="C397" s="302"/>
      <c r="D397" s="89"/>
      <c r="E397" s="89"/>
      <c r="F397" s="89"/>
      <c r="G397" s="89"/>
      <c r="H397" s="89"/>
      <c r="I397" s="303"/>
    </row>
    <row r="398" spans="1:9" ht="15.6">
      <c r="A398" s="300"/>
      <c r="C398" s="302"/>
      <c r="D398" s="89"/>
      <c r="E398" s="89"/>
      <c r="F398" s="89"/>
      <c r="G398" s="89"/>
      <c r="H398" s="89"/>
      <c r="I398" s="303"/>
    </row>
    <row r="399" spans="1:9" ht="15.6">
      <c r="A399" s="300"/>
      <c r="C399" s="302"/>
      <c r="D399" s="89"/>
      <c r="E399" s="89"/>
      <c r="F399" s="89"/>
      <c r="G399" s="89"/>
      <c r="H399" s="89"/>
      <c r="I399" s="303"/>
    </row>
    <row r="400" spans="1:9" ht="15.6">
      <c r="A400" s="300"/>
      <c r="C400" s="302"/>
      <c r="D400" s="89"/>
      <c r="E400" s="89"/>
      <c r="F400" s="89"/>
      <c r="G400" s="89"/>
      <c r="H400" s="89"/>
      <c r="I400" s="303"/>
    </row>
    <row r="401" spans="1:9" ht="15.6">
      <c r="A401" s="300"/>
      <c r="C401" s="302"/>
      <c r="D401" s="89"/>
      <c r="E401" s="89"/>
      <c r="F401" s="89"/>
      <c r="G401" s="89"/>
      <c r="H401" s="89"/>
      <c r="I401" s="303"/>
    </row>
    <row r="402" spans="1:9" ht="15.6">
      <c r="A402" s="300"/>
      <c r="C402" s="302"/>
      <c r="D402" s="89"/>
      <c r="E402" s="89"/>
      <c r="F402" s="89"/>
      <c r="G402" s="89"/>
      <c r="H402" s="89"/>
      <c r="I402" s="303"/>
    </row>
    <row r="403" spans="1:9" ht="15.6">
      <c r="A403" s="300"/>
      <c r="C403" s="302"/>
      <c r="D403" s="89"/>
      <c r="E403" s="89"/>
      <c r="F403" s="89"/>
      <c r="G403" s="89"/>
      <c r="H403" s="89"/>
      <c r="I403" s="303"/>
    </row>
    <row r="404" spans="1:9" ht="15.6">
      <c r="A404" s="300"/>
      <c r="C404" s="302"/>
      <c r="D404" s="89"/>
      <c r="E404" s="89"/>
      <c r="F404" s="89"/>
      <c r="G404" s="89"/>
      <c r="H404" s="89"/>
      <c r="I404" s="303"/>
    </row>
    <row r="405" spans="1:9" ht="15.6">
      <c r="A405" s="300"/>
      <c r="C405" s="302"/>
      <c r="D405" s="89"/>
      <c r="E405" s="89"/>
      <c r="F405" s="89"/>
      <c r="G405" s="89"/>
      <c r="H405" s="89"/>
      <c r="I405" s="303"/>
    </row>
    <row r="406" spans="1:9" ht="15.6">
      <c r="A406" s="300"/>
      <c r="C406" s="302"/>
      <c r="D406" s="89"/>
      <c r="E406" s="89"/>
      <c r="F406" s="89"/>
      <c r="G406" s="89"/>
      <c r="H406" s="89"/>
      <c r="I406" s="303"/>
    </row>
    <row r="407" spans="1:9" ht="15.6">
      <c r="A407" s="300"/>
      <c r="C407" s="302"/>
      <c r="D407" s="89"/>
      <c r="E407" s="89"/>
      <c r="F407" s="89"/>
      <c r="G407" s="89"/>
      <c r="H407" s="89"/>
      <c r="I407" s="303"/>
    </row>
    <row r="408" spans="1:9" ht="15.6">
      <c r="A408" s="300"/>
      <c r="C408" s="302"/>
      <c r="D408" s="89"/>
      <c r="E408" s="89"/>
      <c r="F408" s="89"/>
      <c r="G408" s="89"/>
      <c r="H408" s="89"/>
      <c r="I408" s="303"/>
    </row>
    <row r="409" spans="1:9" ht="15.6">
      <c r="A409" s="300"/>
      <c r="C409" s="302"/>
      <c r="D409" s="89"/>
      <c r="E409" s="89"/>
      <c r="F409" s="89"/>
      <c r="G409" s="89"/>
      <c r="H409" s="89"/>
      <c r="I409" s="303"/>
    </row>
    <row r="410" spans="1:9" ht="15.6">
      <c r="A410" s="300"/>
      <c r="C410" s="302"/>
      <c r="D410" s="89"/>
      <c r="E410" s="89"/>
      <c r="F410" s="89"/>
      <c r="G410" s="89"/>
      <c r="H410" s="89"/>
      <c r="I410" s="303"/>
    </row>
    <row r="411" spans="1:9" ht="15.6">
      <c r="A411" s="300"/>
      <c r="C411" s="302"/>
      <c r="D411" s="89"/>
      <c r="E411" s="89"/>
      <c r="F411" s="89"/>
      <c r="G411" s="89"/>
      <c r="H411" s="89"/>
      <c r="I411" s="303"/>
    </row>
    <row r="412" spans="1:9" ht="15.6">
      <c r="A412" s="300"/>
      <c r="C412" s="302"/>
      <c r="D412" s="89"/>
      <c r="E412" s="89"/>
      <c r="F412" s="89"/>
      <c r="G412" s="89"/>
      <c r="H412" s="89"/>
      <c r="I412" s="303"/>
    </row>
    <row r="413" spans="1:9" ht="15.6">
      <c r="A413" s="300"/>
      <c r="C413" s="302"/>
      <c r="D413" s="89"/>
      <c r="E413" s="89"/>
      <c r="F413" s="89"/>
      <c r="G413" s="89"/>
      <c r="H413" s="89"/>
      <c r="I413" s="303"/>
    </row>
    <row r="414" spans="1:9" ht="15.6">
      <c r="A414" s="300"/>
      <c r="C414" s="302"/>
      <c r="D414" s="89"/>
      <c r="E414" s="89"/>
      <c r="F414" s="89"/>
      <c r="G414" s="89"/>
      <c r="H414" s="89"/>
      <c r="I414" s="303"/>
    </row>
    <row r="415" spans="1:9" ht="15.6">
      <c r="A415" s="300"/>
      <c r="C415" s="302"/>
      <c r="D415" s="89"/>
      <c r="E415" s="89"/>
      <c r="F415" s="89"/>
      <c r="G415" s="89"/>
      <c r="H415" s="89"/>
      <c r="I415" s="303"/>
    </row>
    <row r="416" spans="1:9" ht="15.6">
      <c r="A416" s="300"/>
      <c r="C416" s="302"/>
      <c r="D416" s="89"/>
      <c r="E416" s="89"/>
      <c r="F416" s="89"/>
      <c r="G416" s="89"/>
      <c r="H416" s="89"/>
      <c r="I416" s="303"/>
    </row>
    <row r="417" spans="1:9" ht="15.6">
      <c r="A417" s="300"/>
      <c r="C417" s="302"/>
      <c r="D417" s="89"/>
      <c r="E417" s="89"/>
      <c r="F417" s="89"/>
      <c r="G417" s="89"/>
      <c r="H417" s="89"/>
      <c r="I417" s="303"/>
    </row>
    <row r="418" spans="1:9" ht="15.6">
      <c r="A418" s="300"/>
      <c r="C418" s="302"/>
      <c r="D418" s="89"/>
      <c r="E418" s="89"/>
      <c r="F418" s="89"/>
      <c r="G418" s="89"/>
      <c r="H418" s="89"/>
      <c r="I418" s="303"/>
    </row>
    <row r="419" spans="1:9" ht="15.6">
      <c r="A419" s="300"/>
      <c r="C419" s="302"/>
      <c r="D419" s="89"/>
      <c r="E419" s="89"/>
      <c r="F419" s="89"/>
      <c r="G419" s="89"/>
      <c r="H419" s="89"/>
      <c r="I419" s="303"/>
    </row>
    <row r="420" spans="1:9" ht="15.6">
      <c r="A420" s="300"/>
      <c r="C420" s="302"/>
      <c r="D420" s="89"/>
      <c r="E420" s="89"/>
      <c r="F420" s="89"/>
      <c r="G420" s="89"/>
      <c r="H420" s="89"/>
      <c r="I420" s="303"/>
    </row>
    <row r="421" spans="1:9" ht="15.6">
      <c r="A421" s="300"/>
      <c r="C421" s="302"/>
      <c r="D421" s="89"/>
      <c r="E421" s="89"/>
      <c r="F421" s="89"/>
      <c r="G421" s="89"/>
      <c r="H421" s="89"/>
      <c r="I421" s="303"/>
    </row>
    <row r="422" spans="1:9" ht="15.6">
      <c r="A422" s="300"/>
      <c r="C422" s="302"/>
      <c r="D422" s="89"/>
      <c r="E422" s="89"/>
      <c r="F422" s="89"/>
      <c r="G422" s="89"/>
      <c r="H422" s="89"/>
      <c r="I422" s="303"/>
    </row>
    <row r="423" spans="1:9" ht="15.6">
      <c r="A423" s="300"/>
      <c r="C423" s="302"/>
      <c r="D423" s="89"/>
      <c r="E423" s="89"/>
      <c r="F423" s="89"/>
      <c r="G423" s="89"/>
      <c r="H423" s="89"/>
      <c r="I423" s="303"/>
    </row>
    <row r="424" spans="1:9" ht="15.6">
      <c r="A424" s="300"/>
      <c r="C424" s="302"/>
      <c r="D424" s="89"/>
      <c r="E424" s="89"/>
      <c r="F424" s="89"/>
      <c r="G424" s="89"/>
      <c r="H424" s="89"/>
      <c r="I424" s="303"/>
    </row>
    <row r="425" spans="1:9" ht="15.6">
      <c r="A425" s="300"/>
      <c r="C425" s="302"/>
      <c r="D425" s="89"/>
      <c r="E425" s="89"/>
      <c r="F425" s="89"/>
      <c r="G425" s="89"/>
      <c r="H425" s="89"/>
      <c r="I425" s="303"/>
    </row>
    <row r="426" spans="1:9" ht="15.6">
      <c r="A426" s="300"/>
      <c r="C426" s="302"/>
      <c r="D426" s="89"/>
      <c r="E426" s="89"/>
      <c r="F426" s="89"/>
      <c r="G426" s="89"/>
      <c r="H426" s="89"/>
      <c r="I426" s="303"/>
    </row>
    <row r="427" spans="1:9" ht="15.6">
      <c r="A427" s="300"/>
      <c r="C427" s="302"/>
      <c r="D427" s="89"/>
      <c r="E427" s="89"/>
      <c r="F427" s="89"/>
      <c r="G427" s="89"/>
      <c r="H427" s="89"/>
      <c r="I427" s="303"/>
    </row>
    <row r="428" spans="1:9" ht="15.6">
      <c r="A428" s="300"/>
      <c r="C428" s="302"/>
      <c r="D428" s="89"/>
      <c r="E428" s="89"/>
      <c r="F428" s="89"/>
      <c r="G428" s="89"/>
      <c r="H428" s="89"/>
      <c r="I428" s="303"/>
    </row>
    <row r="429" spans="1:9" ht="15.6">
      <c r="A429" s="300"/>
      <c r="C429" s="302"/>
      <c r="D429" s="89"/>
      <c r="E429" s="89"/>
      <c r="F429" s="89"/>
      <c r="G429" s="89"/>
      <c r="H429" s="89"/>
      <c r="I429" s="303"/>
    </row>
    <row r="430" spans="1:9" ht="15.6">
      <c r="A430" s="300"/>
      <c r="C430" s="302"/>
      <c r="D430" s="89"/>
      <c r="E430" s="89"/>
      <c r="F430" s="89"/>
      <c r="G430" s="89"/>
      <c r="H430" s="89"/>
      <c r="I430" s="303"/>
    </row>
    <row r="431" spans="1:9" ht="15.6">
      <c r="A431" s="300"/>
      <c r="C431" s="302"/>
      <c r="D431" s="89"/>
      <c r="E431" s="89"/>
      <c r="F431" s="89"/>
      <c r="G431" s="89"/>
      <c r="H431" s="89"/>
      <c r="I431" s="303"/>
    </row>
    <row r="432" spans="1:9" ht="15.6">
      <c r="A432" s="300"/>
      <c r="C432" s="302"/>
      <c r="D432" s="89"/>
      <c r="E432" s="89"/>
      <c r="F432" s="89"/>
      <c r="G432" s="89"/>
      <c r="H432" s="89"/>
      <c r="I432" s="303"/>
    </row>
    <row r="433" spans="1:9" ht="15.6">
      <c r="A433" s="300"/>
      <c r="C433" s="302"/>
      <c r="D433" s="89"/>
      <c r="E433" s="89"/>
      <c r="F433" s="89"/>
      <c r="G433" s="89"/>
      <c r="H433" s="89"/>
      <c r="I433" s="303"/>
    </row>
    <row r="434" spans="1:9" ht="15.6">
      <c r="A434" s="300"/>
      <c r="C434" s="302"/>
      <c r="D434" s="89"/>
      <c r="E434" s="89"/>
      <c r="F434" s="89"/>
      <c r="G434" s="89"/>
      <c r="H434" s="89"/>
      <c r="I434" s="303"/>
    </row>
    <row r="435" spans="1:9" ht="15.6">
      <c r="A435" s="300"/>
      <c r="C435" s="302"/>
      <c r="D435" s="89"/>
      <c r="E435" s="89"/>
      <c r="F435" s="89"/>
      <c r="G435" s="89"/>
      <c r="H435" s="89"/>
      <c r="I435" s="303"/>
    </row>
    <row r="436" spans="1:9" ht="15.6">
      <c r="A436" s="300"/>
      <c r="C436" s="302"/>
      <c r="D436" s="89"/>
      <c r="E436" s="89"/>
      <c r="F436" s="89"/>
      <c r="G436" s="89"/>
      <c r="H436" s="89"/>
      <c r="I436" s="303"/>
    </row>
    <row r="437" spans="1:9" ht="15.6">
      <c r="A437" s="300"/>
      <c r="C437" s="302"/>
      <c r="D437" s="89"/>
      <c r="E437" s="89"/>
      <c r="F437" s="89"/>
      <c r="G437" s="89"/>
      <c r="H437" s="89"/>
      <c r="I437" s="303"/>
    </row>
    <row r="438" spans="1:9" ht="15.6">
      <c r="A438" s="300"/>
      <c r="C438" s="302"/>
      <c r="D438" s="89"/>
      <c r="E438" s="89"/>
      <c r="F438" s="89"/>
      <c r="G438" s="89"/>
      <c r="H438" s="89"/>
      <c r="I438" s="303"/>
    </row>
    <row r="439" spans="1:9" ht="15.6">
      <c r="A439" s="300"/>
      <c r="C439" s="302"/>
      <c r="D439" s="89"/>
      <c r="E439" s="89"/>
      <c r="F439" s="89"/>
      <c r="G439" s="89"/>
      <c r="H439" s="89"/>
      <c r="I439" s="303"/>
    </row>
    <row r="440" spans="1:9" ht="15.6">
      <c r="A440" s="300"/>
      <c r="C440" s="302"/>
      <c r="D440" s="89"/>
      <c r="E440" s="89"/>
      <c r="F440" s="89"/>
      <c r="G440" s="89"/>
      <c r="H440" s="89"/>
      <c r="I440" s="303"/>
    </row>
    <row r="441" spans="1:9" ht="15.6">
      <c r="A441" s="300"/>
      <c r="C441" s="302"/>
      <c r="D441" s="89"/>
      <c r="E441" s="89"/>
      <c r="F441" s="89"/>
      <c r="G441" s="89"/>
      <c r="H441" s="89"/>
      <c r="I441" s="303"/>
    </row>
    <row r="442" spans="1:9" ht="15.6">
      <c r="A442" s="300"/>
      <c r="C442" s="302"/>
      <c r="D442" s="89"/>
      <c r="E442" s="89"/>
      <c r="F442" s="89"/>
      <c r="G442" s="89"/>
      <c r="H442" s="89"/>
      <c r="I442" s="303"/>
    </row>
    <row r="443" spans="1:9" ht="15.6">
      <c r="A443" s="300"/>
      <c r="C443" s="302"/>
      <c r="D443" s="89"/>
      <c r="E443" s="89"/>
      <c r="F443" s="89"/>
      <c r="G443" s="89"/>
      <c r="H443" s="89"/>
      <c r="I443" s="303"/>
    </row>
    <row r="444" spans="1:9" ht="15.6">
      <c r="A444" s="300"/>
      <c r="C444" s="302"/>
      <c r="D444" s="89"/>
      <c r="E444" s="89"/>
      <c r="F444" s="89"/>
      <c r="G444" s="89"/>
      <c r="H444" s="89"/>
      <c r="I444" s="303"/>
    </row>
    <row r="445" spans="1:9" ht="15.6">
      <c r="A445" s="300"/>
      <c r="C445" s="302"/>
      <c r="D445" s="89"/>
      <c r="E445" s="89"/>
      <c r="F445" s="89"/>
      <c r="G445" s="89"/>
      <c r="H445" s="89"/>
      <c r="I445" s="303"/>
    </row>
    <row r="446" spans="1:9" ht="15.6">
      <c r="A446" s="300"/>
      <c r="C446" s="302"/>
      <c r="D446" s="89"/>
      <c r="E446" s="89"/>
      <c r="F446" s="89"/>
      <c r="G446" s="89"/>
      <c r="H446" s="89"/>
      <c r="I446" s="303"/>
    </row>
    <row r="447" spans="1:9" ht="15.6">
      <c r="A447" s="300"/>
      <c r="C447" s="302"/>
      <c r="D447" s="89"/>
      <c r="E447" s="89"/>
      <c r="F447" s="89"/>
      <c r="G447" s="89"/>
      <c r="H447" s="89"/>
      <c r="I447" s="303"/>
    </row>
    <row r="448" spans="1:9" ht="15.6">
      <c r="A448" s="300"/>
      <c r="C448" s="302"/>
      <c r="D448" s="89"/>
      <c r="E448" s="89"/>
      <c r="F448" s="89"/>
      <c r="G448" s="89"/>
      <c r="H448" s="89"/>
      <c r="I448" s="303"/>
    </row>
    <row r="449" spans="1:9" ht="15.6">
      <c r="A449" s="300"/>
      <c r="C449" s="302"/>
      <c r="D449" s="89"/>
      <c r="E449" s="89"/>
      <c r="F449" s="89"/>
      <c r="G449" s="89"/>
      <c r="H449" s="89"/>
      <c r="I449" s="303"/>
    </row>
    <row r="450" spans="1:9" ht="15.6">
      <c r="A450" s="300"/>
      <c r="C450" s="302"/>
      <c r="D450" s="89"/>
      <c r="E450" s="89"/>
      <c r="F450" s="89"/>
      <c r="G450" s="89"/>
      <c r="H450" s="89"/>
      <c r="I450" s="303"/>
    </row>
    <row r="451" spans="1:9" ht="15.6">
      <c r="A451" s="300"/>
      <c r="C451" s="302"/>
      <c r="D451" s="89"/>
      <c r="E451" s="89"/>
      <c r="F451" s="89"/>
      <c r="G451" s="89"/>
      <c r="H451" s="89"/>
      <c r="I451" s="303"/>
    </row>
    <row r="452" spans="1:9" ht="15.6">
      <c r="A452" s="300"/>
      <c r="C452" s="302"/>
      <c r="D452" s="89"/>
      <c r="E452" s="89"/>
      <c r="F452" s="89"/>
      <c r="G452" s="89"/>
      <c r="H452" s="89"/>
      <c r="I452" s="303"/>
    </row>
    <row r="453" spans="1:9" ht="15.6">
      <c r="A453" s="300"/>
      <c r="C453" s="302"/>
      <c r="D453" s="89"/>
      <c r="E453" s="89"/>
      <c r="F453" s="89"/>
      <c r="G453" s="89"/>
      <c r="H453" s="89"/>
      <c r="I453" s="303"/>
    </row>
    <row r="454" spans="1:9" ht="15.6">
      <c r="A454" s="300"/>
      <c r="C454" s="302"/>
      <c r="D454" s="89"/>
      <c r="E454" s="89"/>
      <c r="F454" s="89"/>
      <c r="G454" s="89"/>
      <c r="H454" s="89"/>
      <c r="I454" s="303"/>
    </row>
    <row r="455" spans="1:9" ht="15.6">
      <c r="A455" s="300"/>
      <c r="C455" s="302"/>
      <c r="D455" s="89"/>
      <c r="E455" s="89"/>
      <c r="F455" s="89"/>
      <c r="G455" s="89"/>
      <c r="H455" s="89"/>
      <c r="I455" s="303"/>
    </row>
    <row r="456" spans="1:9" ht="15.6">
      <c r="A456" s="300"/>
      <c r="C456" s="302"/>
      <c r="D456" s="89"/>
      <c r="E456" s="89"/>
      <c r="F456" s="89"/>
      <c r="G456" s="89"/>
      <c r="H456" s="89"/>
      <c r="I456" s="303"/>
    </row>
    <row r="457" spans="1:9" ht="15.6">
      <c r="A457" s="300"/>
      <c r="C457" s="302"/>
      <c r="D457" s="89"/>
      <c r="E457" s="89"/>
      <c r="F457" s="89"/>
      <c r="G457" s="89"/>
      <c r="H457" s="89"/>
      <c r="I457" s="303"/>
    </row>
    <row r="458" spans="1:9" ht="15.6">
      <c r="A458" s="300"/>
      <c r="C458" s="302"/>
      <c r="D458" s="89"/>
      <c r="E458" s="89"/>
      <c r="F458" s="89"/>
      <c r="G458" s="89"/>
      <c r="H458" s="89"/>
      <c r="I458" s="303"/>
    </row>
    <row r="459" spans="1:9" ht="15.6">
      <c r="A459" s="300"/>
      <c r="C459" s="302"/>
      <c r="D459" s="89"/>
      <c r="E459" s="89"/>
      <c r="F459" s="89"/>
      <c r="G459" s="89"/>
      <c r="H459" s="89"/>
      <c r="I459" s="303"/>
    </row>
    <row r="460" spans="1:9" ht="15.6">
      <c r="A460" s="300"/>
      <c r="C460" s="302"/>
      <c r="D460" s="89"/>
      <c r="E460" s="89"/>
      <c r="F460" s="89"/>
      <c r="G460" s="89"/>
      <c r="H460" s="89"/>
      <c r="I460" s="303"/>
    </row>
    <row r="461" spans="1:9" ht="15.6">
      <c r="A461" s="300"/>
      <c r="C461" s="302"/>
      <c r="D461" s="89"/>
      <c r="E461" s="89"/>
      <c r="F461" s="89"/>
      <c r="G461" s="89"/>
      <c r="H461" s="89"/>
      <c r="I461" s="303"/>
    </row>
    <row r="462" spans="1:9" ht="15.6">
      <c r="A462" s="300"/>
      <c r="C462" s="302"/>
      <c r="D462" s="89"/>
      <c r="E462" s="89"/>
      <c r="F462" s="89"/>
      <c r="G462" s="89"/>
      <c r="H462" s="89"/>
      <c r="I462" s="303"/>
    </row>
    <row r="463" spans="1:9" ht="15.6">
      <c r="A463" s="300"/>
      <c r="C463" s="302"/>
      <c r="D463" s="89"/>
      <c r="E463" s="89"/>
      <c r="F463" s="89"/>
      <c r="G463" s="89"/>
      <c r="H463" s="89"/>
      <c r="I463" s="303"/>
    </row>
    <row r="464" spans="1:9" ht="15.6">
      <c r="A464" s="300"/>
      <c r="C464" s="302"/>
      <c r="D464" s="89"/>
      <c r="E464" s="89"/>
      <c r="F464" s="89"/>
      <c r="G464" s="89"/>
      <c r="H464" s="89"/>
      <c r="I464" s="303"/>
    </row>
    <row r="465" spans="1:9" ht="15.6">
      <c r="A465" s="300"/>
      <c r="C465" s="302"/>
      <c r="D465" s="89"/>
      <c r="E465" s="89"/>
      <c r="F465" s="89"/>
      <c r="G465" s="89"/>
      <c r="H465" s="89"/>
      <c r="I465" s="303"/>
    </row>
    <row r="466" spans="1:9" ht="15.6">
      <c r="A466" s="300"/>
      <c r="C466" s="302"/>
      <c r="D466" s="89"/>
      <c r="E466" s="89"/>
      <c r="F466" s="89"/>
      <c r="G466" s="89"/>
      <c r="H466" s="89"/>
      <c r="I466" s="303"/>
    </row>
    <row r="467" spans="1:9" ht="15.6">
      <c r="A467" s="300"/>
      <c r="C467" s="302"/>
      <c r="D467" s="89"/>
      <c r="E467" s="89"/>
      <c r="F467" s="89"/>
      <c r="G467" s="89"/>
      <c r="H467" s="89"/>
      <c r="I467" s="303"/>
    </row>
    <row r="468" spans="1:9" ht="15.6">
      <c r="A468" s="300"/>
      <c r="C468" s="302"/>
      <c r="D468" s="89"/>
      <c r="E468" s="89"/>
      <c r="F468" s="89"/>
      <c r="G468" s="89"/>
      <c r="H468" s="89"/>
      <c r="I468" s="303"/>
    </row>
    <row r="469" spans="1:9" ht="15.6">
      <c r="A469" s="300"/>
      <c r="C469" s="302"/>
      <c r="D469" s="89"/>
      <c r="E469" s="89"/>
      <c r="F469" s="89"/>
      <c r="G469" s="89"/>
      <c r="H469" s="89"/>
      <c r="I469" s="303"/>
    </row>
    <row r="470" spans="1:9" ht="15.6">
      <c r="A470" s="300"/>
      <c r="C470" s="302"/>
      <c r="D470" s="89"/>
      <c r="E470" s="89"/>
      <c r="F470" s="89"/>
      <c r="G470" s="89"/>
      <c r="H470" s="89"/>
      <c r="I470" s="303"/>
    </row>
    <row r="471" spans="1:9" ht="15.6">
      <c r="A471" s="300"/>
      <c r="C471" s="302"/>
      <c r="D471" s="89"/>
      <c r="E471" s="89"/>
      <c r="F471" s="89"/>
      <c r="G471" s="89"/>
      <c r="H471" s="89"/>
      <c r="I471" s="303"/>
    </row>
    <row r="472" spans="1:9" ht="15.6">
      <c r="A472" s="300"/>
      <c r="C472" s="302"/>
      <c r="D472" s="89"/>
      <c r="E472" s="89"/>
      <c r="F472" s="89"/>
      <c r="G472" s="89"/>
      <c r="H472" s="89"/>
      <c r="I472" s="303"/>
    </row>
    <row r="473" spans="1:9" ht="15.6">
      <c r="A473" s="300"/>
      <c r="C473" s="302"/>
      <c r="D473" s="89"/>
      <c r="E473" s="89"/>
      <c r="F473" s="89"/>
      <c r="G473" s="89"/>
      <c r="H473" s="89"/>
      <c r="I473" s="303"/>
    </row>
    <row r="474" spans="1:9" ht="15.6">
      <c r="A474" s="300"/>
      <c r="C474" s="302"/>
      <c r="D474" s="89"/>
      <c r="E474" s="89"/>
      <c r="F474" s="89"/>
      <c r="G474" s="89"/>
      <c r="H474" s="89"/>
      <c r="I474" s="303"/>
    </row>
    <row r="475" spans="1:9" ht="15.6">
      <c r="A475" s="300"/>
      <c r="C475" s="302"/>
      <c r="D475" s="89"/>
      <c r="E475" s="89"/>
      <c r="F475" s="89"/>
      <c r="G475" s="89"/>
      <c r="H475" s="89"/>
      <c r="I475" s="303"/>
    </row>
    <row r="476" spans="1:9" ht="15.6">
      <c r="A476" s="300"/>
      <c r="C476" s="302"/>
      <c r="D476" s="89"/>
      <c r="E476" s="89"/>
      <c r="F476" s="89"/>
      <c r="G476" s="89"/>
      <c r="H476" s="89"/>
      <c r="I476" s="303"/>
    </row>
    <row r="477" spans="1:9" ht="15.6">
      <c r="A477" s="300"/>
      <c r="C477" s="302"/>
      <c r="D477" s="89"/>
      <c r="E477" s="89"/>
      <c r="F477" s="89"/>
      <c r="G477" s="89"/>
      <c r="H477" s="89"/>
      <c r="I477" s="303"/>
    </row>
    <row r="478" spans="1:9" ht="15.6">
      <c r="A478" s="300"/>
      <c r="C478" s="302"/>
      <c r="D478" s="89"/>
      <c r="E478" s="89"/>
      <c r="F478" s="89"/>
      <c r="G478" s="89"/>
      <c r="H478" s="89"/>
      <c r="I478" s="303"/>
    </row>
    <row r="479" spans="1:9" ht="15.6">
      <c r="A479" s="300"/>
      <c r="C479" s="302"/>
      <c r="D479" s="89"/>
      <c r="E479" s="89"/>
      <c r="F479" s="89"/>
      <c r="G479" s="89"/>
      <c r="H479" s="89"/>
      <c r="I479" s="303"/>
    </row>
    <row r="480" spans="1:9" ht="15.6">
      <c r="A480" s="300"/>
      <c r="C480" s="302"/>
      <c r="D480" s="89"/>
      <c r="E480" s="89"/>
      <c r="F480" s="89"/>
      <c r="G480" s="89"/>
      <c r="H480" s="89"/>
      <c r="I480" s="303"/>
    </row>
    <row r="481" spans="1:9" ht="15.6">
      <c r="A481" s="300"/>
      <c r="C481" s="302"/>
      <c r="D481" s="89"/>
      <c r="E481" s="89"/>
      <c r="F481" s="89"/>
      <c r="G481" s="89"/>
      <c r="H481" s="89"/>
      <c r="I481" s="303"/>
    </row>
    <row r="482" spans="1:9" ht="15.6">
      <c r="A482" s="300"/>
      <c r="C482" s="302"/>
      <c r="D482" s="89"/>
      <c r="E482" s="89"/>
      <c r="F482" s="89"/>
      <c r="G482" s="89"/>
      <c r="H482" s="89"/>
      <c r="I482" s="303"/>
    </row>
    <row r="483" spans="1:9" ht="15.6">
      <c r="A483" s="300"/>
      <c r="C483" s="302"/>
      <c r="D483" s="89"/>
      <c r="E483" s="89"/>
      <c r="F483" s="89"/>
      <c r="G483" s="89"/>
      <c r="H483" s="89"/>
      <c r="I483" s="303"/>
    </row>
    <row r="484" spans="1:9" ht="15.6">
      <c r="A484" s="300"/>
      <c r="C484" s="302"/>
      <c r="D484" s="89"/>
      <c r="E484" s="89"/>
      <c r="F484" s="89"/>
      <c r="G484" s="89"/>
      <c r="H484" s="89"/>
      <c r="I484" s="303"/>
    </row>
    <row r="485" spans="1:9" ht="15.6">
      <c r="A485" s="300"/>
      <c r="C485" s="302"/>
      <c r="D485" s="89"/>
      <c r="E485" s="89"/>
      <c r="F485" s="89"/>
      <c r="G485" s="89"/>
      <c r="H485" s="89"/>
      <c r="I485" s="303"/>
    </row>
    <row r="486" spans="1:9" ht="15.6">
      <c r="A486" s="300"/>
      <c r="C486" s="302"/>
      <c r="D486" s="89"/>
      <c r="E486" s="89"/>
      <c r="F486" s="89"/>
      <c r="G486" s="89"/>
      <c r="H486" s="89"/>
      <c r="I486" s="303"/>
    </row>
    <row r="487" spans="1:9" ht="15.6">
      <c r="A487" s="300"/>
      <c r="C487" s="302"/>
      <c r="D487" s="89"/>
      <c r="E487" s="89"/>
      <c r="F487" s="89"/>
      <c r="G487" s="89"/>
      <c r="H487" s="89"/>
      <c r="I487" s="303"/>
    </row>
    <row r="488" spans="1:9" ht="15.6">
      <c r="A488" s="300"/>
      <c r="C488" s="302"/>
      <c r="D488" s="89"/>
      <c r="E488" s="89"/>
      <c r="F488" s="89"/>
      <c r="G488" s="89"/>
      <c r="H488" s="89"/>
      <c r="I488" s="303"/>
    </row>
    <row r="489" spans="1:9" ht="15.6">
      <c r="A489" s="300"/>
      <c r="C489" s="302"/>
      <c r="D489" s="89"/>
      <c r="E489" s="89"/>
      <c r="F489" s="89"/>
      <c r="G489" s="89"/>
      <c r="H489" s="89"/>
      <c r="I489" s="303"/>
    </row>
    <row r="490" spans="1:9" ht="15.6">
      <c r="A490" s="300"/>
      <c r="C490" s="302"/>
      <c r="D490" s="89"/>
      <c r="E490" s="89"/>
      <c r="F490" s="89"/>
      <c r="G490" s="89"/>
      <c r="H490" s="89"/>
      <c r="I490" s="303"/>
    </row>
    <row r="491" spans="1:9" ht="15.6">
      <c r="A491" s="300"/>
      <c r="C491" s="302"/>
      <c r="D491" s="89"/>
      <c r="E491" s="89"/>
      <c r="F491" s="89"/>
      <c r="G491" s="89"/>
      <c r="H491" s="89"/>
      <c r="I491" s="303"/>
    </row>
    <row r="492" spans="1:9" ht="15.6">
      <c r="A492" s="300"/>
      <c r="C492" s="302"/>
      <c r="D492" s="89"/>
      <c r="E492" s="89"/>
      <c r="F492" s="89"/>
      <c r="G492" s="89"/>
      <c r="H492" s="89"/>
      <c r="I492" s="303"/>
    </row>
    <row r="493" spans="1:9" ht="15.6">
      <c r="A493" s="300"/>
      <c r="C493" s="302"/>
      <c r="D493" s="89"/>
      <c r="E493" s="89"/>
      <c r="F493" s="89"/>
      <c r="G493" s="89"/>
      <c r="H493" s="89"/>
      <c r="I493" s="303"/>
    </row>
    <row r="494" spans="1:9" ht="15.6">
      <c r="A494" s="300"/>
      <c r="C494" s="302"/>
      <c r="D494" s="89"/>
      <c r="E494" s="89"/>
      <c r="F494" s="89"/>
      <c r="G494" s="89"/>
      <c r="H494" s="89"/>
      <c r="I494" s="303"/>
    </row>
    <row r="495" spans="1:9" ht="15.6">
      <c r="A495" s="300"/>
      <c r="C495" s="302"/>
      <c r="D495" s="89"/>
      <c r="E495" s="89"/>
      <c r="F495" s="89"/>
      <c r="G495" s="89"/>
      <c r="H495" s="89"/>
      <c r="I495" s="303"/>
    </row>
    <row r="496" spans="1:9" ht="15.6">
      <c r="A496" s="300"/>
      <c r="C496" s="302"/>
      <c r="D496" s="89"/>
      <c r="E496" s="89"/>
      <c r="F496" s="89"/>
      <c r="G496" s="89"/>
      <c r="H496" s="89"/>
      <c r="I496" s="303"/>
    </row>
    <row r="497" spans="1:9" ht="15.6">
      <c r="A497" s="300"/>
      <c r="C497" s="302"/>
      <c r="D497" s="89"/>
      <c r="E497" s="89"/>
      <c r="F497" s="89"/>
      <c r="G497" s="89"/>
      <c r="H497" s="89"/>
      <c r="I497" s="303"/>
    </row>
    <row r="498" spans="1:9" ht="15.6">
      <c r="A498" s="300"/>
      <c r="C498" s="302"/>
      <c r="D498" s="89"/>
      <c r="E498" s="89"/>
      <c r="F498" s="89"/>
      <c r="G498" s="89"/>
      <c r="H498" s="89"/>
      <c r="I498" s="303"/>
    </row>
    <row r="499" spans="1:9" ht="15.6">
      <c r="A499" s="300"/>
      <c r="C499" s="302"/>
      <c r="D499" s="89"/>
      <c r="E499" s="89"/>
      <c r="F499" s="89"/>
      <c r="G499" s="89"/>
      <c r="H499" s="89"/>
      <c r="I499" s="303"/>
    </row>
    <row r="500" spans="1:9" ht="15.6">
      <c r="A500" s="300"/>
      <c r="C500" s="302"/>
      <c r="D500" s="89"/>
      <c r="E500" s="89"/>
      <c r="F500" s="89"/>
      <c r="G500" s="89"/>
      <c r="H500" s="89"/>
      <c r="I500" s="303"/>
    </row>
    <row r="501" spans="1:9" ht="15.6">
      <c r="A501" s="300"/>
      <c r="C501" s="302"/>
      <c r="D501" s="89"/>
      <c r="E501" s="89"/>
      <c r="F501" s="89"/>
      <c r="G501" s="89"/>
      <c r="H501" s="89"/>
      <c r="I501" s="303"/>
    </row>
    <row r="502" spans="1:9" ht="15.6">
      <c r="A502" s="300"/>
      <c r="C502" s="302"/>
      <c r="D502" s="89"/>
      <c r="E502" s="89"/>
      <c r="F502" s="89"/>
      <c r="G502" s="89"/>
      <c r="H502" s="89"/>
      <c r="I502" s="303"/>
    </row>
    <row r="503" spans="1:9" ht="15.6">
      <c r="A503" s="300"/>
      <c r="C503" s="302"/>
      <c r="D503" s="89"/>
      <c r="E503" s="89"/>
      <c r="F503" s="89"/>
      <c r="G503" s="89"/>
      <c r="H503" s="89"/>
      <c r="I503" s="303"/>
    </row>
    <row r="504" spans="1:9" ht="15.6">
      <c r="A504" s="300"/>
      <c r="C504" s="302"/>
      <c r="D504" s="89"/>
      <c r="E504" s="89"/>
      <c r="F504" s="89"/>
      <c r="G504" s="89"/>
      <c r="H504" s="89"/>
      <c r="I504" s="303"/>
    </row>
    <row r="505" spans="1:9" ht="15.6">
      <c r="A505" s="300"/>
      <c r="C505" s="302"/>
      <c r="D505" s="89"/>
      <c r="E505" s="89"/>
      <c r="F505" s="89"/>
      <c r="G505" s="89"/>
      <c r="H505" s="89"/>
      <c r="I505" s="303"/>
    </row>
    <row r="506" spans="1:9" ht="15.6">
      <c r="A506" s="300"/>
      <c r="C506" s="302"/>
      <c r="D506" s="89"/>
      <c r="E506" s="89"/>
      <c r="F506" s="89"/>
      <c r="G506" s="89"/>
      <c r="H506" s="89"/>
      <c r="I506" s="303"/>
    </row>
    <row r="507" spans="1:9" ht="15.6">
      <c r="A507" s="300"/>
      <c r="C507" s="302"/>
      <c r="D507" s="89"/>
      <c r="E507" s="89"/>
      <c r="F507" s="89"/>
      <c r="G507" s="89"/>
      <c r="H507" s="89"/>
      <c r="I507" s="303"/>
    </row>
    <row r="508" spans="1:9" ht="15.6">
      <c r="A508" s="300"/>
      <c r="C508" s="302"/>
      <c r="D508" s="89"/>
      <c r="E508" s="89"/>
      <c r="F508" s="89"/>
      <c r="G508" s="89"/>
      <c r="H508" s="89"/>
      <c r="I508" s="303"/>
    </row>
    <row r="509" spans="1:9" ht="15.6">
      <c r="A509" s="300"/>
      <c r="C509" s="302"/>
      <c r="D509" s="89"/>
      <c r="E509" s="89"/>
      <c r="F509" s="89"/>
      <c r="G509" s="89"/>
      <c r="H509" s="89"/>
      <c r="I509" s="303"/>
    </row>
    <row r="510" spans="1:9" ht="15.6">
      <c r="A510" s="300"/>
      <c r="C510" s="302"/>
      <c r="D510" s="89"/>
      <c r="E510" s="89"/>
      <c r="F510" s="89"/>
      <c r="G510" s="89"/>
      <c r="H510" s="89"/>
      <c r="I510" s="303"/>
    </row>
    <row r="511" spans="1:9" ht="15.6">
      <c r="A511" s="300"/>
      <c r="C511" s="302"/>
      <c r="D511" s="89"/>
      <c r="E511" s="89"/>
      <c r="F511" s="89"/>
      <c r="G511" s="89"/>
      <c r="H511" s="89"/>
      <c r="I511" s="303"/>
    </row>
    <row r="512" spans="1:9" ht="15.6">
      <c r="A512" s="300"/>
      <c r="C512" s="302"/>
      <c r="D512" s="89"/>
      <c r="E512" s="89"/>
      <c r="F512" s="89"/>
      <c r="G512" s="89"/>
      <c r="H512" s="89"/>
      <c r="I512" s="303"/>
    </row>
    <row r="513" spans="1:9" ht="15.6">
      <c r="A513" s="300"/>
      <c r="C513" s="302"/>
      <c r="D513" s="89"/>
      <c r="E513" s="89"/>
      <c r="F513" s="89"/>
      <c r="G513" s="89"/>
      <c r="H513" s="89"/>
      <c r="I513" s="303"/>
    </row>
    <row r="514" spans="1:9" ht="15.6">
      <c r="A514" s="300"/>
      <c r="C514" s="302"/>
      <c r="D514" s="89"/>
      <c r="E514" s="89"/>
      <c r="F514" s="89"/>
      <c r="G514" s="89"/>
      <c r="H514" s="89"/>
      <c r="I514" s="303"/>
    </row>
    <row r="515" spans="1:9" ht="15.6">
      <c r="A515" s="300"/>
      <c r="C515" s="302"/>
      <c r="D515" s="89"/>
      <c r="E515" s="89"/>
      <c r="F515" s="89"/>
      <c r="G515" s="89"/>
      <c r="H515" s="89"/>
      <c r="I515" s="303"/>
    </row>
    <row r="516" spans="1:9" ht="15.6">
      <c r="A516" s="300"/>
      <c r="C516" s="302"/>
      <c r="D516" s="89"/>
      <c r="E516" s="89"/>
      <c r="F516" s="89"/>
      <c r="G516" s="89"/>
      <c r="H516" s="89"/>
      <c r="I516" s="303"/>
    </row>
    <row r="517" spans="1:9" ht="15.6">
      <c r="A517" s="300"/>
      <c r="C517" s="302"/>
      <c r="D517" s="89"/>
      <c r="E517" s="89"/>
      <c r="F517" s="89"/>
      <c r="G517" s="89"/>
      <c r="H517" s="89"/>
      <c r="I517" s="303"/>
    </row>
    <row r="518" spans="1:9" ht="15.6">
      <c r="A518" s="300"/>
      <c r="C518" s="302"/>
      <c r="D518" s="89"/>
      <c r="E518" s="89"/>
      <c r="F518" s="89"/>
      <c r="G518" s="89"/>
      <c r="H518" s="89"/>
      <c r="I518" s="303"/>
    </row>
    <row r="519" spans="1:9" ht="15.6">
      <c r="A519" s="300"/>
      <c r="C519" s="302"/>
      <c r="D519" s="89"/>
      <c r="E519" s="89"/>
      <c r="F519" s="89"/>
      <c r="G519" s="89"/>
      <c r="H519" s="89"/>
      <c r="I519" s="303"/>
    </row>
    <row r="520" spans="1:9" ht="15.6">
      <c r="A520" s="300"/>
      <c r="C520" s="302"/>
      <c r="D520" s="89"/>
      <c r="E520" s="89"/>
      <c r="F520" s="89"/>
      <c r="G520" s="89"/>
      <c r="H520" s="89"/>
      <c r="I520" s="303"/>
    </row>
    <row r="521" spans="1:9" ht="15.6">
      <c r="A521" s="300"/>
      <c r="C521" s="302"/>
      <c r="D521" s="89"/>
      <c r="E521" s="89"/>
      <c r="F521" s="89"/>
      <c r="G521" s="89"/>
      <c r="H521" s="89"/>
      <c r="I521" s="303"/>
    </row>
    <row r="522" spans="1:9" ht="15.6">
      <c r="A522" s="300"/>
      <c r="C522" s="302"/>
      <c r="D522" s="89"/>
      <c r="E522" s="89"/>
      <c r="F522" s="89"/>
      <c r="G522" s="89"/>
      <c r="H522" s="89"/>
      <c r="I522" s="303"/>
    </row>
    <row r="523" spans="1:9" ht="15.6">
      <c r="A523" s="300"/>
      <c r="C523" s="302"/>
      <c r="D523" s="89"/>
      <c r="E523" s="89"/>
      <c r="F523" s="89"/>
      <c r="G523" s="89"/>
      <c r="H523" s="89"/>
      <c r="I523" s="303"/>
    </row>
    <row r="524" spans="1:9" ht="15.6">
      <c r="A524" s="300"/>
      <c r="C524" s="302"/>
      <c r="D524" s="89"/>
      <c r="E524" s="89"/>
      <c r="F524" s="89"/>
      <c r="G524" s="89"/>
      <c r="H524" s="89"/>
      <c r="I524" s="303"/>
    </row>
    <row r="525" spans="1:9" ht="15.6">
      <c r="A525" s="300"/>
      <c r="C525" s="302"/>
      <c r="D525" s="89"/>
      <c r="E525" s="89"/>
      <c r="F525" s="89"/>
      <c r="G525" s="89"/>
      <c r="H525" s="89"/>
      <c r="I525" s="303"/>
    </row>
    <row r="526" spans="1:9" ht="15.6">
      <c r="A526" s="300"/>
      <c r="C526" s="302"/>
      <c r="D526" s="89"/>
      <c r="E526" s="89"/>
      <c r="F526" s="89"/>
      <c r="G526" s="89"/>
      <c r="H526" s="89"/>
      <c r="I526" s="303"/>
    </row>
    <row r="527" spans="1:9" ht="15.6">
      <c r="A527" s="300"/>
      <c r="C527" s="302"/>
      <c r="D527" s="89"/>
      <c r="E527" s="89"/>
      <c r="F527" s="89"/>
      <c r="G527" s="89"/>
      <c r="H527" s="89"/>
      <c r="I527" s="303"/>
    </row>
    <row r="528" spans="1:9" ht="15.6">
      <c r="A528" s="300"/>
      <c r="C528" s="302"/>
      <c r="D528" s="89"/>
      <c r="E528" s="89"/>
      <c r="F528" s="89"/>
      <c r="G528" s="89"/>
      <c r="H528" s="89"/>
      <c r="I528" s="303"/>
    </row>
    <row r="529" spans="1:9" ht="15.6">
      <c r="A529" s="300"/>
      <c r="C529" s="302"/>
      <c r="D529" s="89"/>
      <c r="E529" s="89"/>
      <c r="F529" s="89"/>
      <c r="G529" s="89"/>
      <c r="H529" s="89"/>
      <c r="I529" s="303"/>
    </row>
    <row r="530" spans="1:9" ht="15.6">
      <c r="A530" s="300"/>
      <c r="C530" s="302"/>
      <c r="D530" s="89"/>
      <c r="E530" s="89"/>
      <c r="F530" s="89"/>
      <c r="G530" s="89"/>
      <c r="H530" s="89"/>
      <c r="I530" s="303"/>
    </row>
    <row r="531" spans="1:9" ht="15.6">
      <c r="A531" s="300"/>
      <c r="C531" s="302"/>
      <c r="D531" s="89"/>
      <c r="E531" s="89"/>
      <c r="F531" s="89"/>
      <c r="G531" s="89"/>
      <c r="H531" s="89"/>
      <c r="I531" s="303"/>
    </row>
    <row r="532" spans="1:9" ht="15.6">
      <c r="A532" s="300"/>
      <c r="C532" s="302"/>
      <c r="D532" s="89"/>
      <c r="E532" s="89"/>
      <c r="F532" s="89"/>
      <c r="G532" s="89"/>
      <c r="H532" s="89"/>
      <c r="I532" s="303"/>
    </row>
    <row r="533" spans="1:9" ht="15.6">
      <c r="A533" s="300"/>
      <c r="C533" s="302"/>
      <c r="D533" s="89"/>
      <c r="E533" s="89"/>
      <c r="F533" s="89"/>
      <c r="G533" s="89"/>
      <c r="H533" s="89"/>
      <c r="I533" s="303"/>
    </row>
    <row r="534" spans="1:9" ht="15.6">
      <c r="A534" s="300"/>
      <c r="C534" s="302"/>
      <c r="D534" s="89"/>
      <c r="E534" s="89"/>
      <c r="F534" s="89"/>
      <c r="G534" s="89"/>
      <c r="H534" s="89"/>
      <c r="I534" s="303"/>
    </row>
    <row r="535" spans="1:9" ht="15.6">
      <c r="A535" s="300"/>
      <c r="C535" s="302"/>
      <c r="D535" s="89"/>
      <c r="E535" s="89"/>
      <c r="F535" s="89"/>
      <c r="G535" s="89"/>
      <c r="H535" s="89"/>
      <c r="I535" s="303"/>
    </row>
    <row r="536" spans="1:9" ht="15.6">
      <c r="A536" s="300"/>
      <c r="C536" s="302"/>
      <c r="D536" s="89"/>
      <c r="E536" s="89"/>
      <c r="F536" s="89"/>
      <c r="G536" s="89"/>
      <c r="H536" s="89"/>
      <c r="I536" s="303"/>
    </row>
    <row r="537" spans="1:9" ht="15.6">
      <c r="A537" s="300"/>
      <c r="C537" s="302"/>
      <c r="D537" s="89"/>
      <c r="E537" s="89"/>
      <c r="F537" s="89"/>
      <c r="G537" s="89"/>
      <c r="H537" s="89"/>
      <c r="I537" s="303"/>
    </row>
    <row r="538" spans="1:9" ht="15.6">
      <c r="A538" s="300"/>
      <c r="C538" s="302"/>
      <c r="D538" s="89"/>
      <c r="E538" s="89"/>
      <c r="F538" s="89"/>
      <c r="G538" s="89"/>
      <c r="H538" s="89"/>
      <c r="I538" s="303"/>
    </row>
    <row r="539" spans="1:9" ht="15.6">
      <c r="A539" s="300"/>
      <c r="C539" s="302"/>
      <c r="D539" s="89"/>
      <c r="E539" s="89"/>
      <c r="F539" s="89"/>
      <c r="G539" s="89"/>
      <c r="H539" s="89"/>
      <c r="I539" s="303"/>
    </row>
    <row r="540" spans="1:9" ht="15.6">
      <c r="A540" s="300"/>
      <c r="C540" s="302"/>
      <c r="D540" s="89"/>
      <c r="E540" s="89"/>
      <c r="F540" s="89"/>
      <c r="G540" s="89"/>
      <c r="H540" s="89"/>
      <c r="I540" s="303"/>
    </row>
    <row r="541" spans="1:9" ht="15.6">
      <c r="A541" s="300"/>
      <c r="C541" s="302"/>
      <c r="D541" s="89"/>
      <c r="E541" s="89"/>
      <c r="F541" s="89"/>
      <c r="G541" s="89"/>
      <c r="H541" s="89"/>
      <c r="I541" s="303"/>
    </row>
    <row r="542" spans="1:9" ht="15.6">
      <c r="A542" s="300"/>
      <c r="C542" s="302"/>
      <c r="D542" s="89"/>
      <c r="E542" s="89"/>
      <c r="F542" s="89"/>
      <c r="G542" s="89"/>
      <c r="H542" s="89"/>
      <c r="I542" s="303"/>
    </row>
    <row r="543" spans="1:9" ht="15.6">
      <c r="A543" s="300"/>
      <c r="C543" s="302"/>
      <c r="D543" s="89"/>
      <c r="E543" s="89"/>
      <c r="F543" s="89"/>
      <c r="G543" s="89"/>
      <c r="H543" s="89"/>
      <c r="I543" s="303"/>
    </row>
    <row r="544" spans="1:9" ht="15.6">
      <c r="A544" s="300"/>
      <c r="C544" s="302"/>
      <c r="D544" s="89"/>
      <c r="E544" s="89"/>
      <c r="F544" s="89"/>
      <c r="G544" s="89"/>
      <c r="H544" s="89"/>
      <c r="I544" s="303"/>
    </row>
    <row r="545" spans="1:9" ht="15.6">
      <c r="A545" s="300"/>
      <c r="C545" s="302"/>
      <c r="D545" s="89"/>
      <c r="E545" s="89"/>
      <c r="F545" s="89"/>
      <c r="G545" s="89"/>
      <c r="H545" s="89"/>
      <c r="I545" s="303"/>
    </row>
    <row r="546" spans="1:9" ht="15.6">
      <c r="A546" s="300"/>
      <c r="C546" s="302"/>
      <c r="D546" s="89"/>
      <c r="E546" s="89"/>
      <c r="F546" s="89"/>
      <c r="G546" s="89"/>
      <c r="H546" s="89"/>
      <c r="I546" s="303"/>
    </row>
    <row r="547" spans="1:9" ht="15.6">
      <c r="A547" s="300"/>
      <c r="C547" s="302"/>
      <c r="D547" s="89"/>
      <c r="E547" s="89"/>
      <c r="F547" s="89"/>
      <c r="G547" s="89"/>
      <c r="H547" s="89"/>
      <c r="I547" s="303"/>
    </row>
    <row r="548" spans="1:9" ht="15.6">
      <c r="A548" s="300"/>
      <c r="C548" s="302"/>
      <c r="D548" s="89"/>
      <c r="E548" s="89"/>
      <c r="F548" s="89"/>
      <c r="G548" s="89"/>
      <c r="H548" s="89"/>
      <c r="I548" s="303"/>
    </row>
    <row r="549" spans="1:9" ht="15.6">
      <c r="A549" s="300"/>
      <c r="C549" s="302"/>
      <c r="D549" s="89"/>
      <c r="E549" s="89"/>
      <c r="F549" s="89"/>
      <c r="G549" s="89"/>
      <c r="H549" s="89"/>
      <c r="I549" s="303"/>
    </row>
    <row r="550" spans="1:9" ht="15.6">
      <c r="A550" s="300"/>
      <c r="C550" s="302"/>
      <c r="D550" s="89"/>
      <c r="E550" s="89"/>
      <c r="F550" s="89"/>
      <c r="G550" s="89"/>
      <c r="H550" s="89"/>
      <c r="I550" s="303"/>
    </row>
    <row r="551" spans="1:9" ht="15.6">
      <c r="A551" s="300"/>
      <c r="C551" s="302"/>
      <c r="D551" s="89"/>
      <c r="E551" s="89"/>
      <c r="F551" s="89"/>
      <c r="G551" s="89"/>
      <c r="H551" s="89"/>
      <c r="I551" s="303"/>
    </row>
    <row r="552" spans="1:9" ht="15.6">
      <c r="A552" s="300"/>
      <c r="C552" s="302"/>
      <c r="D552" s="89"/>
      <c r="E552" s="89"/>
      <c r="F552" s="89"/>
      <c r="G552" s="89"/>
      <c r="H552" s="89"/>
      <c r="I552" s="303"/>
    </row>
    <row r="553" spans="1:9" ht="15.6">
      <c r="A553" s="300"/>
      <c r="C553" s="302"/>
      <c r="D553" s="89"/>
      <c r="E553" s="89"/>
      <c r="F553" s="89"/>
      <c r="G553" s="89"/>
      <c r="H553" s="89"/>
      <c r="I553" s="303"/>
    </row>
    <row r="554" spans="1:9" ht="15.6">
      <c r="A554" s="300"/>
      <c r="C554" s="302"/>
      <c r="D554" s="89"/>
      <c r="E554" s="89"/>
      <c r="F554" s="89"/>
      <c r="G554" s="89"/>
      <c r="H554" s="89"/>
      <c r="I554" s="303"/>
    </row>
    <row r="555" spans="1:9" ht="15.6">
      <c r="A555" s="300"/>
      <c r="C555" s="302"/>
      <c r="D555" s="89"/>
      <c r="E555" s="89"/>
      <c r="F555" s="89"/>
      <c r="G555" s="89"/>
      <c r="H555" s="89"/>
      <c r="I555" s="303"/>
    </row>
    <row r="556" spans="1:9" ht="15.6">
      <c r="A556" s="300"/>
      <c r="C556" s="302"/>
      <c r="D556" s="89"/>
      <c r="E556" s="89"/>
      <c r="F556" s="89"/>
      <c r="G556" s="89"/>
      <c r="H556" s="89"/>
      <c r="I556" s="303"/>
    </row>
    <row r="557" spans="1:9" ht="15.6">
      <c r="A557" s="300"/>
      <c r="C557" s="302"/>
      <c r="D557" s="89"/>
      <c r="E557" s="89"/>
      <c r="F557" s="89"/>
      <c r="G557" s="89"/>
      <c r="H557" s="89"/>
      <c r="I557" s="303"/>
    </row>
    <row r="558" spans="1:9" ht="15.6">
      <c r="A558" s="300"/>
      <c r="C558" s="302"/>
      <c r="D558" s="89"/>
      <c r="E558" s="89"/>
      <c r="F558" s="89"/>
      <c r="G558" s="89"/>
      <c r="H558" s="89"/>
      <c r="I558" s="303"/>
    </row>
    <row r="559" spans="1:9" ht="15.6">
      <c r="A559" s="300"/>
      <c r="C559" s="302"/>
      <c r="D559" s="89"/>
      <c r="E559" s="89"/>
      <c r="F559" s="89"/>
      <c r="G559" s="89"/>
      <c r="H559" s="89"/>
      <c r="I559" s="303"/>
    </row>
    <row r="560" spans="1:9" ht="15.6">
      <c r="A560" s="300"/>
      <c r="C560" s="302"/>
      <c r="D560" s="89"/>
      <c r="E560" s="89"/>
      <c r="F560" s="89"/>
      <c r="G560" s="89"/>
      <c r="H560" s="89"/>
      <c r="I560" s="303"/>
    </row>
    <row r="561" spans="1:9" ht="15.6">
      <c r="A561" s="300"/>
      <c r="C561" s="302"/>
      <c r="D561" s="89"/>
      <c r="E561" s="89"/>
      <c r="F561" s="89"/>
      <c r="G561" s="89"/>
      <c r="H561" s="89"/>
      <c r="I561" s="303"/>
    </row>
    <row r="562" spans="1:9" ht="15.6">
      <c r="A562" s="300"/>
      <c r="C562" s="302"/>
      <c r="D562" s="89"/>
      <c r="E562" s="89"/>
      <c r="F562" s="89"/>
      <c r="G562" s="89"/>
      <c r="H562" s="89"/>
      <c r="I562" s="303"/>
    </row>
    <row r="563" spans="1:9" ht="15.6">
      <c r="A563" s="300"/>
      <c r="C563" s="302"/>
      <c r="D563" s="89"/>
      <c r="E563" s="89"/>
      <c r="F563" s="89"/>
      <c r="G563" s="89"/>
      <c r="H563" s="89"/>
      <c r="I563" s="303"/>
    </row>
    <row r="564" spans="1:9" ht="15.6">
      <c r="A564" s="300"/>
      <c r="C564" s="302"/>
      <c r="D564" s="89"/>
      <c r="E564" s="89"/>
      <c r="F564" s="89"/>
      <c r="G564" s="89"/>
      <c r="H564" s="89"/>
      <c r="I564" s="303"/>
    </row>
    <row r="565" spans="1:9" ht="15.6">
      <c r="A565" s="300"/>
      <c r="C565" s="302"/>
      <c r="D565" s="89"/>
      <c r="E565" s="89"/>
      <c r="F565" s="89"/>
      <c r="G565" s="89"/>
      <c r="H565" s="89"/>
      <c r="I565" s="303"/>
    </row>
    <row r="566" spans="1:9" ht="15.6">
      <c r="A566" s="300"/>
      <c r="C566" s="302"/>
      <c r="D566" s="89"/>
      <c r="E566" s="89"/>
      <c r="F566" s="89"/>
      <c r="G566" s="89"/>
      <c r="H566" s="89"/>
      <c r="I566" s="303"/>
    </row>
    <row r="567" spans="1:9" ht="15.6">
      <c r="A567" s="300"/>
      <c r="C567" s="302"/>
      <c r="D567" s="89"/>
      <c r="E567" s="89"/>
      <c r="F567" s="89"/>
      <c r="G567" s="89"/>
      <c r="H567" s="89"/>
      <c r="I567" s="303"/>
    </row>
    <row r="568" spans="1:9" ht="15.6">
      <c r="A568" s="300"/>
      <c r="C568" s="302"/>
      <c r="D568" s="89"/>
      <c r="E568" s="89"/>
      <c r="F568" s="89"/>
      <c r="G568" s="89"/>
      <c r="H568" s="89"/>
      <c r="I568" s="303"/>
    </row>
    <row r="569" spans="1:9" ht="15.6">
      <c r="A569" s="300"/>
      <c r="C569" s="302"/>
      <c r="D569" s="89"/>
      <c r="E569" s="89"/>
      <c r="F569" s="89"/>
      <c r="G569" s="89"/>
      <c r="H569" s="89"/>
      <c r="I569" s="303"/>
    </row>
    <row r="570" spans="1:9" ht="15.6">
      <c r="A570" s="300"/>
      <c r="C570" s="302"/>
      <c r="D570" s="89"/>
      <c r="E570" s="89"/>
      <c r="F570" s="89"/>
      <c r="G570" s="89"/>
      <c r="H570" s="89"/>
      <c r="I570" s="303"/>
    </row>
    <row r="571" spans="1:9" ht="15.6">
      <c r="A571" s="300"/>
      <c r="C571" s="302"/>
      <c r="D571" s="89"/>
      <c r="E571" s="89"/>
      <c r="F571" s="89"/>
      <c r="G571" s="89"/>
      <c r="H571" s="89"/>
      <c r="I571" s="303"/>
    </row>
    <row r="572" spans="1:9" ht="15.6">
      <c r="A572" s="300"/>
      <c r="C572" s="302"/>
      <c r="D572" s="89"/>
      <c r="E572" s="89"/>
      <c r="F572" s="89"/>
      <c r="G572" s="89"/>
      <c r="H572" s="89"/>
      <c r="I572" s="303"/>
    </row>
    <row r="573" spans="1:9" ht="15.6">
      <c r="A573" s="300"/>
      <c r="C573" s="302"/>
      <c r="D573" s="89"/>
      <c r="E573" s="89"/>
      <c r="F573" s="89"/>
      <c r="G573" s="89"/>
      <c r="H573" s="89"/>
      <c r="I573" s="303"/>
    </row>
    <row r="574" spans="1:9" ht="15.6">
      <c r="A574" s="300"/>
      <c r="C574" s="302"/>
      <c r="D574" s="89"/>
      <c r="E574" s="89"/>
      <c r="F574" s="89"/>
      <c r="G574" s="89"/>
      <c r="H574" s="89"/>
      <c r="I574" s="303"/>
    </row>
    <row r="575" spans="1:9" ht="15.6">
      <c r="A575" s="300"/>
      <c r="C575" s="302"/>
      <c r="D575" s="89"/>
      <c r="E575" s="89"/>
      <c r="F575" s="89"/>
      <c r="G575" s="89"/>
      <c r="H575" s="89"/>
      <c r="I575" s="303"/>
    </row>
    <row r="576" spans="1:9" ht="15.6">
      <c r="A576" s="300"/>
      <c r="C576" s="302"/>
      <c r="D576" s="89"/>
      <c r="E576" s="89"/>
      <c r="F576" s="89"/>
      <c r="G576" s="89"/>
      <c r="H576" s="89"/>
      <c r="I576" s="303"/>
    </row>
    <row r="577" spans="1:9" ht="15.6">
      <c r="A577" s="300"/>
      <c r="C577" s="302"/>
      <c r="D577" s="89"/>
      <c r="E577" s="89"/>
      <c r="F577" s="89"/>
      <c r="G577" s="89"/>
      <c r="H577" s="89"/>
      <c r="I577" s="303"/>
    </row>
    <row r="578" spans="1:9" ht="15.6">
      <c r="A578" s="300"/>
      <c r="C578" s="302"/>
      <c r="D578" s="89"/>
      <c r="E578" s="89"/>
      <c r="F578" s="89"/>
      <c r="G578" s="89"/>
      <c r="H578" s="89"/>
      <c r="I578" s="303"/>
    </row>
    <row r="579" spans="1:9" ht="15.6">
      <c r="A579" s="300"/>
      <c r="C579" s="302"/>
      <c r="D579" s="89"/>
      <c r="E579" s="89"/>
      <c r="F579" s="89"/>
      <c r="G579" s="89"/>
      <c r="H579" s="89"/>
      <c r="I579" s="303"/>
    </row>
    <row r="580" spans="1:9" ht="15.6">
      <c r="A580" s="300"/>
      <c r="C580" s="302"/>
      <c r="D580" s="89"/>
      <c r="E580" s="89"/>
      <c r="F580" s="89"/>
      <c r="G580" s="89"/>
      <c r="H580" s="89"/>
      <c r="I580" s="303"/>
    </row>
    <row r="581" spans="1:9" ht="15.6">
      <c r="A581" s="300"/>
      <c r="C581" s="302"/>
      <c r="D581" s="89"/>
      <c r="E581" s="89"/>
      <c r="F581" s="89"/>
      <c r="G581" s="89"/>
      <c r="H581" s="89"/>
      <c r="I581" s="303"/>
    </row>
    <row r="582" spans="1:9" ht="15.6">
      <c r="A582" s="300"/>
      <c r="C582" s="302"/>
      <c r="D582" s="89"/>
      <c r="E582" s="89"/>
      <c r="F582" s="89"/>
      <c r="G582" s="89"/>
      <c r="H582" s="89"/>
      <c r="I582" s="303"/>
    </row>
    <row r="583" spans="1:9" ht="15.6">
      <c r="A583" s="300"/>
      <c r="C583" s="302"/>
      <c r="D583" s="89"/>
      <c r="E583" s="89"/>
      <c r="F583" s="89"/>
      <c r="G583" s="89"/>
      <c r="H583" s="89"/>
      <c r="I583" s="303"/>
    </row>
    <row r="584" spans="1:9" ht="15.6">
      <c r="A584" s="300"/>
      <c r="C584" s="302"/>
      <c r="D584" s="89"/>
      <c r="E584" s="89"/>
      <c r="F584" s="89"/>
      <c r="G584" s="89"/>
      <c r="H584" s="89"/>
      <c r="I584" s="303"/>
    </row>
    <row r="585" spans="1:9" ht="15.6">
      <c r="A585" s="300"/>
      <c r="C585" s="302"/>
      <c r="D585" s="89"/>
      <c r="E585" s="89"/>
      <c r="F585" s="89"/>
      <c r="G585" s="89"/>
      <c r="H585" s="89"/>
      <c r="I585" s="303"/>
    </row>
    <row r="586" spans="1:9" ht="15.6">
      <c r="A586" s="300"/>
      <c r="C586" s="302"/>
      <c r="D586" s="89"/>
      <c r="E586" s="89"/>
      <c r="F586" s="89"/>
      <c r="G586" s="89"/>
      <c r="H586" s="89"/>
      <c r="I586" s="303"/>
    </row>
    <row r="587" spans="1:9" ht="15.6">
      <c r="A587" s="300"/>
      <c r="C587" s="302"/>
      <c r="D587" s="89"/>
      <c r="E587" s="89"/>
      <c r="F587" s="89"/>
      <c r="G587" s="89"/>
      <c r="H587" s="89"/>
      <c r="I587" s="303"/>
    </row>
    <row r="588" spans="1:9" ht="15.6">
      <c r="A588" s="300"/>
      <c r="C588" s="302"/>
      <c r="D588" s="89"/>
      <c r="E588" s="89"/>
      <c r="F588" s="89"/>
      <c r="G588" s="89"/>
      <c r="H588" s="89"/>
      <c r="I588" s="303"/>
    </row>
    <row r="589" spans="1:9" ht="15.6">
      <c r="A589" s="300"/>
      <c r="C589" s="302"/>
      <c r="D589" s="89"/>
      <c r="E589" s="89"/>
      <c r="F589" s="89"/>
      <c r="G589" s="89"/>
      <c r="H589" s="89"/>
      <c r="I589" s="303"/>
    </row>
    <row r="590" spans="1:9" ht="15.6">
      <c r="A590" s="300"/>
      <c r="C590" s="302"/>
      <c r="D590" s="89"/>
      <c r="E590" s="89"/>
      <c r="F590" s="89"/>
      <c r="G590" s="89"/>
      <c r="H590" s="89"/>
      <c r="I590" s="303"/>
    </row>
    <row r="591" spans="1:9" ht="15.6">
      <c r="A591" s="300"/>
      <c r="C591" s="302"/>
      <c r="D591" s="89"/>
      <c r="E591" s="89"/>
      <c r="F591" s="89"/>
      <c r="G591" s="89"/>
      <c r="H591" s="89"/>
      <c r="I591" s="303"/>
    </row>
    <row r="592" spans="1:9" ht="15.6">
      <c r="A592" s="300"/>
      <c r="C592" s="302"/>
      <c r="D592" s="89"/>
      <c r="E592" s="89"/>
      <c r="F592" s="89"/>
      <c r="G592" s="89"/>
      <c r="H592" s="89"/>
      <c r="I592" s="303"/>
    </row>
    <row r="593" spans="1:9" ht="15.6">
      <c r="A593" s="300"/>
      <c r="C593" s="302"/>
      <c r="D593" s="89"/>
      <c r="E593" s="89"/>
      <c r="F593" s="89"/>
      <c r="G593" s="89"/>
      <c r="H593" s="89"/>
      <c r="I593" s="303"/>
    </row>
    <row r="594" spans="1:9" ht="15.6">
      <c r="A594" s="300"/>
      <c r="C594" s="302"/>
      <c r="D594" s="89"/>
      <c r="E594" s="89"/>
      <c r="F594" s="89"/>
      <c r="G594" s="89"/>
      <c r="H594" s="89"/>
      <c r="I594" s="303"/>
    </row>
    <row r="595" spans="1:9" ht="15.6">
      <c r="A595" s="300"/>
      <c r="C595" s="302"/>
      <c r="D595" s="89"/>
      <c r="E595" s="89"/>
      <c r="F595" s="89"/>
      <c r="G595" s="89"/>
      <c r="H595" s="89"/>
      <c r="I595" s="303"/>
    </row>
    <row r="596" spans="1:9" ht="15.6">
      <c r="A596" s="300"/>
      <c r="C596" s="302"/>
      <c r="D596" s="89"/>
      <c r="E596" s="89"/>
      <c r="F596" s="89"/>
      <c r="G596" s="89"/>
      <c r="H596" s="89"/>
      <c r="I596" s="303"/>
    </row>
    <row r="597" spans="1:9" ht="15.6">
      <c r="A597" s="300"/>
      <c r="C597" s="302"/>
      <c r="D597" s="89"/>
      <c r="E597" s="89"/>
      <c r="F597" s="89"/>
      <c r="G597" s="89"/>
      <c r="H597" s="89"/>
      <c r="I597" s="303"/>
    </row>
    <row r="598" spans="1:9" ht="15.6">
      <c r="A598" s="300"/>
      <c r="C598" s="302"/>
      <c r="D598" s="89"/>
      <c r="E598" s="89"/>
      <c r="F598" s="89"/>
      <c r="G598" s="89"/>
      <c r="H598" s="89"/>
      <c r="I598" s="303"/>
    </row>
    <row r="599" spans="1:9" ht="15.6">
      <c r="A599" s="300"/>
      <c r="C599" s="302"/>
      <c r="D599" s="89"/>
      <c r="E599" s="89"/>
      <c r="F599" s="89"/>
      <c r="G599" s="89"/>
      <c r="H599" s="89"/>
      <c r="I599" s="303"/>
    </row>
    <row r="600" spans="1:9" ht="15.6">
      <c r="A600" s="300"/>
      <c r="C600" s="302"/>
      <c r="D600" s="89"/>
      <c r="E600" s="89"/>
      <c r="F600" s="89"/>
      <c r="G600" s="89"/>
      <c r="H600" s="89"/>
      <c r="I600" s="303"/>
    </row>
    <row r="601" spans="1:9" ht="15.6">
      <c r="A601" s="300"/>
      <c r="C601" s="302"/>
      <c r="D601" s="89"/>
      <c r="E601" s="89"/>
      <c r="F601" s="89"/>
      <c r="G601" s="89"/>
      <c r="H601" s="89"/>
      <c r="I601" s="303"/>
    </row>
    <row r="602" spans="1:9" ht="15.6">
      <c r="A602" s="300"/>
      <c r="C602" s="302"/>
      <c r="D602" s="89"/>
      <c r="E602" s="89"/>
      <c r="F602" s="89"/>
      <c r="G602" s="89"/>
      <c r="H602" s="89"/>
      <c r="I602" s="303"/>
    </row>
    <row r="603" spans="1:9" ht="15.6">
      <c r="A603" s="300"/>
      <c r="C603" s="302"/>
      <c r="D603" s="89"/>
      <c r="E603" s="89"/>
      <c r="F603" s="89"/>
      <c r="G603" s="89"/>
      <c r="H603" s="89"/>
      <c r="I603" s="303"/>
    </row>
    <row r="604" spans="1:9" ht="15.6">
      <c r="A604" s="300"/>
      <c r="C604" s="302"/>
      <c r="D604" s="89"/>
      <c r="E604" s="89"/>
      <c r="F604" s="89"/>
      <c r="G604" s="89"/>
      <c r="H604" s="89"/>
      <c r="I604" s="303"/>
    </row>
    <row r="605" spans="1:9" ht="15.6">
      <c r="A605" s="300"/>
      <c r="C605" s="302"/>
      <c r="D605" s="89"/>
      <c r="E605" s="89"/>
      <c r="F605" s="89"/>
      <c r="G605" s="89"/>
      <c r="H605" s="89"/>
      <c r="I605" s="303"/>
    </row>
    <row r="606" spans="1:9" ht="15.6">
      <c r="A606" s="300"/>
      <c r="C606" s="302"/>
      <c r="D606" s="89"/>
      <c r="E606" s="89"/>
      <c r="F606" s="89"/>
      <c r="G606" s="89"/>
      <c r="H606" s="89"/>
      <c r="I606" s="303"/>
    </row>
    <row r="607" spans="1:9" ht="15.6">
      <c r="A607" s="300"/>
      <c r="C607" s="302"/>
      <c r="D607" s="89"/>
      <c r="E607" s="89"/>
      <c r="F607" s="89"/>
      <c r="G607" s="89"/>
      <c r="H607" s="89"/>
      <c r="I607" s="303"/>
    </row>
    <row r="608" spans="1:9" ht="15.6">
      <c r="A608" s="300"/>
      <c r="C608" s="302"/>
      <c r="D608" s="89"/>
      <c r="E608" s="89"/>
      <c r="F608" s="89"/>
      <c r="G608" s="89"/>
      <c r="H608" s="89"/>
      <c r="I608" s="303"/>
    </row>
    <row r="609" spans="1:9" ht="15.6">
      <c r="A609" s="300"/>
      <c r="C609" s="302"/>
      <c r="D609" s="89"/>
      <c r="E609" s="89"/>
      <c r="F609" s="89"/>
      <c r="G609" s="89"/>
      <c r="H609" s="89"/>
      <c r="I609" s="303"/>
    </row>
    <row r="610" spans="1:9" ht="15.6">
      <c r="A610" s="300"/>
      <c r="C610" s="302"/>
      <c r="D610" s="89"/>
      <c r="E610" s="89"/>
      <c r="F610" s="89"/>
      <c r="G610" s="89"/>
      <c r="H610" s="89"/>
      <c r="I610" s="303"/>
    </row>
    <row r="611" spans="1:9" ht="15.6">
      <c r="A611" s="300"/>
      <c r="C611" s="302"/>
      <c r="D611" s="89"/>
      <c r="E611" s="89"/>
      <c r="F611" s="89"/>
      <c r="G611" s="89"/>
      <c r="H611" s="89"/>
      <c r="I611" s="303"/>
    </row>
    <row r="612" spans="1:9" ht="15.6">
      <c r="A612" s="300"/>
      <c r="C612" s="302"/>
      <c r="D612" s="89"/>
      <c r="E612" s="89"/>
      <c r="F612" s="89"/>
      <c r="G612" s="89"/>
      <c r="H612" s="89"/>
      <c r="I612" s="303"/>
    </row>
    <row r="613" spans="1:9" ht="15.6">
      <c r="A613" s="300"/>
      <c r="C613" s="302"/>
      <c r="D613" s="89"/>
      <c r="E613" s="89"/>
      <c r="F613" s="89"/>
      <c r="G613" s="89"/>
      <c r="H613" s="89"/>
      <c r="I613" s="303"/>
    </row>
    <row r="614" spans="1:9" ht="15.6">
      <c r="A614" s="300"/>
      <c r="C614" s="302"/>
      <c r="D614" s="89"/>
      <c r="E614" s="89"/>
      <c r="F614" s="89"/>
      <c r="G614" s="89"/>
      <c r="H614" s="89"/>
      <c r="I614" s="303"/>
    </row>
    <row r="615" spans="1:9" ht="15.6">
      <c r="A615" s="300"/>
      <c r="C615" s="302"/>
      <c r="D615" s="89"/>
      <c r="E615" s="89"/>
      <c r="F615" s="89"/>
      <c r="G615" s="89"/>
      <c r="H615" s="89"/>
      <c r="I615" s="303"/>
    </row>
    <row r="616" spans="1:9" ht="15.6">
      <c r="A616" s="300"/>
      <c r="C616" s="302"/>
      <c r="D616" s="89"/>
      <c r="E616" s="89"/>
      <c r="F616" s="89"/>
      <c r="G616" s="89"/>
      <c r="H616" s="89"/>
      <c r="I616" s="303"/>
    </row>
    <row r="617" spans="1:9" ht="15.6">
      <c r="A617" s="300"/>
      <c r="C617" s="302"/>
      <c r="D617" s="89"/>
      <c r="E617" s="89"/>
      <c r="F617" s="89"/>
      <c r="G617" s="89"/>
      <c r="H617" s="89"/>
      <c r="I617" s="303"/>
    </row>
    <row r="618" spans="1:9" ht="15.6">
      <c r="A618" s="300"/>
      <c r="C618" s="302"/>
      <c r="D618" s="89"/>
      <c r="E618" s="89"/>
      <c r="F618" s="89"/>
      <c r="G618" s="89"/>
      <c r="H618" s="89"/>
      <c r="I618" s="303"/>
    </row>
    <row r="619" spans="1:9" ht="15.6">
      <c r="A619" s="300"/>
      <c r="C619" s="302"/>
      <c r="D619" s="89"/>
      <c r="E619" s="89"/>
      <c r="F619" s="89"/>
      <c r="G619" s="89"/>
      <c r="H619" s="89"/>
      <c r="I619" s="303"/>
    </row>
    <row r="620" spans="1:9" ht="15.6">
      <c r="A620" s="300"/>
      <c r="C620" s="302"/>
      <c r="D620" s="89"/>
      <c r="E620" s="89"/>
      <c r="F620" s="89"/>
      <c r="G620" s="89"/>
      <c r="H620" s="89"/>
      <c r="I620" s="303"/>
    </row>
    <row r="621" spans="1:9" ht="15.6">
      <c r="A621" s="300"/>
      <c r="C621" s="302"/>
      <c r="D621" s="89"/>
      <c r="E621" s="89"/>
      <c r="F621" s="89"/>
      <c r="G621" s="89"/>
      <c r="H621" s="89"/>
      <c r="I621" s="303"/>
    </row>
    <row r="622" spans="1:9" ht="15.6">
      <c r="A622" s="300"/>
      <c r="C622" s="302"/>
      <c r="D622" s="89"/>
      <c r="E622" s="89"/>
      <c r="F622" s="89"/>
      <c r="G622" s="89"/>
      <c r="H622" s="89"/>
      <c r="I622" s="303"/>
    </row>
    <row r="623" spans="1:9" ht="15.6">
      <c r="A623" s="300"/>
      <c r="C623" s="302"/>
      <c r="D623" s="89"/>
      <c r="E623" s="89"/>
      <c r="F623" s="89"/>
      <c r="G623" s="89"/>
      <c r="H623" s="89"/>
      <c r="I623" s="303"/>
    </row>
    <row r="624" spans="1:9" ht="15.6">
      <c r="A624" s="300"/>
      <c r="C624" s="302"/>
      <c r="D624" s="89"/>
      <c r="E624" s="89"/>
      <c r="F624" s="89"/>
      <c r="G624" s="89"/>
      <c r="H624" s="89"/>
      <c r="I624" s="303"/>
    </row>
    <row r="625" spans="1:9" ht="15.6">
      <c r="A625" s="300"/>
      <c r="C625" s="302"/>
      <c r="D625" s="89"/>
      <c r="E625" s="89"/>
      <c r="F625" s="89"/>
      <c r="G625" s="89"/>
      <c r="H625" s="89"/>
      <c r="I625" s="303"/>
    </row>
    <row r="626" spans="1:9" ht="15.6">
      <c r="A626" s="300"/>
      <c r="C626" s="302"/>
      <c r="D626" s="89"/>
      <c r="E626" s="89"/>
      <c r="F626" s="89"/>
      <c r="G626" s="89"/>
      <c r="H626" s="89"/>
      <c r="I626" s="303"/>
    </row>
    <row r="627" spans="1:9" ht="15.6">
      <c r="A627" s="300"/>
      <c r="C627" s="302"/>
      <c r="D627" s="89"/>
      <c r="E627" s="89"/>
      <c r="F627" s="89"/>
      <c r="G627" s="89"/>
      <c r="H627" s="89"/>
      <c r="I627" s="303"/>
    </row>
    <row r="628" spans="1:9" ht="15.6">
      <c r="A628" s="300"/>
      <c r="C628" s="302"/>
      <c r="D628" s="89"/>
      <c r="E628" s="89"/>
      <c r="F628" s="89"/>
      <c r="G628" s="89"/>
      <c r="H628" s="89"/>
      <c r="I628" s="303"/>
    </row>
    <row r="629" spans="1:9" ht="15.6">
      <c r="A629" s="300"/>
      <c r="C629" s="302"/>
      <c r="D629" s="89"/>
      <c r="E629" s="89"/>
      <c r="F629" s="89"/>
      <c r="G629" s="89"/>
      <c r="H629" s="89"/>
      <c r="I629" s="303"/>
    </row>
    <row r="630" spans="1:9" ht="15.6">
      <c r="A630" s="300"/>
      <c r="C630" s="302"/>
      <c r="D630" s="89"/>
      <c r="E630" s="89"/>
      <c r="F630" s="89"/>
      <c r="G630" s="89"/>
      <c r="H630" s="89"/>
      <c r="I630" s="303"/>
    </row>
    <row r="631" spans="1:9" ht="15.6">
      <c r="A631" s="300"/>
      <c r="C631" s="302"/>
      <c r="D631" s="89"/>
      <c r="E631" s="89"/>
      <c r="F631" s="89"/>
      <c r="G631" s="89"/>
      <c r="H631" s="89"/>
      <c r="I631" s="303"/>
    </row>
    <row r="632" spans="1:9" ht="15.6">
      <c r="A632" s="300"/>
      <c r="C632" s="302"/>
      <c r="D632" s="89"/>
      <c r="E632" s="89"/>
      <c r="F632" s="89"/>
      <c r="G632" s="89"/>
      <c r="H632" s="89"/>
      <c r="I632" s="303"/>
    </row>
    <row r="633" spans="1:9" ht="15.6">
      <c r="A633" s="300"/>
      <c r="C633" s="302"/>
      <c r="D633" s="89"/>
      <c r="E633" s="89"/>
      <c r="F633" s="89"/>
      <c r="G633" s="89"/>
      <c r="H633" s="89"/>
      <c r="I633" s="303"/>
    </row>
    <row r="634" spans="1:9" ht="15.6">
      <c r="A634" s="300"/>
      <c r="C634" s="302"/>
      <c r="D634" s="89"/>
      <c r="E634" s="89"/>
      <c r="F634" s="89"/>
      <c r="G634" s="89"/>
      <c r="H634" s="89"/>
      <c r="I634" s="303"/>
    </row>
    <row r="635" spans="1:9" ht="15.6">
      <c r="A635" s="300"/>
      <c r="C635" s="302"/>
      <c r="D635" s="89"/>
      <c r="E635" s="89"/>
      <c r="F635" s="89"/>
      <c r="G635" s="89"/>
      <c r="H635" s="89"/>
      <c r="I635" s="303"/>
    </row>
    <row r="636" spans="1:9" ht="15.6">
      <c r="A636" s="300"/>
      <c r="C636" s="302"/>
      <c r="D636" s="89"/>
      <c r="E636" s="89"/>
      <c r="F636" s="89"/>
      <c r="G636" s="89"/>
      <c r="H636" s="89"/>
      <c r="I636" s="303"/>
    </row>
    <row r="637" spans="1:9" ht="15.6">
      <c r="A637" s="300"/>
      <c r="C637" s="302"/>
      <c r="D637" s="89"/>
      <c r="E637" s="89"/>
      <c r="F637" s="89"/>
      <c r="G637" s="89"/>
      <c r="H637" s="89"/>
      <c r="I637" s="303"/>
    </row>
    <row r="638" spans="1:9" ht="15.6">
      <c r="A638" s="300"/>
      <c r="C638" s="302"/>
      <c r="D638" s="89"/>
      <c r="E638" s="89"/>
      <c r="F638" s="89"/>
      <c r="G638" s="89"/>
      <c r="H638" s="89"/>
      <c r="I638" s="303"/>
    </row>
    <row r="639" spans="1:9" ht="15.6">
      <c r="A639" s="300"/>
      <c r="C639" s="302"/>
      <c r="D639" s="89"/>
      <c r="E639" s="89"/>
      <c r="F639" s="89"/>
      <c r="G639" s="89"/>
      <c r="H639" s="89"/>
      <c r="I639" s="303"/>
    </row>
    <row r="640" spans="1:9" ht="15.6">
      <c r="A640" s="300"/>
      <c r="C640" s="302"/>
      <c r="D640" s="89"/>
      <c r="E640" s="89"/>
      <c r="F640" s="89"/>
      <c r="G640" s="89"/>
      <c r="H640" s="89"/>
      <c r="I640" s="303"/>
    </row>
    <row r="641" spans="1:9" ht="15.6">
      <c r="A641" s="300"/>
      <c r="C641" s="302"/>
      <c r="D641" s="89"/>
      <c r="E641" s="89"/>
      <c r="F641" s="89"/>
      <c r="G641" s="89"/>
      <c r="H641" s="89"/>
      <c r="I641" s="303"/>
    </row>
    <row r="642" spans="1:9" ht="15.6">
      <c r="A642" s="300"/>
      <c r="C642" s="302"/>
      <c r="D642" s="89"/>
      <c r="E642" s="89"/>
      <c r="F642" s="89"/>
      <c r="G642" s="89"/>
      <c r="H642" s="89"/>
      <c r="I642" s="303"/>
    </row>
    <row r="643" spans="1:9" ht="15.6">
      <c r="A643" s="300"/>
      <c r="C643" s="302"/>
      <c r="D643" s="89"/>
      <c r="E643" s="89"/>
      <c r="F643" s="89"/>
      <c r="G643" s="89"/>
      <c r="H643" s="89"/>
      <c r="I643" s="303"/>
    </row>
    <row r="644" spans="1:9" ht="15.6">
      <c r="A644" s="300"/>
      <c r="C644" s="302"/>
      <c r="D644" s="89"/>
      <c r="E644" s="89"/>
      <c r="F644" s="89"/>
      <c r="G644" s="89"/>
      <c r="H644" s="89"/>
      <c r="I644" s="303"/>
    </row>
    <row r="645" spans="1:9" ht="15.6">
      <c r="A645" s="300"/>
      <c r="C645" s="302"/>
      <c r="D645" s="89"/>
      <c r="E645" s="89"/>
      <c r="F645" s="89"/>
      <c r="G645" s="89"/>
      <c r="H645" s="89"/>
      <c r="I645" s="303"/>
    </row>
    <row r="646" spans="1:9" ht="15.6">
      <c r="A646" s="300"/>
      <c r="C646" s="302"/>
      <c r="D646" s="89"/>
      <c r="E646" s="89"/>
      <c r="F646" s="89"/>
      <c r="G646" s="89"/>
      <c r="H646" s="89"/>
      <c r="I646" s="303"/>
    </row>
    <row r="647" spans="1:9" ht="15.6">
      <c r="A647" s="300"/>
      <c r="C647" s="302"/>
      <c r="D647" s="89"/>
      <c r="E647" s="89"/>
      <c r="F647" s="89"/>
      <c r="G647" s="89"/>
      <c r="H647" s="89"/>
      <c r="I647" s="303"/>
    </row>
    <row r="648" spans="1:9" ht="15.6">
      <c r="A648" s="300"/>
      <c r="C648" s="302"/>
      <c r="D648" s="89"/>
      <c r="E648" s="89"/>
      <c r="F648" s="89"/>
      <c r="G648" s="89"/>
      <c r="H648" s="89"/>
      <c r="I648" s="303"/>
    </row>
    <row r="649" spans="1:9" ht="15.6">
      <c r="A649" s="300"/>
      <c r="C649" s="302"/>
      <c r="D649" s="89"/>
      <c r="E649" s="89"/>
      <c r="F649" s="89"/>
      <c r="G649" s="89"/>
      <c r="H649" s="89"/>
      <c r="I649" s="303"/>
    </row>
    <row r="650" spans="1:9" ht="15.6">
      <c r="A650" s="300"/>
      <c r="C650" s="302"/>
      <c r="D650" s="89"/>
      <c r="E650" s="89"/>
      <c r="F650" s="89"/>
      <c r="G650" s="89"/>
      <c r="H650" s="89"/>
      <c r="I650" s="303"/>
    </row>
    <row r="651" spans="1:9" ht="15.6">
      <c r="A651" s="300"/>
      <c r="C651" s="302"/>
      <c r="D651" s="89"/>
      <c r="E651" s="89"/>
      <c r="F651" s="89"/>
      <c r="G651" s="89"/>
      <c r="H651" s="89"/>
      <c r="I651" s="303"/>
    </row>
    <row r="652" spans="1:9" ht="15.6">
      <c r="A652" s="300"/>
      <c r="C652" s="302"/>
      <c r="D652" s="89"/>
      <c r="E652" s="89"/>
      <c r="F652" s="89"/>
      <c r="G652" s="89"/>
      <c r="H652" s="89"/>
      <c r="I652" s="303"/>
    </row>
    <row r="653" spans="1:9" ht="15.6">
      <c r="A653" s="300"/>
      <c r="C653" s="302"/>
      <c r="D653" s="89"/>
      <c r="E653" s="89"/>
      <c r="F653" s="89"/>
      <c r="G653" s="89"/>
      <c r="H653" s="89"/>
      <c r="I653" s="303"/>
    </row>
    <row r="654" spans="1:9" ht="15.6">
      <c r="A654" s="300"/>
      <c r="C654" s="302"/>
      <c r="D654" s="89"/>
      <c r="E654" s="89"/>
      <c r="F654" s="89"/>
      <c r="G654" s="89"/>
      <c r="H654" s="89"/>
      <c r="I654" s="303"/>
    </row>
    <row r="655" spans="1:9" ht="15.6">
      <c r="A655" s="300"/>
      <c r="C655" s="302"/>
      <c r="D655" s="89"/>
      <c r="E655" s="89"/>
      <c r="F655" s="89"/>
      <c r="G655" s="89"/>
      <c r="H655" s="89"/>
      <c r="I655" s="303"/>
    </row>
    <row r="656" spans="1:9" ht="15.6">
      <c r="A656" s="300"/>
      <c r="C656" s="302"/>
      <c r="D656" s="89"/>
      <c r="E656" s="89"/>
      <c r="F656" s="89"/>
      <c r="G656" s="89"/>
      <c r="H656" s="89"/>
      <c r="I656" s="303"/>
    </row>
    <row r="657" spans="1:9" ht="15.6">
      <c r="A657" s="300"/>
      <c r="C657" s="302"/>
      <c r="D657" s="89"/>
      <c r="E657" s="89"/>
      <c r="F657" s="89"/>
      <c r="G657" s="89"/>
      <c r="H657" s="89"/>
      <c r="I657" s="303"/>
    </row>
    <row r="658" spans="1:9" ht="15.6">
      <c r="A658" s="300"/>
      <c r="C658" s="302"/>
      <c r="D658" s="89"/>
      <c r="E658" s="89"/>
      <c r="F658" s="89"/>
      <c r="G658" s="89"/>
      <c r="H658" s="89"/>
      <c r="I658" s="303"/>
    </row>
    <row r="659" spans="1:9" ht="15.6">
      <c r="A659" s="300"/>
      <c r="C659" s="302"/>
      <c r="D659" s="89"/>
      <c r="E659" s="89"/>
      <c r="F659" s="89"/>
      <c r="G659" s="89"/>
      <c r="H659" s="89"/>
      <c r="I659" s="303"/>
    </row>
    <row r="660" spans="1:9" ht="15.6">
      <c r="A660" s="300"/>
      <c r="C660" s="302"/>
      <c r="D660" s="89"/>
      <c r="E660" s="89"/>
      <c r="F660" s="89"/>
      <c r="G660" s="89"/>
      <c r="H660" s="89"/>
      <c r="I660" s="303"/>
    </row>
    <row r="661" spans="1:9" ht="15.6">
      <c r="A661" s="300"/>
      <c r="C661" s="302"/>
      <c r="D661" s="89"/>
      <c r="E661" s="89"/>
      <c r="F661" s="89"/>
      <c r="G661" s="89"/>
      <c r="H661" s="89"/>
      <c r="I661" s="303"/>
    </row>
    <row r="662" spans="1:9" ht="15.6">
      <c r="A662" s="300"/>
      <c r="C662" s="302"/>
      <c r="D662" s="89"/>
      <c r="E662" s="89"/>
      <c r="F662" s="89"/>
      <c r="G662" s="89"/>
      <c r="H662" s="89"/>
      <c r="I662" s="303"/>
    </row>
    <row r="663" spans="1:9" ht="15.6">
      <c r="A663" s="300"/>
      <c r="C663" s="302"/>
      <c r="D663" s="89"/>
      <c r="E663" s="89"/>
      <c r="F663" s="89"/>
      <c r="G663" s="89"/>
      <c r="H663" s="89"/>
      <c r="I663" s="303"/>
    </row>
    <row r="664" spans="1:9" ht="15.6">
      <c r="A664" s="300"/>
      <c r="C664" s="302"/>
      <c r="D664" s="89"/>
      <c r="E664" s="89"/>
      <c r="F664" s="89"/>
      <c r="G664" s="89"/>
      <c r="H664" s="89"/>
      <c r="I664" s="303"/>
    </row>
    <row r="665" spans="1:9" ht="15.6">
      <c r="A665" s="300"/>
      <c r="C665" s="302"/>
      <c r="D665" s="89"/>
      <c r="E665" s="89"/>
      <c r="F665" s="89"/>
      <c r="G665" s="89"/>
      <c r="H665" s="89"/>
      <c r="I665" s="303"/>
    </row>
    <row r="666" spans="1:9" ht="15.6">
      <c r="A666" s="300"/>
      <c r="C666" s="302"/>
      <c r="D666" s="89"/>
      <c r="E666" s="89"/>
      <c r="F666" s="89"/>
      <c r="G666" s="89"/>
      <c r="H666" s="89"/>
      <c r="I666" s="303"/>
    </row>
    <row r="667" spans="1:9" ht="15.6">
      <c r="A667" s="300"/>
      <c r="C667" s="302"/>
      <c r="D667" s="89"/>
      <c r="E667" s="89"/>
      <c r="F667" s="89"/>
      <c r="G667" s="89"/>
      <c r="H667" s="89"/>
      <c r="I667" s="303"/>
    </row>
    <row r="668" spans="1:9" ht="15.6">
      <c r="A668" s="300"/>
      <c r="C668" s="302"/>
      <c r="D668" s="89"/>
      <c r="E668" s="89"/>
      <c r="F668" s="89"/>
      <c r="G668" s="89"/>
      <c r="H668" s="89"/>
      <c r="I668" s="303"/>
    </row>
    <row r="669" spans="1:9" ht="15.6">
      <c r="A669" s="300"/>
      <c r="C669" s="302"/>
      <c r="D669" s="89"/>
      <c r="E669" s="89"/>
      <c r="F669" s="89"/>
      <c r="G669" s="89"/>
      <c r="H669" s="89"/>
      <c r="I669" s="303"/>
    </row>
    <row r="670" spans="1:9" ht="15.6">
      <c r="A670" s="300"/>
      <c r="C670" s="302"/>
      <c r="D670" s="89"/>
      <c r="E670" s="89"/>
      <c r="F670" s="89"/>
      <c r="G670" s="89"/>
      <c r="H670" s="89"/>
      <c r="I670" s="303"/>
    </row>
    <row r="671" spans="1:9" ht="15.6">
      <c r="A671" s="300"/>
      <c r="C671" s="302"/>
      <c r="D671" s="89"/>
      <c r="E671" s="89"/>
      <c r="F671" s="89"/>
      <c r="G671" s="89"/>
      <c r="H671" s="89"/>
      <c r="I671" s="303"/>
    </row>
    <row r="672" spans="1:9" ht="15.6">
      <c r="A672" s="300"/>
      <c r="C672" s="302"/>
      <c r="D672" s="89"/>
      <c r="E672" s="89"/>
      <c r="F672" s="89"/>
      <c r="G672" s="89"/>
      <c r="H672" s="89"/>
      <c r="I672" s="303"/>
    </row>
    <row r="673" spans="1:9" ht="15.6">
      <c r="A673" s="300"/>
      <c r="C673" s="302"/>
      <c r="D673" s="89"/>
      <c r="E673" s="89"/>
      <c r="F673" s="89"/>
      <c r="G673" s="89"/>
      <c r="H673" s="89"/>
      <c r="I673" s="303"/>
    </row>
    <row r="674" spans="1:9" ht="15.6">
      <c r="A674" s="300"/>
      <c r="C674" s="302"/>
      <c r="D674" s="89"/>
      <c r="E674" s="89"/>
      <c r="F674" s="89"/>
      <c r="G674" s="89"/>
      <c r="H674" s="89"/>
      <c r="I674" s="303"/>
    </row>
    <row r="675" spans="1:9" ht="15.6">
      <c r="A675" s="300"/>
      <c r="C675" s="302"/>
      <c r="D675" s="89"/>
      <c r="E675" s="89"/>
      <c r="F675" s="89"/>
      <c r="G675" s="89"/>
      <c r="H675" s="89"/>
      <c r="I675" s="303"/>
    </row>
    <row r="676" spans="1:9" ht="15.6">
      <c r="A676" s="300"/>
      <c r="C676" s="302"/>
      <c r="D676" s="89"/>
      <c r="E676" s="89"/>
      <c r="F676" s="89"/>
      <c r="G676" s="89"/>
      <c r="H676" s="89"/>
      <c r="I676" s="303"/>
    </row>
    <row r="677" spans="1:9" ht="15.6">
      <c r="A677" s="300"/>
      <c r="C677" s="302"/>
      <c r="D677" s="89"/>
      <c r="E677" s="89"/>
      <c r="F677" s="89"/>
      <c r="G677" s="89"/>
      <c r="H677" s="89"/>
      <c r="I677" s="303"/>
    </row>
    <row r="678" spans="1:9" ht="15.6">
      <c r="A678" s="300"/>
      <c r="C678" s="302"/>
      <c r="D678" s="89"/>
      <c r="E678" s="89"/>
      <c r="F678" s="89"/>
      <c r="G678" s="89"/>
      <c r="H678" s="89"/>
      <c r="I678" s="303"/>
    </row>
    <row r="679" spans="1:9" ht="15.6">
      <c r="A679" s="300"/>
      <c r="C679" s="302"/>
      <c r="D679" s="89"/>
      <c r="E679" s="89"/>
      <c r="F679" s="89"/>
      <c r="G679" s="89"/>
      <c r="H679" s="89"/>
      <c r="I679" s="303"/>
    </row>
    <row r="680" spans="1:9" ht="15.6">
      <c r="A680" s="300"/>
      <c r="C680" s="302"/>
      <c r="D680" s="89"/>
      <c r="E680" s="89"/>
      <c r="F680" s="89"/>
      <c r="G680" s="89"/>
      <c r="H680" s="89"/>
      <c r="I680" s="303"/>
    </row>
    <row r="681" spans="1:9" ht="15.6">
      <c r="A681" s="300"/>
      <c r="C681" s="302"/>
      <c r="D681" s="89"/>
      <c r="E681" s="89"/>
      <c r="F681" s="89"/>
      <c r="G681" s="89"/>
      <c r="H681" s="89"/>
      <c r="I681" s="303"/>
    </row>
    <row r="682" spans="1:9" ht="15.6">
      <c r="A682" s="300"/>
      <c r="C682" s="302"/>
      <c r="D682" s="89"/>
      <c r="E682" s="89"/>
      <c r="F682" s="89"/>
      <c r="G682" s="89"/>
      <c r="H682" s="89"/>
      <c r="I682" s="303"/>
    </row>
    <row r="683" spans="1:9" ht="15.6">
      <c r="A683" s="300"/>
      <c r="C683" s="302"/>
      <c r="D683" s="89"/>
      <c r="E683" s="89"/>
      <c r="F683" s="89"/>
      <c r="G683" s="89"/>
      <c r="H683" s="89"/>
      <c r="I683" s="303"/>
    </row>
    <row r="684" spans="1:9" ht="15.6">
      <c r="A684" s="300"/>
      <c r="C684" s="302"/>
      <c r="D684" s="89"/>
      <c r="E684" s="89"/>
      <c r="F684" s="89"/>
      <c r="G684" s="89"/>
      <c r="H684" s="89"/>
      <c r="I684" s="303"/>
    </row>
    <row r="685" spans="1:9" ht="15.6">
      <c r="A685" s="300"/>
      <c r="C685" s="302"/>
      <c r="D685" s="89"/>
      <c r="E685" s="89"/>
      <c r="F685" s="89"/>
      <c r="G685" s="89"/>
      <c r="H685" s="89"/>
      <c r="I685" s="303"/>
    </row>
    <row r="686" spans="1:9" ht="15.6">
      <c r="A686" s="300"/>
      <c r="C686" s="302"/>
      <c r="D686" s="89"/>
      <c r="E686" s="89"/>
      <c r="F686" s="89"/>
      <c r="G686" s="89"/>
      <c r="H686" s="89"/>
      <c r="I686" s="303"/>
    </row>
    <row r="687" spans="1:9" ht="15.6">
      <c r="A687" s="300"/>
      <c r="C687" s="302"/>
      <c r="D687" s="89"/>
      <c r="E687" s="89"/>
      <c r="F687" s="89"/>
      <c r="G687" s="89"/>
      <c r="H687" s="89"/>
      <c r="I687" s="303"/>
    </row>
    <row r="688" spans="1:9" ht="15.6">
      <c r="A688" s="300"/>
      <c r="C688" s="302"/>
      <c r="D688" s="89"/>
      <c r="E688" s="89"/>
      <c r="F688" s="89"/>
      <c r="G688" s="89"/>
      <c r="H688" s="89"/>
      <c r="I688" s="303"/>
    </row>
    <row r="689" spans="1:9" ht="15.6">
      <c r="A689" s="300"/>
      <c r="C689" s="302"/>
      <c r="D689" s="89"/>
      <c r="E689" s="89"/>
      <c r="F689" s="89"/>
      <c r="G689" s="89"/>
      <c r="H689" s="89"/>
      <c r="I689" s="303"/>
    </row>
    <row r="690" spans="1:9" ht="15.6">
      <c r="A690" s="300"/>
      <c r="C690" s="302"/>
      <c r="D690" s="89"/>
      <c r="E690" s="89"/>
      <c r="F690" s="89"/>
      <c r="G690" s="89"/>
      <c r="H690" s="89"/>
      <c r="I690" s="303"/>
    </row>
    <row r="691" spans="1:9" ht="15.6">
      <c r="A691" s="300"/>
      <c r="C691" s="302"/>
      <c r="D691" s="89"/>
      <c r="E691" s="89"/>
      <c r="F691" s="89"/>
      <c r="G691" s="89"/>
      <c r="H691" s="89"/>
      <c r="I691" s="303"/>
    </row>
    <row r="692" spans="1:9" ht="15.6">
      <c r="A692" s="300"/>
      <c r="C692" s="302"/>
      <c r="D692" s="89"/>
      <c r="E692" s="89"/>
      <c r="F692" s="89"/>
      <c r="G692" s="89"/>
      <c r="H692" s="89"/>
      <c r="I692" s="303"/>
    </row>
    <row r="693" spans="1:9" ht="15.6">
      <c r="A693" s="300"/>
      <c r="C693" s="302"/>
      <c r="D693" s="89"/>
      <c r="E693" s="89"/>
      <c r="F693" s="89"/>
      <c r="G693" s="89"/>
      <c r="H693" s="89"/>
      <c r="I693" s="303"/>
    </row>
    <row r="694" spans="1:9" ht="15.6">
      <c r="A694" s="300"/>
      <c r="C694" s="302"/>
      <c r="D694" s="89"/>
      <c r="E694" s="89"/>
      <c r="F694" s="89"/>
      <c r="G694" s="89"/>
      <c r="H694" s="89"/>
      <c r="I694" s="303"/>
    </row>
    <row r="695" spans="1:9" ht="15.6">
      <c r="A695" s="300"/>
      <c r="C695" s="302"/>
      <c r="D695" s="89"/>
      <c r="E695" s="89"/>
      <c r="F695" s="89"/>
      <c r="G695" s="89"/>
      <c r="H695" s="89"/>
      <c r="I695" s="303"/>
    </row>
    <row r="696" spans="1:9" ht="15.6">
      <c r="A696" s="300"/>
      <c r="C696" s="302"/>
      <c r="D696" s="89"/>
      <c r="E696" s="89"/>
      <c r="F696" s="89"/>
      <c r="G696" s="89"/>
      <c r="H696" s="89"/>
      <c r="I696" s="303"/>
    </row>
    <row r="697" spans="1:9" ht="15.6">
      <c r="A697" s="300"/>
      <c r="C697" s="302"/>
      <c r="D697" s="89"/>
      <c r="E697" s="89"/>
      <c r="F697" s="89"/>
      <c r="G697" s="89"/>
      <c r="H697" s="89"/>
      <c r="I697" s="303"/>
    </row>
    <row r="698" spans="1:9" ht="15.6">
      <c r="A698" s="300"/>
      <c r="C698" s="302"/>
      <c r="D698" s="89"/>
      <c r="E698" s="89"/>
      <c r="F698" s="89"/>
      <c r="G698" s="89"/>
      <c r="H698" s="89"/>
      <c r="I698" s="303"/>
    </row>
    <row r="699" spans="1:9" ht="15.6">
      <c r="A699" s="300"/>
      <c r="C699" s="302"/>
      <c r="D699" s="89"/>
      <c r="E699" s="89"/>
      <c r="F699" s="89"/>
      <c r="G699" s="89"/>
      <c r="H699" s="89"/>
      <c r="I699" s="303"/>
    </row>
    <row r="700" spans="1:9" ht="15.6">
      <c r="A700" s="300"/>
      <c r="C700" s="302"/>
      <c r="D700" s="89"/>
      <c r="E700" s="89"/>
      <c r="F700" s="89"/>
      <c r="G700" s="89"/>
      <c r="H700" s="89"/>
      <c r="I700" s="303"/>
    </row>
    <row r="701" spans="1:9" ht="15.6">
      <c r="A701" s="300"/>
      <c r="C701" s="302"/>
      <c r="D701" s="89"/>
      <c r="E701" s="89"/>
      <c r="F701" s="89"/>
      <c r="G701" s="89"/>
      <c r="H701" s="89"/>
      <c r="I701" s="303"/>
    </row>
    <row r="702" spans="1:9" ht="15.6">
      <c r="A702" s="300"/>
      <c r="C702" s="302"/>
      <c r="D702" s="89"/>
      <c r="E702" s="89"/>
      <c r="F702" s="89"/>
      <c r="G702" s="89"/>
      <c r="H702" s="89"/>
      <c r="I702" s="303"/>
    </row>
    <row r="703" spans="1:9" ht="15.6">
      <c r="A703" s="300"/>
      <c r="C703" s="302"/>
      <c r="D703" s="89"/>
      <c r="E703" s="89"/>
      <c r="F703" s="89"/>
      <c r="G703" s="89"/>
      <c r="H703" s="89"/>
      <c r="I703" s="303"/>
    </row>
    <row r="704" spans="1:9" ht="15.6">
      <c r="A704" s="300"/>
      <c r="C704" s="302"/>
      <c r="D704" s="89"/>
      <c r="E704" s="89"/>
      <c r="F704" s="89"/>
      <c r="G704" s="89"/>
      <c r="H704" s="89"/>
      <c r="I704" s="303"/>
    </row>
    <row r="705" spans="1:9" ht="15.6">
      <c r="A705" s="300"/>
      <c r="C705" s="302"/>
      <c r="D705" s="89"/>
      <c r="E705" s="89"/>
      <c r="F705" s="89"/>
      <c r="G705" s="89"/>
      <c r="H705" s="89"/>
      <c r="I705" s="303"/>
    </row>
    <row r="706" spans="1:9" ht="15.6">
      <c r="A706" s="300"/>
      <c r="C706" s="302"/>
      <c r="D706" s="89"/>
      <c r="E706" s="89"/>
      <c r="F706" s="89"/>
      <c r="G706" s="89"/>
      <c r="H706" s="89"/>
      <c r="I706" s="303"/>
    </row>
    <row r="707" spans="1:9" ht="15.6">
      <c r="A707" s="300"/>
      <c r="C707" s="302"/>
      <c r="D707" s="89"/>
      <c r="E707" s="89"/>
      <c r="F707" s="89"/>
      <c r="G707" s="89"/>
      <c r="H707" s="89"/>
      <c r="I707" s="303"/>
    </row>
    <row r="708" spans="1:9" ht="15.6">
      <c r="A708" s="300"/>
      <c r="C708" s="302"/>
      <c r="D708" s="89"/>
      <c r="E708" s="89"/>
      <c r="F708" s="89"/>
      <c r="G708" s="89"/>
      <c r="H708" s="89"/>
      <c r="I708" s="303"/>
    </row>
    <row r="709" spans="1:9" ht="15.6">
      <c r="A709" s="300"/>
      <c r="C709" s="302"/>
      <c r="D709" s="89"/>
      <c r="E709" s="89"/>
      <c r="F709" s="89"/>
      <c r="G709" s="89"/>
      <c r="H709" s="89"/>
      <c r="I709" s="303"/>
    </row>
    <row r="710" spans="1:9" ht="15.6">
      <c r="A710" s="300"/>
      <c r="C710" s="302"/>
      <c r="D710" s="89"/>
      <c r="E710" s="89"/>
      <c r="F710" s="89"/>
      <c r="G710" s="89"/>
      <c r="H710" s="89"/>
      <c r="I710" s="303"/>
    </row>
    <row r="711" spans="1:9" ht="15.6">
      <c r="A711" s="300"/>
      <c r="C711" s="302"/>
      <c r="D711" s="89"/>
      <c r="E711" s="89"/>
      <c r="F711" s="89"/>
      <c r="G711" s="89"/>
      <c r="H711" s="89"/>
      <c r="I711" s="303"/>
    </row>
    <row r="712" spans="1:9" ht="15.6">
      <c r="A712" s="300"/>
      <c r="C712" s="302"/>
      <c r="D712" s="89"/>
      <c r="E712" s="89"/>
      <c r="F712" s="89"/>
      <c r="G712" s="89"/>
      <c r="H712" s="89"/>
      <c r="I712" s="303"/>
    </row>
    <row r="713" spans="1:9" ht="15.6">
      <c r="A713" s="300"/>
      <c r="C713" s="302"/>
      <c r="D713" s="89"/>
      <c r="E713" s="89"/>
      <c r="F713" s="89"/>
      <c r="G713" s="89"/>
      <c r="H713" s="89"/>
      <c r="I713" s="303"/>
    </row>
    <row r="714" spans="1:9" ht="15.6">
      <c r="A714" s="300"/>
      <c r="C714" s="302"/>
      <c r="D714" s="89"/>
      <c r="E714" s="89"/>
      <c r="F714" s="89"/>
      <c r="G714" s="89"/>
      <c r="H714" s="89"/>
      <c r="I714" s="303"/>
    </row>
    <row r="715" spans="1:9" ht="15.6">
      <c r="A715" s="300"/>
      <c r="C715" s="302"/>
      <c r="D715" s="89"/>
      <c r="E715" s="89"/>
      <c r="F715" s="89"/>
      <c r="G715" s="89"/>
      <c r="H715" s="89"/>
      <c r="I715" s="303"/>
    </row>
    <row r="716" spans="1:9" ht="15.6">
      <c r="A716" s="300"/>
      <c r="C716" s="302"/>
      <c r="D716" s="89"/>
      <c r="E716" s="89"/>
      <c r="F716" s="89"/>
      <c r="G716" s="89"/>
      <c r="H716" s="89"/>
      <c r="I716" s="303"/>
    </row>
    <row r="717" spans="1:9" ht="15.6">
      <c r="A717" s="300"/>
      <c r="C717" s="302"/>
      <c r="D717" s="89"/>
      <c r="E717" s="89"/>
      <c r="F717" s="89"/>
      <c r="G717" s="89"/>
      <c r="H717" s="89"/>
      <c r="I717" s="303"/>
    </row>
    <row r="718" spans="1:9" ht="15.6">
      <c r="A718" s="300"/>
      <c r="C718" s="302"/>
      <c r="D718" s="89"/>
      <c r="E718" s="89"/>
      <c r="F718" s="89"/>
      <c r="G718" s="89"/>
      <c r="H718" s="89"/>
      <c r="I718" s="303"/>
    </row>
    <row r="719" spans="1:9" ht="15.6">
      <c r="A719" s="300"/>
      <c r="C719" s="302"/>
      <c r="D719" s="89"/>
      <c r="E719" s="89"/>
      <c r="F719" s="89"/>
      <c r="G719" s="89"/>
      <c r="H719" s="89"/>
      <c r="I719" s="303"/>
    </row>
    <row r="720" spans="1:9" ht="15.6">
      <c r="A720" s="300"/>
      <c r="C720" s="302"/>
      <c r="D720" s="89"/>
      <c r="E720" s="89"/>
      <c r="F720" s="89"/>
      <c r="G720" s="89"/>
      <c r="H720" s="89"/>
      <c r="I720" s="303"/>
    </row>
    <row r="721" spans="1:9" ht="15.6">
      <c r="A721" s="300"/>
      <c r="C721" s="302"/>
      <c r="D721" s="89"/>
      <c r="E721" s="89"/>
      <c r="F721" s="89"/>
      <c r="G721" s="89"/>
      <c r="H721" s="89"/>
      <c r="I721" s="303"/>
    </row>
    <row r="722" spans="1:9" ht="15.6">
      <c r="A722" s="300"/>
      <c r="C722" s="302"/>
      <c r="D722" s="89"/>
      <c r="E722" s="89"/>
      <c r="F722" s="89"/>
      <c r="G722" s="89"/>
      <c r="H722" s="89"/>
      <c r="I722" s="303"/>
    </row>
    <row r="723" spans="1:9" ht="15.6">
      <c r="A723" s="300"/>
      <c r="C723" s="302"/>
      <c r="D723" s="89"/>
      <c r="E723" s="89"/>
      <c r="F723" s="89"/>
      <c r="G723" s="89"/>
      <c r="H723" s="89"/>
      <c r="I723" s="303"/>
    </row>
    <row r="724" spans="1:9" ht="15.6">
      <c r="A724" s="300"/>
      <c r="C724" s="302"/>
      <c r="D724" s="89"/>
      <c r="E724" s="89"/>
      <c r="F724" s="89"/>
      <c r="G724" s="89"/>
      <c r="H724" s="89"/>
      <c r="I724" s="303"/>
    </row>
    <row r="725" spans="1:9" ht="15.6">
      <c r="A725" s="300"/>
      <c r="C725" s="302"/>
      <c r="D725" s="89"/>
      <c r="E725" s="89"/>
      <c r="F725" s="89"/>
      <c r="G725" s="89"/>
      <c r="H725" s="89"/>
      <c r="I725" s="303"/>
    </row>
    <row r="726" spans="1:9" ht="15.6">
      <c r="A726" s="300"/>
      <c r="C726" s="302"/>
      <c r="D726" s="89"/>
      <c r="E726" s="89"/>
      <c r="F726" s="89"/>
      <c r="G726" s="89"/>
      <c r="H726" s="89"/>
      <c r="I726" s="303"/>
    </row>
    <row r="727" spans="1:9" ht="15.6">
      <c r="A727" s="300"/>
      <c r="C727" s="302"/>
      <c r="D727" s="89"/>
      <c r="E727" s="89"/>
      <c r="F727" s="89"/>
      <c r="G727" s="89"/>
      <c r="H727" s="89"/>
      <c r="I727" s="303"/>
    </row>
    <row r="728" spans="1:9" ht="15.6">
      <c r="A728" s="300"/>
      <c r="C728" s="302"/>
      <c r="D728" s="89"/>
      <c r="E728" s="89"/>
      <c r="F728" s="89"/>
      <c r="G728" s="89"/>
      <c r="H728" s="89"/>
      <c r="I728" s="303"/>
    </row>
    <row r="729" spans="1:9" ht="15.6">
      <c r="A729" s="300"/>
      <c r="C729" s="302"/>
      <c r="D729" s="89"/>
      <c r="E729" s="89"/>
      <c r="F729" s="89"/>
      <c r="G729" s="89"/>
      <c r="H729" s="89"/>
      <c r="I729" s="303"/>
    </row>
    <row r="730" spans="1:9" ht="15.6">
      <c r="A730" s="300"/>
      <c r="C730" s="302"/>
      <c r="D730" s="89"/>
      <c r="E730" s="89"/>
      <c r="F730" s="89"/>
      <c r="G730" s="89"/>
      <c r="H730" s="89"/>
      <c r="I730" s="303"/>
    </row>
    <row r="731" spans="1:9" ht="15.6">
      <c r="A731" s="300"/>
      <c r="C731" s="302"/>
      <c r="D731" s="89"/>
      <c r="E731" s="89"/>
      <c r="F731" s="89"/>
      <c r="G731" s="89"/>
      <c r="H731" s="89"/>
      <c r="I731" s="303"/>
    </row>
    <row r="732" spans="1:9" ht="15.6">
      <c r="A732" s="300"/>
      <c r="C732" s="302"/>
      <c r="D732" s="89"/>
      <c r="E732" s="89"/>
      <c r="F732" s="89"/>
      <c r="G732" s="89"/>
      <c r="H732" s="89"/>
      <c r="I732" s="303"/>
    </row>
    <row r="733" spans="1:9" ht="15.6">
      <c r="A733" s="300"/>
      <c r="C733" s="302"/>
      <c r="D733" s="89"/>
      <c r="E733" s="89"/>
      <c r="F733" s="89"/>
      <c r="G733" s="89"/>
      <c r="H733" s="89"/>
      <c r="I733" s="303"/>
    </row>
    <row r="734" spans="1:9" ht="15.6">
      <c r="A734" s="300"/>
      <c r="C734" s="302"/>
      <c r="D734" s="89"/>
      <c r="E734" s="89"/>
      <c r="F734" s="89"/>
      <c r="G734" s="89"/>
      <c r="H734" s="89"/>
      <c r="I734" s="303"/>
    </row>
    <row r="735" spans="1:9" ht="15.6">
      <c r="A735" s="300"/>
      <c r="C735" s="302"/>
      <c r="D735" s="89"/>
      <c r="E735" s="89"/>
      <c r="F735" s="89"/>
      <c r="G735" s="89"/>
      <c r="H735" s="89"/>
      <c r="I735" s="303"/>
    </row>
    <row r="736" spans="1:9" ht="15.6">
      <c r="A736" s="300"/>
      <c r="C736" s="302"/>
      <c r="D736" s="89"/>
      <c r="E736" s="89"/>
      <c r="F736" s="89"/>
      <c r="G736" s="89"/>
      <c r="H736" s="89"/>
      <c r="I736" s="303"/>
    </row>
    <row r="737" spans="1:9" ht="15.6">
      <c r="A737" s="300"/>
      <c r="C737" s="302"/>
      <c r="D737" s="89"/>
      <c r="E737" s="89"/>
      <c r="F737" s="89"/>
      <c r="G737" s="89"/>
      <c r="H737" s="89"/>
      <c r="I737" s="303"/>
    </row>
    <row r="738" spans="1:9" ht="15.6">
      <c r="A738" s="300"/>
      <c r="C738" s="302"/>
      <c r="D738" s="89"/>
      <c r="E738" s="89"/>
      <c r="F738" s="89"/>
      <c r="G738" s="89"/>
      <c r="H738" s="89"/>
      <c r="I738" s="303"/>
    </row>
    <row r="739" spans="1:9" ht="15.6">
      <c r="A739" s="300"/>
      <c r="C739" s="302"/>
      <c r="D739" s="89"/>
      <c r="E739" s="89"/>
      <c r="F739" s="89"/>
      <c r="G739" s="89"/>
      <c r="H739" s="89"/>
      <c r="I739" s="303"/>
    </row>
    <row r="740" spans="1:9" ht="15.6">
      <c r="A740" s="300"/>
      <c r="C740" s="302"/>
      <c r="D740" s="89"/>
      <c r="E740" s="89"/>
      <c r="F740" s="89"/>
      <c r="G740" s="89"/>
      <c r="H740" s="89"/>
      <c r="I740" s="303"/>
    </row>
    <row r="741" spans="1:9" ht="15.6">
      <c r="A741" s="300"/>
      <c r="C741" s="302"/>
      <c r="D741" s="89"/>
      <c r="E741" s="89"/>
      <c r="F741" s="89"/>
      <c r="G741" s="89"/>
      <c r="H741" s="89"/>
      <c r="I741" s="303"/>
    </row>
    <row r="742" spans="1:9" ht="15.6">
      <c r="A742" s="300"/>
      <c r="C742" s="302"/>
      <c r="D742" s="89"/>
      <c r="E742" s="89"/>
      <c r="F742" s="89"/>
      <c r="G742" s="89"/>
      <c r="H742" s="89"/>
      <c r="I742" s="303"/>
    </row>
    <row r="743" spans="1:9" ht="15.6">
      <c r="A743" s="300"/>
      <c r="C743" s="302"/>
      <c r="D743" s="89"/>
      <c r="E743" s="89"/>
      <c r="F743" s="89"/>
      <c r="G743" s="89"/>
      <c r="H743" s="89"/>
      <c r="I743" s="303"/>
    </row>
    <row r="744" spans="1:9" ht="15.6">
      <c r="A744" s="300"/>
      <c r="C744" s="302"/>
      <c r="D744" s="89"/>
      <c r="E744" s="89"/>
      <c r="F744" s="89"/>
      <c r="G744" s="89"/>
      <c r="H744" s="89"/>
      <c r="I744" s="303"/>
    </row>
    <row r="745" spans="1:9" ht="15.6">
      <c r="A745" s="300"/>
      <c r="C745" s="302"/>
      <c r="D745" s="89"/>
      <c r="E745" s="89"/>
      <c r="F745" s="89"/>
      <c r="G745" s="89"/>
      <c r="H745" s="89"/>
      <c r="I745" s="303"/>
    </row>
    <row r="746" spans="1:9" ht="15.6">
      <c r="A746" s="300"/>
      <c r="C746" s="302"/>
      <c r="D746" s="89"/>
      <c r="E746" s="89"/>
      <c r="F746" s="89"/>
      <c r="G746" s="89"/>
      <c r="H746" s="89"/>
      <c r="I746" s="303"/>
    </row>
    <row r="747" spans="1:9" ht="15.6">
      <c r="A747" s="300"/>
      <c r="C747" s="302"/>
      <c r="D747" s="89"/>
      <c r="E747" s="89"/>
      <c r="F747" s="89"/>
      <c r="G747" s="89"/>
      <c r="H747" s="89"/>
      <c r="I747" s="303"/>
    </row>
    <row r="748" spans="1:9" ht="15.6">
      <c r="A748" s="300"/>
      <c r="C748" s="302"/>
      <c r="D748" s="89"/>
      <c r="E748" s="89"/>
      <c r="F748" s="89"/>
      <c r="G748" s="89"/>
      <c r="H748" s="89"/>
      <c r="I748" s="303"/>
    </row>
    <row r="749" spans="1:9" ht="15.6">
      <c r="A749" s="300"/>
      <c r="C749" s="302"/>
      <c r="D749" s="89"/>
      <c r="E749" s="89"/>
      <c r="F749" s="89"/>
      <c r="G749" s="89"/>
      <c r="H749" s="89"/>
      <c r="I749" s="303"/>
    </row>
    <row r="750" spans="1:9" ht="15.6">
      <c r="A750" s="300"/>
      <c r="C750" s="302"/>
      <c r="D750" s="89"/>
      <c r="E750" s="89"/>
      <c r="F750" s="89"/>
      <c r="G750" s="89"/>
      <c r="H750" s="89"/>
      <c r="I750" s="303"/>
    </row>
    <row r="751" spans="1:9" ht="15.6">
      <c r="A751" s="300"/>
      <c r="C751" s="302"/>
      <c r="D751" s="89"/>
      <c r="E751" s="89"/>
      <c r="F751" s="89"/>
      <c r="G751" s="89"/>
      <c r="H751" s="89"/>
      <c r="I751" s="303"/>
    </row>
    <row r="752" spans="1:9" ht="15.6">
      <c r="A752" s="300"/>
      <c r="C752" s="302"/>
      <c r="D752" s="89"/>
      <c r="E752" s="89"/>
      <c r="F752" s="89"/>
      <c r="G752" s="89"/>
      <c r="H752" s="89"/>
      <c r="I752" s="303"/>
    </row>
    <row r="753" spans="1:9" ht="15.6">
      <c r="A753" s="300"/>
      <c r="C753" s="302"/>
      <c r="D753" s="89"/>
      <c r="E753" s="89"/>
      <c r="F753" s="89"/>
      <c r="G753" s="89"/>
      <c r="H753" s="89"/>
      <c r="I753" s="303"/>
    </row>
    <row r="754" spans="1:9" ht="15.6">
      <c r="A754" s="300"/>
      <c r="C754" s="302"/>
      <c r="D754" s="89"/>
      <c r="E754" s="89"/>
      <c r="F754" s="89"/>
      <c r="G754" s="89"/>
      <c r="H754" s="89"/>
      <c r="I754" s="303"/>
    </row>
    <row r="755" spans="1:9" ht="15.6">
      <c r="A755" s="300"/>
      <c r="C755" s="302"/>
      <c r="D755" s="89"/>
      <c r="E755" s="89"/>
      <c r="F755" s="89"/>
      <c r="G755" s="89"/>
      <c r="H755" s="89"/>
      <c r="I755" s="303"/>
    </row>
    <row r="756" spans="1:9" ht="15.6">
      <c r="A756" s="300"/>
      <c r="C756" s="302"/>
      <c r="D756" s="89"/>
      <c r="E756" s="89"/>
      <c r="F756" s="89"/>
      <c r="G756" s="89"/>
      <c r="H756" s="89"/>
      <c r="I756" s="303"/>
    </row>
    <row r="757" spans="1:9" ht="15.6">
      <c r="A757" s="300"/>
      <c r="C757" s="302"/>
      <c r="D757" s="89"/>
      <c r="E757" s="89"/>
      <c r="F757" s="89"/>
      <c r="G757" s="89"/>
      <c r="H757" s="89"/>
      <c r="I757" s="303"/>
    </row>
    <row r="758" spans="1:9" ht="15.6">
      <c r="A758" s="300"/>
      <c r="C758" s="302"/>
      <c r="D758" s="89"/>
      <c r="E758" s="89"/>
      <c r="F758" s="89"/>
      <c r="G758" s="89"/>
      <c r="H758" s="89"/>
      <c r="I758" s="303"/>
    </row>
    <row r="759" spans="1:9" ht="15.6">
      <c r="A759" s="300"/>
      <c r="C759" s="302"/>
      <c r="D759" s="89"/>
      <c r="E759" s="89"/>
      <c r="F759" s="89"/>
      <c r="G759" s="89"/>
      <c r="H759" s="89"/>
      <c r="I759" s="303"/>
    </row>
    <row r="760" spans="1:9" ht="15.6">
      <c r="A760" s="300"/>
      <c r="C760" s="302"/>
      <c r="D760" s="89"/>
      <c r="E760" s="89"/>
      <c r="F760" s="89"/>
      <c r="G760" s="89"/>
      <c r="H760" s="89"/>
      <c r="I760" s="303"/>
    </row>
    <row r="761" spans="1:9" ht="15.6">
      <c r="A761" s="300"/>
      <c r="C761" s="302"/>
      <c r="D761" s="89"/>
      <c r="E761" s="89"/>
      <c r="F761" s="89"/>
      <c r="G761" s="89"/>
      <c r="H761" s="89"/>
      <c r="I761" s="303"/>
    </row>
    <row r="762" spans="1:9" ht="15.6">
      <c r="A762" s="300"/>
      <c r="C762" s="302"/>
      <c r="D762" s="89"/>
      <c r="E762" s="89"/>
      <c r="F762" s="89"/>
      <c r="G762" s="89"/>
      <c r="H762" s="89"/>
      <c r="I762" s="303"/>
    </row>
    <row r="763" spans="1:9" ht="15.6">
      <c r="A763" s="300"/>
      <c r="C763" s="302"/>
      <c r="D763" s="89"/>
      <c r="E763" s="89"/>
      <c r="F763" s="89"/>
      <c r="G763" s="89"/>
      <c r="H763" s="89"/>
      <c r="I763" s="303"/>
    </row>
    <row r="764" spans="1:9" ht="15.6">
      <c r="A764" s="300"/>
      <c r="C764" s="302"/>
      <c r="D764" s="89"/>
      <c r="E764" s="89"/>
      <c r="F764" s="89"/>
      <c r="G764" s="89"/>
      <c r="H764" s="89"/>
      <c r="I764" s="303"/>
    </row>
    <row r="765" spans="1:9" ht="15.6">
      <c r="A765" s="300"/>
      <c r="C765" s="302"/>
      <c r="D765" s="89"/>
      <c r="E765" s="89"/>
      <c r="F765" s="89"/>
      <c r="G765" s="89"/>
      <c r="H765" s="89"/>
      <c r="I765" s="303"/>
    </row>
    <row r="766" spans="1:9" ht="15.6">
      <c r="A766" s="300"/>
      <c r="C766" s="302"/>
      <c r="D766" s="89"/>
      <c r="E766" s="89"/>
      <c r="F766" s="89"/>
      <c r="G766" s="89"/>
      <c r="H766" s="89"/>
      <c r="I766" s="303"/>
    </row>
    <row r="767" spans="1:9" ht="15.6">
      <c r="A767" s="300"/>
      <c r="C767" s="302"/>
      <c r="D767" s="89"/>
      <c r="E767" s="89"/>
      <c r="F767" s="89"/>
      <c r="G767" s="89"/>
      <c r="H767" s="89"/>
      <c r="I767" s="303"/>
    </row>
    <row r="768" spans="1:9" ht="15.6">
      <c r="A768" s="300"/>
      <c r="C768" s="302"/>
      <c r="D768" s="89"/>
      <c r="E768" s="89"/>
      <c r="F768" s="89"/>
      <c r="G768" s="89"/>
      <c r="H768" s="89"/>
      <c r="I768" s="303"/>
    </row>
    <row r="769" spans="1:9" ht="15.6">
      <c r="A769" s="300"/>
      <c r="C769" s="302"/>
      <c r="D769" s="89"/>
      <c r="E769" s="89"/>
      <c r="F769" s="89"/>
      <c r="G769" s="89"/>
      <c r="H769" s="89"/>
      <c r="I769" s="303"/>
    </row>
    <row r="770" spans="1:9" ht="15.6">
      <c r="A770" s="300"/>
      <c r="C770" s="302"/>
      <c r="D770" s="89"/>
      <c r="E770" s="89"/>
      <c r="F770" s="89"/>
      <c r="G770" s="89"/>
      <c r="H770" s="89"/>
      <c r="I770" s="303"/>
    </row>
    <row r="771" spans="1:9" ht="15.6">
      <c r="A771" s="300"/>
      <c r="C771" s="302"/>
      <c r="D771" s="89"/>
      <c r="E771" s="89"/>
      <c r="F771" s="89"/>
      <c r="G771" s="89"/>
      <c r="H771" s="89"/>
      <c r="I771" s="303"/>
    </row>
    <row r="772" spans="1:9" ht="15.6">
      <c r="A772" s="300"/>
      <c r="C772" s="302"/>
      <c r="D772" s="89"/>
      <c r="E772" s="89"/>
      <c r="F772" s="89"/>
      <c r="G772" s="89"/>
      <c r="H772" s="89"/>
      <c r="I772" s="303"/>
    </row>
    <row r="773" spans="1:9" ht="15.6">
      <c r="A773" s="300"/>
      <c r="C773" s="302"/>
      <c r="D773" s="89"/>
      <c r="E773" s="89"/>
      <c r="F773" s="89"/>
      <c r="G773" s="89"/>
      <c r="H773" s="89"/>
      <c r="I773" s="303"/>
    </row>
    <row r="774" spans="1:9" ht="15.6">
      <c r="A774" s="300"/>
      <c r="C774" s="302"/>
      <c r="D774" s="89"/>
      <c r="E774" s="89"/>
      <c r="F774" s="89"/>
      <c r="G774" s="89"/>
      <c r="H774" s="89"/>
      <c r="I774" s="303"/>
    </row>
    <row r="775" spans="1:9" ht="15.6">
      <c r="A775" s="300"/>
      <c r="C775" s="302"/>
      <c r="D775" s="89"/>
      <c r="E775" s="89"/>
      <c r="F775" s="89"/>
      <c r="G775" s="89"/>
      <c r="H775" s="89"/>
      <c r="I775" s="303"/>
    </row>
    <row r="776" spans="1:9" ht="15.6">
      <c r="A776" s="300"/>
      <c r="C776" s="302"/>
      <c r="D776" s="89"/>
      <c r="E776" s="89"/>
      <c r="F776" s="89"/>
      <c r="G776" s="89"/>
      <c r="H776" s="89"/>
      <c r="I776" s="303"/>
    </row>
    <row r="777" spans="1:9" ht="15.6">
      <c r="A777" s="300"/>
      <c r="C777" s="302"/>
      <c r="D777" s="89"/>
      <c r="E777" s="89"/>
      <c r="F777" s="89"/>
      <c r="G777" s="89"/>
      <c r="H777" s="89"/>
      <c r="I777" s="303"/>
    </row>
    <row r="778" spans="1:9" ht="15.6">
      <c r="A778" s="300"/>
      <c r="C778" s="302"/>
      <c r="D778" s="89"/>
      <c r="E778" s="89"/>
      <c r="F778" s="89"/>
      <c r="G778" s="89"/>
      <c r="H778" s="89"/>
      <c r="I778" s="303"/>
    </row>
    <row r="779" spans="1:9" ht="15.6">
      <c r="A779" s="300"/>
      <c r="C779" s="302"/>
      <c r="D779" s="89"/>
      <c r="E779" s="89"/>
      <c r="F779" s="89"/>
      <c r="G779" s="89"/>
      <c r="H779" s="89"/>
      <c r="I779" s="303"/>
    </row>
    <row r="780" spans="1:9" ht="15.6">
      <c r="A780" s="300"/>
      <c r="C780" s="302"/>
      <c r="D780" s="89"/>
      <c r="E780" s="89"/>
      <c r="F780" s="89"/>
      <c r="G780" s="89"/>
      <c r="H780" s="89"/>
      <c r="I780" s="303"/>
    </row>
    <row r="781" spans="1:9" ht="15.6">
      <c r="A781" s="300"/>
      <c r="C781" s="302"/>
      <c r="D781" s="89"/>
      <c r="E781" s="89"/>
      <c r="F781" s="89"/>
      <c r="G781" s="89"/>
      <c r="H781" s="89"/>
      <c r="I781" s="303"/>
    </row>
    <row r="782" spans="1:9" ht="15.6">
      <c r="A782" s="300"/>
      <c r="C782" s="302"/>
      <c r="D782" s="89"/>
      <c r="E782" s="89"/>
      <c r="F782" s="89"/>
      <c r="G782" s="89"/>
      <c r="H782" s="89"/>
      <c r="I782" s="303"/>
    </row>
    <row r="783" spans="1:9" ht="15.6">
      <c r="A783" s="300"/>
      <c r="C783" s="302"/>
      <c r="D783" s="89"/>
      <c r="E783" s="89"/>
      <c r="F783" s="89"/>
      <c r="G783" s="89"/>
      <c r="H783" s="89"/>
      <c r="I783" s="303"/>
    </row>
    <row r="784" spans="1:9" ht="15.6">
      <c r="A784" s="300"/>
      <c r="C784" s="302"/>
      <c r="D784" s="89"/>
      <c r="E784" s="89"/>
      <c r="F784" s="89"/>
      <c r="G784" s="89"/>
      <c r="H784" s="89"/>
      <c r="I784" s="303"/>
    </row>
    <row r="785" spans="1:9" ht="15.6">
      <c r="A785" s="300"/>
      <c r="C785" s="302"/>
      <c r="D785" s="89"/>
      <c r="E785" s="89"/>
      <c r="F785" s="89"/>
      <c r="G785" s="89"/>
      <c r="H785" s="89"/>
      <c r="I785" s="303"/>
    </row>
    <row r="786" spans="1:9" ht="15.6">
      <c r="A786" s="300"/>
      <c r="C786" s="302"/>
      <c r="D786" s="89"/>
      <c r="E786" s="89"/>
      <c r="F786" s="89"/>
      <c r="G786" s="89"/>
      <c r="H786" s="89"/>
      <c r="I786" s="303"/>
    </row>
    <row r="787" spans="1:9" ht="15.6">
      <c r="A787" s="300"/>
      <c r="C787" s="302"/>
      <c r="D787" s="89"/>
      <c r="E787" s="89"/>
      <c r="F787" s="89"/>
      <c r="G787" s="89"/>
      <c r="H787" s="89"/>
      <c r="I787" s="303"/>
    </row>
    <row r="788" spans="1:9" ht="15.6">
      <c r="A788" s="300"/>
      <c r="C788" s="302"/>
      <c r="D788" s="89"/>
      <c r="E788" s="89"/>
      <c r="F788" s="89"/>
      <c r="G788" s="89"/>
      <c r="H788" s="89"/>
      <c r="I788" s="303"/>
    </row>
    <row r="789" spans="1:9" ht="15.6">
      <c r="A789" s="300"/>
      <c r="C789" s="302"/>
      <c r="D789" s="89"/>
      <c r="E789" s="89"/>
      <c r="F789" s="89"/>
      <c r="G789" s="89"/>
      <c r="H789" s="89"/>
      <c r="I789" s="303"/>
    </row>
    <row r="790" spans="1:9" ht="15.6">
      <c r="A790" s="300"/>
      <c r="C790" s="302"/>
      <c r="D790" s="89"/>
      <c r="E790" s="89"/>
      <c r="F790" s="89"/>
      <c r="G790" s="89"/>
      <c r="H790" s="89"/>
      <c r="I790" s="303"/>
    </row>
    <row r="791" spans="1:9" ht="15.6">
      <c r="A791" s="300"/>
      <c r="C791" s="302"/>
      <c r="D791" s="89"/>
      <c r="E791" s="89"/>
      <c r="F791" s="89"/>
      <c r="G791" s="89"/>
      <c r="H791" s="89"/>
      <c r="I791" s="303"/>
    </row>
    <row r="792" spans="1:9" ht="15.6">
      <c r="A792" s="300"/>
      <c r="C792" s="302"/>
      <c r="D792" s="89"/>
      <c r="E792" s="89"/>
      <c r="F792" s="89"/>
      <c r="G792" s="89"/>
      <c r="H792" s="89"/>
      <c r="I792" s="303"/>
    </row>
    <row r="793" spans="1:9" ht="15.6">
      <c r="A793" s="300"/>
      <c r="C793" s="302"/>
      <c r="D793" s="89"/>
      <c r="E793" s="89"/>
      <c r="F793" s="89"/>
      <c r="G793" s="89"/>
      <c r="H793" s="89"/>
      <c r="I793" s="303"/>
    </row>
    <row r="794" spans="1:9" ht="15.6">
      <c r="A794" s="300"/>
      <c r="C794" s="302"/>
      <c r="D794" s="89"/>
      <c r="E794" s="89"/>
      <c r="F794" s="89"/>
      <c r="G794" s="89"/>
      <c r="H794" s="89"/>
      <c r="I794" s="303"/>
    </row>
    <row r="795" spans="1:9" ht="15.6">
      <c r="A795" s="300"/>
      <c r="C795" s="302"/>
      <c r="D795" s="89"/>
      <c r="E795" s="89"/>
      <c r="F795" s="89"/>
      <c r="G795" s="89"/>
      <c r="H795" s="89"/>
      <c r="I795" s="303"/>
    </row>
    <row r="796" spans="1:9" ht="15.6">
      <c r="A796" s="300"/>
      <c r="C796" s="302"/>
      <c r="D796" s="89"/>
      <c r="E796" s="89"/>
      <c r="F796" s="89"/>
      <c r="G796" s="89"/>
      <c r="H796" s="89"/>
      <c r="I796" s="303"/>
    </row>
    <row r="797" spans="1:9" ht="15.6">
      <c r="A797" s="300"/>
      <c r="C797" s="302"/>
      <c r="D797" s="89"/>
      <c r="E797" s="89"/>
      <c r="F797" s="89"/>
      <c r="G797" s="89"/>
      <c r="H797" s="89"/>
      <c r="I797" s="303"/>
    </row>
    <row r="798" spans="1:9" ht="15.6">
      <c r="A798" s="300"/>
      <c r="C798" s="302"/>
      <c r="D798" s="89"/>
      <c r="E798" s="89"/>
      <c r="F798" s="89"/>
      <c r="G798" s="89"/>
      <c r="H798" s="89"/>
      <c r="I798" s="303"/>
    </row>
    <row r="799" spans="1:9" ht="15.6">
      <c r="A799" s="300"/>
      <c r="C799" s="302"/>
      <c r="D799" s="89"/>
      <c r="E799" s="89"/>
      <c r="F799" s="89"/>
      <c r="G799" s="89"/>
      <c r="H799" s="89"/>
      <c r="I799" s="303"/>
    </row>
    <row r="800" spans="1:9" ht="15.6">
      <c r="A800" s="300"/>
      <c r="C800" s="302"/>
      <c r="D800" s="89"/>
      <c r="E800" s="89"/>
      <c r="F800" s="89"/>
      <c r="G800" s="89"/>
      <c r="H800" s="89"/>
      <c r="I800" s="303"/>
    </row>
    <row r="801" spans="1:9" ht="15.6">
      <c r="A801" s="300"/>
      <c r="C801" s="302"/>
      <c r="D801" s="89"/>
      <c r="E801" s="89"/>
      <c r="F801" s="89"/>
      <c r="G801" s="89"/>
      <c r="H801" s="89"/>
      <c r="I801" s="303"/>
    </row>
    <row r="802" spans="1:9" ht="15.6">
      <c r="A802" s="300"/>
      <c r="C802" s="302"/>
      <c r="D802" s="89"/>
      <c r="E802" s="89"/>
      <c r="F802" s="89"/>
      <c r="G802" s="89"/>
      <c r="H802" s="89"/>
      <c r="I802" s="303"/>
    </row>
    <row r="803" spans="1:9" ht="15.6">
      <c r="A803" s="300"/>
      <c r="C803" s="302"/>
      <c r="D803" s="89"/>
      <c r="E803" s="89"/>
      <c r="F803" s="89"/>
      <c r="G803" s="89"/>
      <c r="H803" s="89"/>
      <c r="I803" s="303"/>
    </row>
    <row r="804" spans="1:9" ht="15.6">
      <c r="A804" s="300"/>
      <c r="C804" s="302"/>
      <c r="D804" s="89"/>
      <c r="E804" s="89"/>
      <c r="F804" s="89"/>
      <c r="G804" s="89"/>
      <c r="H804" s="89"/>
      <c r="I804" s="303"/>
    </row>
    <row r="805" spans="1:9" ht="15.6">
      <c r="A805" s="300"/>
      <c r="C805" s="302"/>
      <c r="D805" s="89"/>
      <c r="E805" s="89"/>
      <c r="F805" s="89"/>
      <c r="G805" s="89"/>
      <c r="H805" s="89"/>
      <c r="I805" s="303"/>
    </row>
    <row r="806" spans="1:9" ht="15.6">
      <c r="A806" s="300"/>
      <c r="C806" s="302"/>
      <c r="D806" s="89"/>
      <c r="E806" s="89"/>
      <c r="F806" s="89"/>
      <c r="G806" s="89"/>
      <c r="H806" s="89"/>
      <c r="I806" s="303"/>
    </row>
    <row r="807" spans="1:9" ht="15.6">
      <c r="A807" s="300"/>
      <c r="C807" s="302"/>
      <c r="D807" s="89"/>
      <c r="E807" s="89"/>
      <c r="F807" s="89"/>
      <c r="G807" s="89"/>
      <c r="H807" s="89"/>
      <c r="I807" s="303"/>
    </row>
    <row r="808" spans="1:9" ht="15.6">
      <c r="A808" s="300"/>
      <c r="C808" s="302"/>
      <c r="D808" s="89"/>
      <c r="E808" s="89"/>
      <c r="F808" s="89"/>
      <c r="G808" s="89"/>
      <c r="H808" s="89"/>
      <c r="I808" s="303"/>
    </row>
    <row r="809" spans="1:9" ht="15.6">
      <c r="A809" s="300"/>
      <c r="C809" s="302"/>
      <c r="D809" s="89"/>
      <c r="E809" s="89"/>
      <c r="F809" s="89"/>
      <c r="G809" s="89"/>
      <c r="H809" s="89"/>
      <c r="I809" s="303"/>
    </row>
    <row r="810" spans="1:9" ht="15.6">
      <c r="A810" s="300"/>
      <c r="C810" s="302"/>
      <c r="D810" s="89"/>
      <c r="E810" s="89"/>
      <c r="F810" s="89"/>
      <c r="G810" s="89"/>
      <c r="H810" s="89"/>
      <c r="I810" s="303"/>
    </row>
    <row r="811" spans="1:9" ht="15.6">
      <c r="A811" s="300"/>
      <c r="C811" s="302"/>
      <c r="D811" s="89"/>
      <c r="E811" s="89"/>
      <c r="F811" s="89"/>
      <c r="G811" s="89"/>
      <c r="H811" s="89"/>
      <c r="I811" s="303"/>
    </row>
    <row r="812" spans="1:9" ht="15.6">
      <c r="A812" s="300"/>
      <c r="C812" s="302"/>
      <c r="D812" s="89"/>
      <c r="E812" s="89"/>
      <c r="F812" s="89"/>
      <c r="G812" s="89"/>
      <c r="H812" s="89"/>
      <c r="I812" s="303"/>
    </row>
    <row r="813" spans="1:9" ht="15.6">
      <c r="A813" s="300"/>
      <c r="C813" s="302"/>
      <c r="D813" s="89"/>
      <c r="E813" s="89"/>
      <c r="F813" s="89"/>
      <c r="G813" s="89"/>
      <c r="H813" s="89"/>
      <c r="I813" s="303"/>
    </row>
    <row r="814" spans="1:9" ht="15.6">
      <c r="A814" s="300"/>
      <c r="C814" s="302"/>
      <c r="D814" s="89"/>
      <c r="E814" s="89"/>
      <c r="F814" s="89"/>
      <c r="G814" s="89"/>
      <c r="H814" s="89"/>
      <c r="I814" s="303"/>
    </row>
    <row r="815" spans="1:9" ht="15.6">
      <c r="A815" s="300"/>
      <c r="C815" s="302"/>
      <c r="D815" s="89"/>
      <c r="E815" s="89"/>
      <c r="F815" s="89"/>
      <c r="G815" s="89"/>
      <c r="H815" s="89"/>
      <c r="I815" s="303"/>
    </row>
    <row r="816" spans="1:9" ht="15.6">
      <c r="A816" s="300"/>
      <c r="C816" s="302"/>
      <c r="D816" s="89"/>
      <c r="E816" s="89"/>
      <c r="F816" s="89"/>
      <c r="G816" s="89"/>
      <c r="H816" s="89"/>
      <c r="I816" s="303"/>
    </row>
    <row r="817" spans="1:9" ht="15.6">
      <c r="A817" s="300"/>
      <c r="C817" s="302"/>
      <c r="D817" s="89"/>
      <c r="E817" s="89"/>
      <c r="F817" s="89"/>
      <c r="G817" s="89"/>
      <c r="H817" s="89"/>
      <c r="I817" s="303"/>
    </row>
    <row r="818" spans="1:9" ht="15.6">
      <c r="A818" s="300"/>
      <c r="C818" s="302"/>
      <c r="D818" s="89"/>
      <c r="E818" s="89"/>
      <c r="F818" s="89"/>
      <c r="G818" s="89"/>
      <c r="H818" s="89"/>
      <c r="I818" s="303"/>
    </row>
    <row r="819" spans="1:9" ht="15.6">
      <c r="A819" s="300"/>
      <c r="C819" s="302"/>
      <c r="D819" s="89"/>
      <c r="E819" s="89"/>
      <c r="F819" s="89"/>
      <c r="G819" s="89"/>
      <c r="H819" s="89"/>
      <c r="I819" s="303"/>
    </row>
    <row r="820" spans="1:9" ht="15.6">
      <c r="A820" s="300"/>
      <c r="C820" s="302"/>
      <c r="D820" s="89"/>
      <c r="E820" s="89"/>
      <c r="F820" s="89"/>
      <c r="G820" s="89"/>
      <c r="H820" s="89"/>
      <c r="I820" s="303"/>
    </row>
    <row r="821" spans="1:9" ht="15.6">
      <c r="A821" s="300"/>
      <c r="C821" s="302"/>
      <c r="D821" s="89"/>
      <c r="E821" s="89"/>
      <c r="F821" s="89"/>
      <c r="G821" s="89"/>
      <c r="H821" s="89"/>
      <c r="I821" s="303"/>
    </row>
    <row r="822" spans="1:9" ht="15.6">
      <c r="A822" s="300"/>
      <c r="C822" s="302"/>
      <c r="D822" s="89"/>
      <c r="E822" s="89"/>
      <c r="F822" s="89"/>
      <c r="G822" s="89"/>
      <c r="H822" s="89"/>
      <c r="I822" s="303"/>
    </row>
    <row r="823" spans="1:9" ht="15.6">
      <c r="A823" s="300"/>
      <c r="C823" s="302"/>
      <c r="D823" s="89"/>
      <c r="E823" s="89"/>
      <c r="F823" s="89"/>
      <c r="G823" s="89"/>
      <c r="H823" s="89"/>
      <c r="I823" s="303"/>
    </row>
    <row r="824" spans="1:9" ht="15.6">
      <c r="A824" s="300"/>
      <c r="C824" s="302"/>
      <c r="D824" s="89"/>
      <c r="E824" s="89"/>
      <c r="F824" s="89"/>
      <c r="G824" s="89"/>
      <c r="H824" s="89"/>
      <c r="I824" s="303"/>
    </row>
    <row r="825" spans="1:9" ht="15.6">
      <c r="A825" s="300"/>
      <c r="C825" s="302"/>
      <c r="D825" s="89"/>
      <c r="E825" s="89"/>
      <c r="F825" s="89"/>
      <c r="G825" s="89"/>
      <c r="H825" s="89"/>
      <c r="I825" s="303"/>
    </row>
    <row r="826" spans="1:9" ht="15.6">
      <c r="A826" s="300"/>
      <c r="C826" s="302"/>
      <c r="D826" s="89"/>
      <c r="E826" s="89"/>
      <c r="F826" s="89"/>
      <c r="G826" s="89"/>
      <c r="H826" s="89"/>
      <c r="I826" s="303"/>
    </row>
    <row r="827" spans="1:9" ht="15.6">
      <c r="A827" s="300"/>
      <c r="C827" s="302"/>
      <c r="D827" s="89"/>
      <c r="E827" s="89"/>
      <c r="F827" s="89"/>
      <c r="G827" s="89"/>
      <c r="H827" s="89"/>
      <c r="I827" s="303"/>
    </row>
    <row r="828" spans="1:9" ht="15.6">
      <c r="A828" s="300"/>
      <c r="C828" s="302"/>
      <c r="D828" s="89"/>
      <c r="E828" s="89"/>
      <c r="F828" s="89"/>
      <c r="G828" s="89"/>
      <c r="H828" s="89"/>
      <c r="I828" s="303"/>
    </row>
    <row r="829" spans="1:9" ht="15.6">
      <c r="A829" s="300"/>
      <c r="C829" s="302"/>
      <c r="D829" s="89"/>
      <c r="E829" s="89"/>
      <c r="F829" s="89"/>
      <c r="G829" s="89"/>
      <c r="H829" s="89"/>
      <c r="I829" s="303"/>
    </row>
    <row r="830" spans="1:9" ht="15.6">
      <c r="A830" s="300"/>
      <c r="C830" s="302"/>
      <c r="D830" s="89"/>
      <c r="E830" s="89"/>
      <c r="F830" s="89"/>
      <c r="G830" s="89"/>
      <c r="H830" s="89"/>
      <c r="I830" s="303"/>
    </row>
    <row r="831" spans="1:9" ht="15.6">
      <c r="A831" s="300"/>
      <c r="C831" s="302"/>
      <c r="D831" s="89"/>
      <c r="E831" s="89"/>
      <c r="F831" s="89"/>
      <c r="G831" s="89"/>
      <c r="H831" s="89"/>
      <c r="I831" s="303"/>
    </row>
    <row r="832" spans="1:9" ht="15.6">
      <c r="A832" s="300"/>
      <c r="C832" s="302"/>
      <c r="D832" s="89"/>
      <c r="E832" s="89"/>
      <c r="F832" s="89"/>
      <c r="G832" s="89"/>
      <c r="H832" s="89"/>
      <c r="I832" s="303"/>
    </row>
    <row r="833" spans="1:9" ht="15.6">
      <c r="A833" s="300"/>
      <c r="C833" s="302"/>
      <c r="D833" s="89"/>
      <c r="E833" s="89"/>
      <c r="F833" s="89"/>
      <c r="G833" s="89"/>
      <c r="H833" s="89"/>
      <c r="I833" s="303"/>
    </row>
    <row r="834" spans="1:9" ht="15.6">
      <c r="A834" s="300"/>
      <c r="C834" s="302"/>
      <c r="D834" s="89"/>
      <c r="E834" s="89"/>
      <c r="F834" s="89"/>
      <c r="G834" s="89"/>
      <c r="H834" s="89"/>
      <c r="I834" s="303"/>
    </row>
    <row r="835" spans="1:9" ht="15.6">
      <c r="A835" s="300"/>
      <c r="C835" s="302"/>
      <c r="D835" s="89"/>
      <c r="E835" s="89"/>
      <c r="F835" s="89"/>
      <c r="G835" s="89"/>
      <c r="H835" s="89"/>
      <c r="I835" s="303"/>
    </row>
    <row r="836" spans="1:9" ht="15.6">
      <c r="A836" s="300"/>
      <c r="C836" s="302"/>
      <c r="D836" s="89"/>
      <c r="E836" s="89"/>
      <c r="F836" s="89"/>
      <c r="G836" s="89"/>
      <c r="H836" s="89"/>
      <c r="I836" s="303"/>
    </row>
    <row r="837" spans="1:9" ht="15.6">
      <c r="A837" s="300"/>
      <c r="C837" s="302"/>
      <c r="D837" s="89"/>
      <c r="E837" s="89"/>
      <c r="F837" s="89"/>
      <c r="G837" s="89"/>
      <c r="H837" s="89"/>
      <c r="I837" s="303"/>
    </row>
    <row r="838" spans="1:9" ht="15.6">
      <c r="A838" s="300"/>
      <c r="C838" s="302"/>
      <c r="D838" s="89"/>
      <c r="E838" s="89"/>
      <c r="F838" s="89"/>
      <c r="G838" s="89"/>
      <c r="H838" s="89"/>
      <c r="I838" s="303"/>
    </row>
    <row r="839" spans="1:9" ht="15.6">
      <c r="A839" s="300"/>
      <c r="C839" s="302"/>
      <c r="D839" s="89"/>
      <c r="E839" s="89"/>
      <c r="F839" s="89"/>
      <c r="G839" s="89"/>
      <c r="H839" s="89"/>
      <c r="I839" s="303"/>
    </row>
    <row r="840" spans="1:9" ht="15.6">
      <c r="A840" s="300"/>
      <c r="C840" s="302"/>
      <c r="D840" s="89"/>
      <c r="E840" s="89"/>
      <c r="F840" s="89"/>
      <c r="G840" s="89"/>
      <c r="H840" s="89"/>
      <c r="I840" s="303"/>
    </row>
    <row r="841" spans="1:9" ht="15.6">
      <c r="A841" s="300"/>
      <c r="C841" s="302"/>
      <c r="D841" s="89"/>
      <c r="E841" s="89"/>
      <c r="F841" s="89"/>
      <c r="G841" s="89"/>
      <c r="H841" s="89"/>
      <c r="I841" s="303"/>
    </row>
    <row r="842" spans="1:9" ht="15.6">
      <c r="A842" s="300"/>
      <c r="C842" s="302"/>
      <c r="D842" s="89"/>
      <c r="E842" s="89"/>
      <c r="F842" s="89"/>
      <c r="G842" s="89"/>
      <c r="H842" s="89"/>
      <c r="I842" s="303"/>
    </row>
    <row r="843" spans="1:9" ht="15.6">
      <c r="A843" s="300"/>
      <c r="C843" s="302"/>
      <c r="D843" s="89"/>
      <c r="E843" s="89"/>
      <c r="F843" s="89"/>
      <c r="G843" s="89"/>
      <c r="H843" s="89"/>
      <c r="I843" s="303"/>
    </row>
    <row r="844" spans="1:9" ht="15.6">
      <c r="A844" s="300"/>
      <c r="C844" s="302"/>
      <c r="D844" s="89"/>
      <c r="E844" s="89"/>
      <c r="F844" s="89"/>
      <c r="G844" s="89"/>
      <c r="H844" s="89"/>
      <c r="I844" s="303"/>
    </row>
    <row r="845" spans="1:9" ht="15.6">
      <c r="A845" s="300"/>
      <c r="C845" s="302"/>
      <c r="D845" s="89"/>
      <c r="E845" s="89"/>
      <c r="F845" s="89"/>
      <c r="G845" s="89"/>
      <c r="H845" s="89"/>
      <c r="I845" s="303"/>
    </row>
    <row r="846" spans="1:9" ht="15.6">
      <c r="A846" s="300"/>
      <c r="C846" s="302"/>
      <c r="D846" s="89"/>
      <c r="E846" s="89"/>
      <c r="F846" s="89"/>
      <c r="G846" s="89"/>
      <c r="H846" s="89"/>
      <c r="I846" s="303"/>
    </row>
    <row r="847" spans="1:9" ht="15.6">
      <c r="A847" s="300"/>
      <c r="C847" s="302"/>
      <c r="D847" s="89"/>
      <c r="E847" s="89"/>
      <c r="F847" s="89"/>
      <c r="G847" s="89"/>
      <c r="H847" s="89"/>
      <c r="I847" s="303"/>
    </row>
    <row r="848" spans="1:9" ht="15.6">
      <c r="A848" s="300"/>
      <c r="C848" s="302"/>
      <c r="D848" s="89"/>
      <c r="E848" s="89"/>
      <c r="F848" s="89"/>
      <c r="G848" s="89"/>
      <c r="H848" s="89"/>
      <c r="I848" s="303"/>
    </row>
    <row r="849" spans="1:9" ht="15.6">
      <c r="A849" s="300"/>
      <c r="C849" s="302"/>
      <c r="D849" s="89"/>
      <c r="E849" s="89"/>
      <c r="F849" s="89"/>
      <c r="G849" s="89"/>
      <c r="H849" s="89"/>
      <c r="I849" s="303"/>
    </row>
    <row r="850" spans="1:9" ht="15.6">
      <c r="A850" s="300"/>
      <c r="C850" s="302"/>
      <c r="D850" s="89"/>
      <c r="E850" s="89"/>
      <c r="F850" s="89"/>
      <c r="G850" s="89"/>
      <c r="H850" s="89"/>
      <c r="I850" s="303"/>
    </row>
    <row r="851" spans="1:9" ht="15.6">
      <c r="A851" s="300"/>
      <c r="C851" s="302"/>
      <c r="D851" s="89"/>
      <c r="E851" s="89"/>
      <c r="F851" s="89"/>
      <c r="G851" s="89"/>
      <c r="H851" s="89"/>
      <c r="I851" s="303"/>
    </row>
    <row r="852" spans="1:9" ht="15.6">
      <c r="A852" s="300"/>
      <c r="C852" s="302"/>
      <c r="D852" s="89"/>
      <c r="E852" s="89"/>
      <c r="F852" s="89"/>
      <c r="G852" s="89"/>
      <c r="H852" s="89"/>
      <c r="I852" s="303"/>
    </row>
    <row r="853" spans="1:9" ht="15.6">
      <c r="A853" s="300"/>
      <c r="C853" s="302"/>
      <c r="D853" s="89"/>
      <c r="E853" s="89"/>
      <c r="F853" s="89"/>
      <c r="G853" s="89"/>
      <c r="H853" s="89"/>
      <c r="I853" s="303"/>
    </row>
    <row r="854" spans="1:9" ht="15.6">
      <c r="A854" s="300"/>
      <c r="C854" s="302"/>
      <c r="D854" s="89"/>
      <c r="E854" s="89"/>
      <c r="F854" s="89"/>
      <c r="G854" s="89"/>
      <c r="H854" s="89"/>
      <c r="I854" s="303"/>
    </row>
    <row r="855" spans="1:9" ht="15.6">
      <c r="A855" s="300"/>
      <c r="C855" s="302"/>
      <c r="D855" s="89"/>
      <c r="E855" s="89"/>
      <c r="F855" s="89"/>
      <c r="G855" s="89"/>
      <c r="H855" s="89"/>
      <c r="I855" s="303"/>
    </row>
    <row r="856" spans="1:9" ht="15.6">
      <c r="A856" s="300"/>
      <c r="C856" s="302"/>
      <c r="D856" s="89"/>
      <c r="E856" s="89"/>
      <c r="F856" s="89"/>
      <c r="G856" s="89"/>
      <c r="H856" s="89"/>
      <c r="I856" s="303"/>
    </row>
    <row r="857" spans="1:9" ht="15.6">
      <c r="A857" s="300"/>
      <c r="C857" s="302"/>
      <c r="D857" s="89"/>
      <c r="E857" s="89"/>
      <c r="F857" s="89"/>
      <c r="G857" s="89"/>
      <c r="H857" s="89"/>
      <c r="I857" s="303"/>
    </row>
    <row r="858" spans="1:9" ht="15.6">
      <c r="A858" s="300"/>
      <c r="C858" s="302"/>
      <c r="D858" s="89"/>
      <c r="E858" s="89"/>
      <c r="F858" s="89"/>
      <c r="G858" s="89"/>
      <c r="H858" s="89"/>
      <c r="I858" s="303"/>
    </row>
    <row r="859" spans="1:9" ht="15.6">
      <c r="A859" s="300"/>
      <c r="C859" s="302"/>
      <c r="D859" s="89"/>
      <c r="E859" s="89"/>
      <c r="F859" s="89"/>
      <c r="G859" s="89"/>
      <c r="H859" s="89"/>
      <c r="I859" s="303"/>
    </row>
    <row r="860" spans="1:9" ht="15.6">
      <c r="A860" s="300"/>
      <c r="C860" s="302"/>
      <c r="D860" s="89"/>
      <c r="E860" s="89"/>
      <c r="F860" s="89"/>
      <c r="G860" s="89"/>
      <c r="H860" s="89"/>
      <c r="I860" s="303"/>
    </row>
    <row r="861" spans="1:9" ht="15.6">
      <c r="A861" s="300"/>
      <c r="C861" s="302"/>
      <c r="D861" s="89"/>
      <c r="E861" s="89"/>
      <c r="F861" s="89"/>
      <c r="G861" s="89"/>
      <c r="H861" s="89"/>
      <c r="I861" s="303"/>
    </row>
    <row r="862" spans="1:9" ht="15.6">
      <c r="A862" s="300"/>
      <c r="C862" s="302"/>
      <c r="D862" s="89"/>
      <c r="E862" s="89"/>
      <c r="F862" s="89"/>
      <c r="G862" s="89"/>
      <c r="H862" s="89"/>
      <c r="I862" s="303"/>
    </row>
    <row r="863" spans="1:9" ht="15.6">
      <c r="A863" s="300"/>
      <c r="C863" s="302"/>
      <c r="D863" s="89"/>
      <c r="E863" s="89"/>
      <c r="F863" s="89"/>
      <c r="G863" s="89"/>
      <c r="H863" s="89"/>
      <c r="I863" s="303"/>
    </row>
    <row r="864" spans="1:9" ht="15.6">
      <c r="A864" s="300"/>
      <c r="C864" s="302"/>
      <c r="D864" s="89"/>
      <c r="E864" s="89"/>
      <c r="F864" s="89"/>
      <c r="G864" s="89"/>
      <c r="H864" s="89"/>
      <c r="I864" s="303"/>
    </row>
    <row r="865" spans="1:9" ht="15.6">
      <c r="A865" s="300"/>
      <c r="C865" s="302"/>
      <c r="D865" s="89"/>
      <c r="E865" s="89"/>
      <c r="F865" s="89"/>
      <c r="G865" s="89"/>
      <c r="H865" s="89"/>
      <c r="I865" s="303"/>
    </row>
    <row r="866" spans="1:9" ht="15.6">
      <c r="A866" s="300"/>
      <c r="C866" s="302"/>
      <c r="D866" s="89"/>
      <c r="E866" s="89"/>
      <c r="F866" s="89"/>
      <c r="G866" s="89"/>
      <c r="H866" s="89"/>
      <c r="I866" s="303"/>
    </row>
    <row r="867" spans="1:9" ht="15.6">
      <c r="A867" s="300"/>
      <c r="C867" s="302"/>
      <c r="D867" s="89"/>
      <c r="E867" s="89"/>
      <c r="F867" s="89"/>
      <c r="G867" s="89"/>
      <c r="H867" s="89"/>
      <c r="I867" s="303"/>
    </row>
    <row r="868" spans="1:9" ht="15.6">
      <c r="A868" s="300"/>
      <c r="C868" s="302"/>
      <c r="D868" s="89"/>
      <c r="E868" s="89"/>
      <c r="F868" s="89"/>
      <c r="G868" s="89"/>
      <c r="H868" s="89"/>
      <c r="I868" s="303"/>
    </row>
    <row r="869" spans="1:9" ht="15.6">
      <c r="A869" s="300"/>
      <c r="C869" s="302"/>
      <c r="D869" s="89"/>
      <c r="E869" s="89"/>
      <c r="F869" s="89"/>
      <c r="G869" s="89"/>
      <c r="H869" s="89"/>
      <c r="I869" s="303"/>
    </row>
    <row r="870" spans="1:9" ht="15.6">
      <c r="A870" s="300"/>
      <c r="C870" s="302"/>
      <c r="D870" s="89"/>
      <c r="E870" s="89"/>
      <c r="F870" s="89"/>
      <c r="G870" s="89"/>
      <c r="H870" s="89"/>
      <c r="I870" s="303"/>
    </row>
    <row r="871" spans="1:9" ht="15.6">
      <c r="A871" s="300"/>
      <c r="C871" s="302"/>
      <c r="D871" s="89"/>
      <c r="E871" s="89"/>
      <c r="F871" s="89"/>
      <c r="G871" s="89"/>
      <c r="H871" s="89"/>
      <c r="I871" s="303"/>
    </row>
    <row r="872" spans="1:9" ht="15.6">
      <c r="A872" s="300"/>
      <c r="C872" s="302"/>
      <c r="D872" s="89"/>
      <c r="E872" s="89"/>
      <c r="F872" s="89"/>
      <c r="G872" s="89"/>
      <c r="H872" s="89"/>
      <c r="I872" s="303"/>
    </row>
    <row r="873" spans="1:9" ht="15.6">
      <c r="A873" s="300"/>
      <c r="C873" s="302"/>
      <c r="D873" s="89"/>
      <c r="E873" s="89"/>
      <c r="F873" s="89"/>
      <c r="G873" s="89"/>
      <c r="H873" s="89"/>
      <c r="I873" s="303"/>
    </row>
    <row r="874" spans="1:9" ht="15.6">
      <c r="A874" s="300"/>
      <c r="C874" s="302"/>
      <c r="D874" s="89"/>
      <c r="E874" s="89"/>
      <c r="F874" s="89"/>
      <c r="G874" s="89"/>
      <c r="H874" s="89"/>
      <c r="I874" s="303"/>
    </row>
    <row r="875" spans="1:9" ht="15.6">
      <c r="A875" s="300"/>
      <c r="C875" s="302"/>
      <c r="D875" s="89"/>
      <c r="E875" s="89"/>
      <c r="F875" s="89"/>
      <c r="G875" s="89"/>
      <c r="H875" s="89"/>
      <c r="I875" s="303"/>
    </row>
    <row r="876" spans="1:9" ht="15.6">
      <c r="A876" s="300"/>
      <c r="C876" s="302"/>
      <c r="D876" s="89"/>
      <c r="E876" s="89"/>
      <c r="F876" s="89"/>
      <c r="G876" s="89"/>
      <c r="H876" s="89"/>
      <c r="I876" s="303"/>
    </row>
    <row r="877" spans="1:9" ht="15.6">
      <c r="A877" s="300"/>
      <c r="C877" s="302"/>
      <c r="D877" s="89"/>
      <c r="E877" s="89"/>
      <c r="F877" s="89"/>
      <c r="G877" s="89"/>
      <c r="H877" s="89"/>
      <c r="I877" s="303"/>
    </row>
    <row r="878" spans="1:9" ht="15.6">
      <c r="A878" s="300"/>
      <c r="C878" s="302"/>
      <c r="D878" s="89"/>
      <c r="E878" s="89"/>
      <c r="F878" s="89"/>
      <c r="G878" s="89"/>
      <c r="H878" s="89"/>
      <c r="I878" s="303"/>
    </row>
    <row r="879" spans="1:9" ht="15.6">
      <c r="A879" s="300"/>
      <c r="C879" s="302"/>
      <c r="D879" s="89"/>
      <c r="E879" s="89"/>
      <c r="F879" s="89"/>
      <c r="G879" s="89"/>
      <c r="H879" s="89"/>
      <c r="I879" s="303"/>
    </row>
    <row r="880" spans="1:9" ht="15.6">
      <c r="A880" s="300"/>
      <c r="C880" s="302"/>
      <c r="D880" s="89"/>
      <c r="E880" s="89"/>
      <c r="F880" s="89"/>
      <c r="G880" s="89"/>
      <c r="H880" s="89"/>
      <c r="I880" s="303"/>
    </row>
    <row r="881" spans="1:9" ht="15.6">
      <c r="A881" s="300"/>
      <c r="C881" s="302"/>
      <c r="D881" s="89"/>
      <c r="E881" s="89"/>
      <c r="F881" s="89"/>
      <c r="G881" s="89"/>
      <c r="H881" s="89"/>
      <c r="I881" s="303"/>
    </row>
    <row r="882" spans="1:9" ht="15.6">
      <c r="A882" s="300"/>
      <c r="C882" s="302"/>
      <c r="D882" s="89"/>
      <c r="E882" s="89"/>
      <c r="F882" s="89"/>
      <c r="G882" s="89"/>
      <c r="H882" s="89"/>
      <c r="I882" s="303"/>
    </row>
    <row r="883" spans="1:9" ht="15.6">
      <c r="A883" s="300"/>
      <c r="C883" s="302"/>
      <c r="D883" s="89"/>
      <c r="E883" s="89"/>
      <c r="F883" s="89"/>
      <c r="G883" s="89"/>
      <c r="H883" s="89"/>
      <c r="I883" s="303"/>
    </row>
    <row r="884" spans="1:9" ht="15.6">
      <c r="A884" s="300"/>
      <c r="C884" s="302"/>
      <c r="D884" s="89"/>
      <c r="E884" s="89"/>
      <c r="F884" s="89"/>
      <c r="G884" s="89"/>
      <c r="H884" s="89"/>
      <c r="I884" s="303"/>
    </row>
    <row r="885" spans="1:9" ht="15.6">
      <c r="A885" s="300"/>
      <c r="C885" s="302"/>
      <c r="D885" s="89"/>
      <c r="E885" s="89"/>
      <c r="F885" s="89"/>
      <c r="G885" s="89"/>
      <c r="H885" s="89"/>
      <c r="I885" s="303"/>
    </row>
    <row r="886" spans="1:9" ht="15.6">
      <c r="A886" s="300"/>
      <c r="C886" s="302"/>
      <c r="D886" s="89"/>
      <c r="E886" s="89"/>
      <c r="F886" s="89"/>
      <c r="G886" s="89"/>
      <c r="H886" s="89"/>
      <c r="I886" s="303"/>
    </row>
    <row r="887" spans="1:9" ht="15.6">
      <c r="A887" s="300"/>
      <c r="C887" s="302"/>
      <c r="D887" s="89"/>
      <c r="E887" s="89"/>
      <c r="F887" s="89"/>
      <c r="G887" s="89"/>
      <c r="H887" s="89"/>
      <c r="I887" s="303"/>
    </row>
    <row r="888" spans="1:9" ht="15.6">
      <c r="A888" s="300"/>
      <c r="C888" s="302"/>
      <c r="D888" s="89"/>
      <c r="E888" s="89"/>
      <c r="F888" s="89"/>
      <c r="G888" s="89"/>
      <c r="H888" s="89"/>
      <c r="I888" s="303"/>
    </row>
    <row r="889" spans="1:9" ht="15.6">
      <c r="A889" s="300"/>
      <c r="C889" s="302"/>
      <c r="D889" s="89"/>
      <c r="E889" s="89"/>
      <c r="F889" s="89"/>
      <c r="G889" s="89"/>
      <c r="H889" s="89"/>
      <c r="I889" s="303"/>
    </row>
    <row r="890" spans="1:9" ht="15.6">
      <c r="A890" s="300"/>
      <c r="C890" s="302"/>
      <c r="D890" s="89"/>
      <c r="E890" s="89"/>
      <c r="F890" s="89"/>
      <c r="G890" s="89"/>
      <c r="H890" s="89"/>
      <c r="I890" s="303"/>
    </row>
    <row r="891" spans="1:9" ht="15.6">
      <c r="A891" s="300"/>
      <c r="C891" s="302"/>
      <c r="D891" s="89"/>
      <c r="E891" s="89"/>
      <c r="F891" s="89"/>
      <c r="G891" s="89"/>
      <c r="H891" s="89"/>
      <c r="I891" s="303"/>
    </row>
    <row r="892" spans="1:9" ht="15.6">
      <c r="A892" s="300"/>
      <c r="C892" s="302"/>
      <c r="D892" s="89"/>
      <c r="E892" s="89"/>
      <c r="F892" s="89"/>
      <c r="G892" s="89"/>
      <c r="H892" s="89"/>
      <c r="I892" s="303"/>
    </row>
    <row r="893" spans="1:9" ht="15.6">
      <c r="A893" s="300"/>
      <c r="C893" s="302"/>
      <c r="D893" s="89"/>
      <c r="E893" s="89"/>
      <c r="F893" s="89"/>
      <c r="G893" s="89"/>
      <c r="H893" s="89"/>
      <c r="I893" s="303"/>
    </row>
    <row r="894" spans="1:9" ht="15.6">
      <c r="A894" s="300"/>
      <c r="C894" s="302"/>
      <c r="D894" s="89"/>
      <c r="E894" s="89"/>
      <c r="F894" s="89"/>
      <c r="G894" s="89"/>
      <c r="H894" s="89"/>
      <c r="I894" s="303"/>
    </row>
    <row r="895" spans="1:9" ht="15.6">
      <c r="A895" s="300"/>
      <c r="C895" s="302"/>
      <c r="D895" s="89"/>
      <c r="E895" s="89"/>
      <c r="F895" s="89"/>
      <c r="G895" s="89"/>
      <c r="H895" s="89"/>
      <c r="I895" s="303"/>
    </row>
    <row r="896" spans="1:9" ht="15.6">
      <c r="A896" s="300"/>
      <c r="C896" s="302"/>
      <c r="D896" s="89"/>
      <c r="E896" s="89"/>
      <c r="F896" s="89"/>
      <c r="G896" s="89"/>
      <c r="H896" s="89"/>
      <c r="I896" s="303"/>
    </row>
    <row r="897" spans="1:9" ht="15.6">
      <c r="A897" s="300"/>
      <c r="C897" s="302"/>
      <c r="D897" s="89"/>
      <c r="E897" s="89"/>
      <c r="F897" s="89"/>
      <c r="G897" s="89"/>
      <c r="H897" s="89"/>
      <c r="I897" s="303"/>
    </row>
    <row r="898" spans="1:9" ht="15.6">
      <c r="A898" s="300"/>
      <c r="C898" s="302"/>
      <c r="D898" s="89"/>
      <c r="E898" s="89"/>
      <c r="F898" s="89"/>
      <c r="G898" s="89"/>
      <c r="H898" s="89"/>
      <c r="I898" s="303"/>
    </row>
    <row r="899" spans="1:9" ht="15.6">
      <c r="A899" s="300"/>
      <c r="C899" s="302"/>
      <c r="D899" s="89"/>
      <c r="E899" s="89"/>
      <c r="F899" s="89"/>
      <c r="G899" s="89"/>
      <c r="H899" s="89"/>
      <c r="I899" s="303"/>
    </row>
    <row r="900" spans="1:9" ht="15.6">
      <c r="A900" s="300"/>
      <c r="C900" s="302"/>
      <c r="D900" s="89"/>
      <c r="E900" s="89"/>
      <c r="F900" s="89"/>
      <c r="G900" s="89"/>
      <c r="H900" s="89"/>
      <c r="I900" s="303"/>
    </row>
    <row r="901" spans="1:9" ht="15.6">
      <c r="A901" s="300"/>
      <c r="C901" s="302"/>
      <c r="D901" s="89"/>
      <c r="E901" s="89"/>
      <c r="F901" s="89"/>
      <c r="G901" s="89"/>
      <c r="H901" s="89"/>
      <c r="I901" s="303"/>
    </row>
    <row r="902" spans="1:9" ht="15.6">
      <c r="A902" s="300"/>
      <c r="C902" s="302"/>
      <c r="D902" s="89"/>
      <c r="E902" s="89"/>
      <c r="F902" s="89"/>
      <c r="G902" s="89"/>
      <c r="H902" s="89"/>
      <c r="I902" s="303"/>
    </row>
    <row r="903" spans="1:9" ht="15.6">
      <c r="A903" s="300"/>
      <c r="C903" s="302"/>
      <c r="D903" s="89"/>
      <c r="E903" s="89"/>
      <c r="F903" s="89"/>
      <c r="G903" s="89"/>
      <c r="H903" s="89"/>
      <c r="I903" s="303"/>
    </row>
    <row r="904" spans="1:9" ht="15.6">
      <c r="A904" s="300"/>
      <c r="C904" s="302"/>
      <c r="D904" s="89"/>
      <c r="E904" s="89"/>
      <c r="F904" s="89"/>
      <c r="G904" s="89"/>
      <c r="H904" s="89"/>
      <c r="I904" s="303"/>
    </row>
    <row r="905" spans="1:9" ht="15.6">
      <c r="A905" s="300"/>
      <c r="C905" s="302"/>
      <c r="D905" s="89"/>
      <c r="E905" s="89"/>
      <c r="F905" s="89"/>
      <c r="G905" s="89"/>
      <c r="H905" s="89"/>
      <c r="I905" s="303"/>
    </row>
    <row r="906" spans="1:9" ht="15.6">
      <c r="A906" s="300"/>
      <c r="C906" s="302"/>
      <c r="D906" s="89"/>
      <c r="E906" s="89"/>
      <c r="F906" s="89"/>
      <c r="G906" s="89"/>
      <c r="H906" s="89"/>
      <c r="I906" s="303"/>
    </row>
    <row r="907" spans="1:9" ht="15.6">
      <c r="A907" s="300"/>
      <c r="C907" s="302"/>
      <c r="D907" s="89"/>
      <c r="E907" s="89"/>
      <c r="F907" s="89"/>
      <c r="G907" s="89"/>
      <c r="H907" s="89"/>
      <c r="I907" s="303"/>
    </row>
    <row r="908" spans="1:9" ht="15.6">
      <c r="A908" s="300"/>
      <c r="C908" s="302"/>
      <c r="D908" s="89"/>
      <c r="E908" s="89"/>
      <c r="F908" s="89"/>
      <c r="G908" s="89"/>
      <c r="H908" s="89"/>
      <c r="I908" s="303"/>
    </row>
    <row r="909" spans="1:9" ht="15.6">
      <c r="A909" s="300"/>
      <c r="C909" s="302"/>
      <c r="D909" s="89"/>
      <c r="E909" s="89"/>
      <c r="F909" s="89"/>
      <c r="G909" s="89"/>
      <c r="H909" s="89"/>
      <c r="I909" s="303"/>
    </row>
    <row r="910" spans="1:9" ht="15.6">
      <c r="A910" s="300"/>
      <c r="C910" s="302"/>
      <c r="D910" s="89"/>
      <c r="E910" s="89"/>
      <c r="F910" s="89"/>
      <c r="G910" s="89"/>
      <c r="H910" s="89"/>
      <c r="I910" s="303"/>
    </row>
    <row r="911" spans="1:9" ht="15.6">
      <c r="A911" s="300"/>
      <c r="C911" s="302"/>
      <c r="D911" s="89"/>
      <c r="E911" s="89"/>
      <c r="F911" s="89"/>
      <c r="G911" s="89"/>
      <c r="H911" s="89"/>
      <c r="I911" s="303"/>
    </row>
    <row r="912" spans="1:9" ht="15.6">
      <c r="A912" s="300"/>
      <c r="C912" s="302"/>
      <c r="D912" s="89"/>
      <c r="E912" s="89"/>
      <c r="F912" s="89"/>
      <c r="G912" s="89"/>
      <c r="H912" s="89"/>
      <c r="I912" s="303"/>
    </row>
    <row r="913" spans="1:9" ht="15.6">
      <c r="A913" s="300"/>
      <c r="C913" s="302"/>
      <c r="D913" s="89"/>
      <c r="E913" s="89"/>
      <c r="F913" s="89"/>
      <c r="G913" s="89"/>
      <c r="H913" s="89"/>
      <c r="I913" s="303"/>
    </row>
    <row r="914" spans="1:9" ht="15.6">
      <c r="A914" s="300"/>
      <c r="C914" s="302"/>
      <c r="D914" s="89"/>
      <c r="E914" s="89"/>
      <c r="F914" s="89"/>
      <c r="G914" s="89"/>
      <c r="H914" s="89"/>
      <c r="I914" s="303"/>
    </row>
    <row r="915" spans="1:9" ht="15.6">
      <c r="A915" s="300"/>
      <c r="C915" s="302"/>
      <c r="D915" s="89"/>
      <c r="E915" s="89"/>
      <c r="F915" s="89"/>
      <c r="G915" s="89"/>
      <c r="H915" s="89"/>
      <c r="I915" s="303"/>
    </row>
    <row r="916" spans="1:9" ht="15.6">
      <c r="A916" s="300"/>
      <c r="C916" s="302"/>
      <c r="D916" s="89"/>
      <c r="E916" s="89"/>
      <c r="F916" s="89"/>
      <c r="G916" s="89"/>
      <c r="H916" s="89"/>
      <c r="I916" s="303"/>
    </row>
    <row r="917" spans="1:9" ht="15.6">
      <c r="A917" s="300"/>
      <c r="C917" s="302"/>
      <c r="D917" s="89"/>
      <c r="E917" s="89"/>
      <c r="F917" s="89"/>
      <c r="G917" s="89"/>
      <c r="H917" s="89"/>
      <c r="I917" s="303"/>
    </row>
    <row r="918" spans="1:9" ht="15.6">
      <c r="A918" s="300"/>
      <c r="C918" s="302"/>
      <c r="D918" s="89"/>
      <c r="E918" s="89"/>
      <c r="F918" s="89"/>
      <c r="G918" s="89"/>
      <c r="H918" s="89"/>
      <c r="I918" s="303"/>
    </row>
    <row r="919" spans="1:9" ht="15.6">
      <c r="A919" s="300"/>
      <c r="C919" s="302"/>
      <c r="D919" s="89"/>
      <c r="E919" s="89"/>
      <c r="F919" s="89"/>
      <c r="G919" s="89"/>
      <c r="H919" s="89"/>
      <c r="I919" s="303"/>
    </row>
    <row r="920" spans="1:9" ht="15.6">
      <c r="A920" s="300"/>
      <c r="C920" s="302"/>
      <c r="D920" s="89"/>
      <c r="E920" s="89"/>
      <c r="F920" s="89"/>
      <c r="G920" s="89"/>
      <c r="H920" s="89"/>
      <c r="I920" s="303"/>
    </row>
    <row r="921" spans="1:9" ht="15.6">
      <c r="A921" s="300"/>
      <c r="C921" s="302"/>
      <c r="D921" s="89"/>
      <c r="E921" s="89"/>
      <c r="F921" s="89"/>
      <c r="G921" s="89"/>
      <c r="H921" s="89"/>
      <c r="I921" s="303"/>
    </row>
    <row r="922" spans="1:9" ht="15.6">
      <c r="A922" s="300"/>
      <c r="C922" s="302"/>
      <c r="D922" s="89"/>
      <c r="E922" s="89"/>
      <c r="F922" s="89"/>
      <c r="G922" s="89"/>
      <c r="H922" s="89"/>
      <c r="I922" s="303"/>
    </row>
    <row r="923" spans="1:9" ht="15.6">
      <c r="A923" s="300"/>
      <c r="C923" s="302"/>
      <c r="D923" s="89"/>
      <c r="E923" s="89"/>
      <c r="F923" s="89"/>
      <c r="G923" s="89"/>
      <c r="H923" s="89"/>
      <c r="I923" s="303"/>
    </row>
    <row r="924" spans="1:9" ht="15.6">
      <c r="A924" s="300"/>
      <c r="C924" s="302"/>
      <c r="D924" s="89"/>
      <c r="E924" s="89"/>
      <c r="F924" s="89"/>
      <c r="G924" s="89"/>
      <c r="H924" s="89"/>
      <c r="I924" s="303"/>
    </row>
    <row r="925" spans="1:9" ht="15.6">
      <c r="A925" s="300"/>
      <c r="C925" s="302"/>
      <c r="D925" s="89"/>
      <c r="E925" s="89"/>
      <c r="F925" s="89"/>
      <c r="G925" s="89"/>
      <c r="H925" s="89"/>
      <c r="I925" s="303"/>
    </row>
    <row r="926" spans="1:9" ht="15.6">
      <c r="A926" s="300"/>
      <c r="C926" s="302"/>
      <c r="D926" s="89"/>
      <c r="E926" s="89"/>
      <c r="F926" s="89"/>
      <c r="G926" s="89"/>
      <c r="H926" s="89"/>
      <c r="I926" s="303"/>
    </row>
    <row r="927" spans="1:9" ht="15.6">
      <c r="A927" s="300"/>
      <c r="C927" s="302"/>
      <c r="D927" s="89"/>
      <c r="E927" s="89"/>
      <c r="F927" s="89"/>
      <c r="G927" s="89"/>
      <c r="H927" s="89"/>
      <c r="I927" s="303"/>
    </row>
    <row r="928" spans="1:9" ht="15.6">
      <c r="A928" s="300"/>
      <c r="C928" s="302"/>
      <c r="D928" s="89"/>
      <c r="E928" s="89"/>
      <c r="F928" s="89"/>
      <c r="G928" s="89"/>
      <c r="H928" s="89"/>
      <c r="I928" s="303"/>
    </row>
    <row r="929" spans="1:9" ht="15.6">
      <c r="A929" s="300"/>
      <c r="C929" s="302"/>
      <c r="D929" s="89"/>
      <c r="E929" s="89"/>
      <c r="F929" s="89"/>
      <c r="G929" s="89"/>
      <c r="H929" s="89"/>
      <c r="I929" s="303"/>
    </row>
    <row r="930" spans="1:9" ht="15.6">
      <c r="A930" s="300"/>
      <c r="C930" s="302"/>
      <c r="D930" s="89"/>
      <c r="E930" s="89"/>
      <c r="F930" s="89"/>
      <c r="G930" s="89"/>
      <c r="H930" s="89"/>
      <c r="I930" s="303"/>
    </row>
    <row r="931" spans="1:9" ht="15.6">
      <c r="A931" s="300"/>
      <c r="C931" s="302"/>
      <c r="D931" s="89"/>
      <c r="E931" s="89"/>
      <c r="F931" s="89"/>
      <c r="G931" s="89"/>
      <c r="H931" s="89"/>
      <c r="I931" s="303"/>
    </row>
    <row r="932" spans="1:9" ht="15.6">
      <c r="A932" s="300"/>
      <c r="C932" s="302"/>
      <c r="D932" s="89"/>
      <c r="E932" s="89"/>
      <c r="F932" s="89"/>
      <c r="G932" s="89"/>
      <c r="H932" s="89"/>
      <c r="I932" s="303"/>
    </row>
    <row r="933" spans="1:9" ht="15.6">
      <c r="A933" s="300"/>
      <c r="C933" s="302"/>
      <c r="D933" s="89"/>
      <c r="E933" s="89"/>
      <c r="F933" s="89"/>
      <c r="G933" s="89"/>
      <c r="H933" s="89"/>
      <c r="I933" s="303"/>
    </row>
    <row r="934" spans="1:9" ht="15.6">
      <c r="A934" s="300"/>
      <c r="C934" s="302"/>
      <c r="D934" s="89"/>
      <c r="E934" s="89"/>
      <c r="F934" s="89"/>
      <c r="G934" s="89"/>
      <c r="H934" s="89"/>
      <c r="I934" s="303"/>
    </row>
    <row r="935" spans="1:9" ht="15.6">
      <c r="A935" s="300"/>
      <c r="C935" s="302"/>
      <c r="D935" s="89"/>
      <c r="E935" s="89"/>
      <c r="F935" s="89"/>
      <c r="G935" s="89"/>
      <c r="H935" s="89"/>
      <c r="I935" s="303"/>
    </row>
    <row r="936" spans="1:9" ht="15.6">
      <c r="A936" s="300"/>
      <c r="C936" s="302"/>
      <c r="D936" s="89"/>
      <c r="E936" s="89"/>
      <c r="F936" s="89"/>
      <c r="G936" s="89"/>
      <c r="H936" s="89"/>
      <c r="I936" s="303"/>
    </row>
    <row r="937" spans="1:9" ht="15.6">
      <c r="A937" s="300"/>
      <c r="C937" s="302"/>
      <c r="D937" s="89"/>
      <c r="E937" s="89"/>
      <c r="F937" s="89"/>
      <c r="G937" s="89"/>
      <c r="H937" s="89"/>
      <c r="I937" s="303"/>
    </row>
    <row r="938" spans="1:9" ht="15.6">
      <c r="A938" s="300"/>
      <c r="C938" s="302"/>
      <c r="D938" s="89"/>
      <c r="E938" s="89"/>
      <c r="F938" s="89"/>
      <c r="G938" s="89"/>
      <c r="H938" s="89"/>
      <c r="I938" s="303"/>
    </row>
    <row r="939" spans="1:9" ht="15.6">
      <c r="A939" s="300"/>
      <c r="C939" s="302"/>
      <c r="D939" s="89"/>
      <c r="E939" s="89"/>
      <c r="F939" s="89"/>
      <c r="G939" s="89"/>
      <c r="H939" s="89"/>
      <c r="I939" s="303"/>
    </row>
    <row r="940" spans="1:9" ht="15.6">
      <c r="A940" s="300"/>
      <c r="C940" s="302"/>
      <c r="D940" s="89"/>
      <c r="E940" s="89"/>
      <c r="F940" s="89"/>
      <c r="G940" s="89"/>
      <c r="H940" s="89"/>
      <c r="I940" s="303"/>
    </row>
    <row r="941" spans="1:9" ht="15.6">
      <c r="A941" s="300"/>
      <c r="C941" s="302"/>
      <c r="D941" s="89"/>
      <c r="E941" s="89"/>
      <c r="F941" s="89"/>
      <c r="G941" s="89"/>
      <c r="H941" s="89"/>
      <c r="I941" s="303"/>
    </row>
    <row r="942" spans="1:9" ht="15.6">
      <c r="A942" s="300"/>
      <c r="C942" s="302"/>
      <c r="D942" s="89"/>
      <c r="E942" s="89"/>
      <c r="F942" s="89"/>
      <c r="G942" s="89"/>
      <c r="H942" s="89"/>
      <c r="I942" s="303"/>
    </row>
    <row r="943" spans="1:9" ht="15.6">
      <c r="A943" s="300"/>
      <c r="C943" s="302"/>
      <c r="D943" s="89"/>
      <c r="E943" s="89"/>
      <c r="F943" s="89"/>
      <c r="G943" s="89"/>
      <c r="H943" s="89"/>
      <c r="I943" s="303"/>
    </row>
    <row r="944" spans="1:9" ht="15.6">
      <c r="A944" s="300"/>
      <c r="C944" s="302"/>
      <c r="D944" s="89"/>
      <c r="E944" s="89"/>
      <c r="F944" s="89"/>
      <c r="G944" s="89"/>
      <c r="H944" s="89"/>
      <c r="I944" s="303"/>
    </row>
    <row r="945" spans="1:9" ht="15.6">
      <c r="A945" s="300"/>
      <c r="C945" s="302"/>
      <c r="D945" s="89"/>
      <c r="E945" s="89"/>
      <c r="F945" s="89"/>
      <c r="G945" s="89"/>
      <c r="H945" s="89"/>
      <c r="I945" s="303"/>
    </row>
    <row r="946" spans="1:9" ht="15.6">
      <c r="A946" s="300"/>
      <c r="C946" s="302"/>
      <c r="D946" s="89"/>
      <c r="E946" s="89"/>
      <c r="F946" s="89"/>
      <c r="G946" s="89"/>
      <c r="H946" s="89"/>
      <c r="I946" s="303"/>
    </row>
    <row r="947" spans="1:9" ht="15.6">
      <c r="A947" s="300"/>
      <c r="C947" s="302"/>
      <c r="D947" s="89"/>
      <c r="E947" s="89"/>
      <c r="F947" s="89"/>
      <c r="G947" s="89"/>
      <c r="H947" s="89"/>
      <c r="I947" s="303"/>
    </row>
    <row r="948" spans="1:9" ht="15.6">
      <c r="A948" s="300"/>
      <c r="C948" s="302"/>
      <c r="D948" s="89"/>
      <c r="E948" s="89"/>
      <c r="F948" s="89"/>
      <c r="G948" s="89"/>
      <c r="H948" s="89"/>
      <c r="I948" s="303"/>
    </row>
    <row r="949" spans="1:9" ht="15.6">
      <c r="A949" s="300"/>
      <c r="C949" s="302"/>
      <c r="D949" s="89"/>
      <c r="E949" s="89"/>
      <c r="F949" s="89"/>
      <c r="G949" s="89"/>
      <c r="H949" s="89"/>
      <c r="I949" s="303"/>
    </row>
    <row r="950" spans="1:9" ht="15.6">
      <c r="A950" s="300"/>
      <c r="C950" s="302"/>
      <c r="D950" s="89"/>
      <c r="E950" s="89"/>
      <c r="F950" s="89"/>
      <c r="G950" s="89"/>
      <c r="H950" s="89"/>
      <c r="I950" s="303"/>
    </row>
    <row r="951" spans="1:9" ht="15.6">
      <c r="A951" s="300"/>
      <c r="C951" s="302"/>
      <c r="D951" s="89"/>
      <c r="E951" s="89"/>
      <c r="F951" s="89"/>
      <c r="G951" s="89"/>
      <c r="H951" s="89"/>
      <c r="I951" s="303"/>
    </row>
    <row r="952" spans="1:9" ht="15.6">
      <c r="A952" s="300"/>
      <c r="C952" s="302"/>
      <c r="D952" s="89"/>
      <c r="E952" s="89"/>
      <c r="F952" s="89"/>
      <c r="G952" s="89"/>
      <c r="H952" s="89"/>
      <c r="I952" s="303"/>
    </row>
    <row r="953" spans="1:9" ht="15.6">
      <c r="A953" s="300"/>
      <c r="C953" s="302"/>
      <c r="D953" s="89"/>
      <c r="E953" s="89"/>
      <c r="F953" s="89"/>
      <c r="G953" s="89"/>
      <c r="H953" s="89"/>
      <c r="I953" s="303"/>
    </row>
    <row r="954" spans="1:9" ht="15.6">
      <c r="A954" s="300"/>
      <c r="C954" s="302"/>
      <c r="D954" s="89"/>
      <c r="E954" s="89"/>
      <c r="F954" s="89"/>
      <c r="G954" s="89"/>
      <c r="H954" s="89"/>
      <c r="I954" s="303"/>
    </row>
    <row r="955" spans="1:9" ht="15.6">
      <c r="A955" s="300"/>
      <c r="C955" s="302"/>
      <c r="D955" s="89"/>
      <c r="E955" s="89"/>
      <c r="F955" s="89"/>
      <c r="G955" s="89"/>
      <c r="H955" s="89"/>
      <c r="I955" s="303"/>
    </row>
    <row r="956" spans="1:9" ht="15.6">
      <c r="A956" s="300"/>
      <c r="C956" s="302"/>
      <c r="D956" s="89"/>
      <c r="E956" s="89"/>
      <c r="F956" s="89"/>
      <c r="G956" s="89"/>
      <c r="H956" s="89"/>
      <c r="I956" s="303"/>
    </row>
    <row r="957" spans="1:9" ht="15.6">
      <c r="A957" s="300"/>
      <c r="C957" s="302"/>
      <c r="D957" s="89"/>
      <c r="E957" s="89"/>
      <c r="F957" s="89"/>
      <c r="G957" s="89"/>
      <c r="H957" s="89"/>
      <c r="I957" s="303"/>
    </row>
    <row r="958" spans="1:9" ht="15.6">
      <c r="A958" s="300"/>
      <c r="C958" s="302"/>
      <c r="D958" s="89"/>
      <c r="E958" s="89"/>
      <c r="F958" s="89"/>
      <c r="G958" s="89"/>
      <c r="H958" s="89"/>
      <c r="I958" s="303"/>
    </row>
    <row r="959" spans="1:9" ht="15.6">
      <c r="A959" s="300"/>
      <c r="C959" s="302"/>
      <c r="D959" s="89"/>
      <c r="E959" s="89"/>
      <c r="F959" s="89"/>
      <c r="G959" s="89"/>
      <c r="H959" s="89"/>
      <c r="I959" s="303"/>
    </row>
    <row r="960" spans="1:9" ht="15.6">
      <c r="A960" s="300"/>
      <c r="C960" s="302"/>
      <c r="D960" s="89"/>
      <c r="E960" s="89"/>
      <c r="F960" s="89"/>
      <c r="G960" s="89"/>
      <c r="H960" s="89"/>
      <c r="I960" s="303"/>
    </row>
    <row r="961" spans="1:9" ht="15.6">
      <c r="A961" s="300"/>
      <c r="C961" s="302"/>
      <c r="D961" s="89"/>
      <c r="E961" s="89"/>
      <c r="F961" s="89"/>
      <c r="G961" s="89"/>
      <c r="H961" s="89"/>
      <c r="I961" s="303"/>
    </row>
    <row r="962" spans="1:9" ht="15.6">
      <c r="A962" s="300"/>
      <c r="C962" s="302"/>
      <c r="D962" s="89"/>
      <c r="E962" s="89"/>
      <c r="F962" s="89"/>
      <c r="G962" s="89"/>
      <c r="H962" s="89"/>
      <c r="I962" s="303"/>
    </row>
    <row r="963" spans="1:9" ht="15.6">
      <c r="A963" s="300"/>
      <c r="C963" s="302"/>
      <c r="D963" s="89"/>
      <c r="E963" s="89"/>
      <c r="F963" s="89"/>
      <c r="G963" s="89"/>
      <c r="H963" s="89"/>
      <c r="I963" s="303"/>
    </row>
    <row r="964" spans="1:9" ht="15.6">
      <c r="A964" s="300"/>
      <c r="C964" s="302"/>
      <c r="D964" s="89"/>
      <c r="E964" s="89"/>
      <c r="F964" s="89"/>
      <c r="G964" s="89"/>
      <c r="H964" s="89"/>
      <c r="I964" s="303"/>
    </row>
    <row r="965" spans="1:9" ht="15.6">
      <c r="A965" s="300"/>
      <c r="C965" s="302"/>
      <c r="D965" s="89"/>
      <c r="E965" s="89"/>
      <c r="F965" s="89"/>
      <c r="G965" s="89"/>
      <c r="H965" s="89"/>
      <c r="I965" s="303"/>
    </row>
    <row r="966" spans="1:9" ht="15.6">
      <c r="A966" s="300"/>
      <c r="C966" s="302"/>
      <c r="D966" s="89"/>
      <c r="E966" s="89"/>
      <c r="F966" s="89"/>
      <c r="G966" s="89"/>
      <c r="H966" s="89"/>
      <c r="I966" s="303"/>
    </row>
    <row r="967" spans="1:9" ht="15.6">
      <c r="A967" s="300"/>
      <c r="C967" s="302"/>
      <c r="D967" s="89"/>
      <c r="E967" s="89"/>
      <c r="F967" s="89"/>
      <c r="G967" s="89"/>
      <c r="H967" s="89"/>
      <c r="I967" s="303"/>
    </row>
    <row r="968" spans="1:9" ht="15.6">
      <c r="A968" s="300"/>
      <c r="C968" s="302"/>
      <c r="D968" s="89"/>
      <c r="E968" s="89"/>
      <c r="F968" s="89"/>
      <c r="G968" s="89"/>
      <c r="H968" s="89"/>
      <c r="I968" s="303"/>
    </row>
    <row r="969" spans="1:9" ht="15.6">
      <c r="A969" s="300"/>
      <c r="C969" s="302"/>
      <c r="D969" s="89"/>
      <c r="E969" s="89"/>
      <c r="F969" s="89"/>
      <c r="G969" s="89"/>
      <c r="H969" s="89"/>
      <c r="I969" s="303"/>
    </row>
    <row r="970" spans="1:9" ht="15.6">
      <c r="A970" s="300"/>
      <c r="C970" s="302"/>
      <c r="D970" s="89"/>
      <c r="E970" s="89"/>
      <c r="F970" s="89"/>
      <c r="G970" s="89"/>
      <c r="H970" s="89"/>
      <c r="I970" s="303"/>
    </row>
    <row r="971" spans="1:9" ht="15.6">
      <c r="A971" s="300"/>
      <c r="C971" s="302"/>
      <c r="D971" s="89"/>
      <c r="E971" s="89"/>
      <c r="F971" s="89"/>
      <c r="G971" s="89"/>
      <c r="H971" s="89"/>
      <c r="I971" s="303"/>
    </row>
    <row r="972" spans="1:9" ht="15.6">
      <c r="A972" s="300"/>
      <c r="C972" s="302"/>
      <c r="D972" s="89"/>
      <c r="E972" s="89"/>
      <c r="F972" s="89"/>
      <c r="G972" s="89"/>
      <c r="H972" s="89"/>
      <c r="I972" s="303"/>
    </row>
    <row r="973" spans="1:9" ht="15.6">
      <c r="A973" s="300"/>
      <c r="C973" s="302"/>
      <c r="D973" s="89"/>
      <c r="E973" s="89"/>
      <c r="F973" s="89"/>
      <c r="G973" s="89"/>
      <c r="H973" s="89"/>
      <c r="I973" s="303"/>
    </row>
    <row r="974" spans="1:9" ht="15.6">
      <c r="A974" s="300"/>
      <c r="C974" s="302"/>
      <c r="D974" s="89"/>
      <c r="E974" s="89"/>
      <c r="F974" s="89"/>
      <c r="G974" s="89"/>
      <c r="H974" s="89"/>
      <c r="I974" s="303"/>
    </row>
    <row r="975" spans="1:9" ht="15.6">
      <c r="A975" s="300"/>
      <c r="C975" s="302"/>
      <c r="D975" s="89"/>
      <c r="E975" s="89"/>
      <c r="F975" s="89"/>
      <c r="G975" s="89"/>
      <c r="H975" s="89"/>
      <c r="I975" s="303"/>
    </row>
    <row r="976" spans="1:9" ht="15.6">
      <c r="A976" s="300"/>
      <c r="C976" s="302"/>
      <c r="D976" s="89"/>
      <c r="E976" s="89"/>
      <c r="F976" s="89"/>
      <c r="G976" s="89"/>
      <c r="H976" s="89"/>
      <c r="I976" s="303"/>
    </row>
    <row r="977" spans="1:9" ht="15.6">
      <c r="A977" s="300"/>
      <c r="C977" s="302"/>
      <c r="D977" s="89"/>
      <c r="E977" s="89"/>
      <c r="F977" s="89"/>
      <c r="G977" s="89"/>
      <c r="H977" s="89"/>
      <c r="I977" s="303"/>
    </row>
    <row r="978" spans="1:9" ht="15.6">
      <c r="A978" s="300"/>
      <c r="C978" s="302"/>
      <c r="D978" s="89"/>
      <c r="E978" s="89"/>
      <c r="F978" s="89"/>
      <c r="G978" s="89"/>
      <c r="H978" s="89"/>
      <c r="I978" s="303"/>
    </row>
    <row r="979" spans="1:9" ht="15.6">
      <c r="A979" s="300"/>
      <c r="C979" s="302"/>
      <c r="D979" s="89"/>
      <c r="E979" s="89"/>
      <c r="F979" s="89"/>
      <c r="G979" s="89"/>
      <c r="H979" s="89"/>
      <c r="I979" s="303"/>
    </row>
    <row r="980" spans="1:9" ht="15.6">
      <c r="A980" s="300"/>
      <c r="C980" s="302"/>
      <c r="D980" s="89"/>
      <c r="E980" s="89"/>
      <c r="F980" s="89"/>
      <c r="G980" s="89"/>
      <c r="H980" s="89"/>
      <c r="I980" s="303"/>
    </row>
    <row r="981" spans="1:9" ht="15.6">
      <c r="A981" s="300"/>
      <c r="C981" s="302"/>
      <c r="D981" s="89"/>
      <c r="E981" s="89"/>
      <c r="F981" s="89"/>
      <c r="G981" s="89"/>
      <c r="H981" s="89"/>
      <c r="I981" s="303"/>
    </row>
    <row r="982" spans="1:9" ht="15.6">
      <c r="A982" s="300"/>
      <c r="C982" s="302"/>
      <c r="D982" s="89"/>
      <c r="E982" s="89"/>
      <c r="F982" s="89"/>
      <c r="G982" s="89"/>
      <c r="H982" s="89"/>
      <c r="I982" s="303"/>
    </row>
    <row r="983" spans="1:9" ht="15.6">
      <c r="A983" s="300"/>
      <c r="C983" s="302"/>
      <c r="D983" s="89"/>
      <c r="E983" s="89"/>
      <c r="F983" s="89"/>
      <c r="G983" s="89"/>
      <c r="H983" s="89"/>
      <c r="I983" s="303"/>
    </row>
    <row r="984" spans="1:9" ht="15.6">
      <c r="A984" s="300"/>
      <c r="C984" s="302"/>
      <c r="D984" s="89"/>
      <c r="E984" s="89"/>
      <c r="F984" s="89"/>
      <c r="G984" s="89"/>
      <c r="H984" s="89"/>
      <c r="I984" s="303"/>
    </row>
    <row r="985" spans="1:9" ht="15.6">
      <c r="A985" s="300"/>
      <c r="C985" s="302"/>
      <c r="D985" s="89"/>
      <c r="E985" s="89"/>
      <c r="F985" s="89"/>
      <c r="G985" s="89"/>
      <c r="H985" s="89"/>
      <c r="I985" s="303"/>
    </row>
    <row r="986" spans="1:9" ht="15.6">
      <c r="A986" s="300"/>
      <c r="C986" s="302"/>
      <c r="D986" s="89"/>
      <c r="E986" s="89"/>
      <c r="F986" s="89"/>
      <c r="G986" s="89"/>
      <c r="H986" s="89"/>
      <c r="I986" s="303"/>
    </row>
    <row r="987" spans="1:9" ht="15.6">
      <c r="A987" s="300"/>
      <c r="C987" s="302"/>
      <c r="D987" s="89"/>
      <c r="E987" s="89"/>
      <c r="F987" s="89"/>
      <c r="G987" s="89"/>
      <c r="H987" s="89"/>
      <c r="I987" s="303"/>
    </row>
    <row r="988" spans="1:9" ht="15.6">
      <c r="A988" s="300"/>
      <c r="C988" s="302"/>
      <c r="D988" s="89"/>
      <c r="E988" s="89"/>
      <c r="F988" s="89"/>
      <c r="G988" s="89"/>
      <c r="H988" s="89"/>
      <c r="I988" s="303"/>
    </row>
    <row r="989" spans="1:9" ht="15.6">
      <c r="A989" s="300"/>
      <c r="C989" s="302"/>
      <c r="D989" s="89"/>
      <c r="E989" s="89"/>
      <c r="F989" s="89"/>
      <c r="G989" s="89"/>
      <c r="H989" s="89"/>
      <c r="I989" s="303"/>
    </row>
    <row r="990" spans="1:9" ht="15.6">
      <c r="A990" s="300"/>
      <c r="C990" s="302"/>
      <c r="D990" s="89"/>
      <c r="E990" s="89"/>
      <c r="F990" s="89"/>
      <c r="G990" s="89"/>
      <c r="H990" s="89"/>
      <c r="I990" s="303"/>
    </row>
    <row r="991" spans="1:9" ht="15.6">
      <c r="A991" s="300"/>
      <c r="C991" s="302"/>
      <c r="D991" s="89"/>
      <c r="E991" s="89"/>
      <c r="F991" s="89"/>
      <c r="G991" s="89"/>
      <c r="H991" s="89"/>
      <c r="I991" s="303"/>
    </row>
    <row r="992" spans="1:9" ht="15.6">
      <c r="A992" s="300"/>
      <c r="C992" s="302"/>
      <c r="D992" s="89"/>
      <c r="E992" s="89"/>
      <c r="F992" s="89"/>
      <c r="G992" s="89"/>
      <c r="H992" s="89"/>
      <c r="I992" s="303"/>
    </row>
    <row r="993" spans="1:9" ht="15.6">
      <c r="A993" s="300"/>
      <c r="C993" s="302"/>
      <c r="D993" s="89"/>
      <c r="E993" s="89"/>
      <c r="F993" s="89"/>
      <c r="G993" s="89"/>
      <c r="H993" s="89"/>
      <c r="I993" s="303"/>
    </row>
    <row r="994" spans="1:9" ht="15.6">
      <c r="A994" s="300"/>
      <c r="C994" s="302"/>
      <c r="D994" s="89"/>
      <c r="E994" s="89"/>
      <c r="F994" s="89"/>
      <c r="G994" s="89"/>
      <c r="H994" s="89"/>
      <c r="I994" s="303"/>
    </row>
    <row r="995" spans="1:9" ht="15.6">
      <c r="A995" s="300"/>
      <c r="C995" s="302"/>
      <c r="D995" s="89"/>
      <c r="E995" s="89"/>
      <c r="F995" s="89"/>
      <c r="G995" s="89"/>
      <c r="H995" s="89"/>
      <c r="I995" s="303"/>
    </row>
    <row r="996" spans="1:9" ht="15.6">
      <c r="A996" s="300"/>
      <c r="C996" s="302"/>
      <c r="D996" s="89"/>
      <c r="E996" s="89"/>
      <c r="F996" s="89"/>
      <c r="G996" s="89"/>
      <c r="H996" s="89"/>
      <c r="I996" s="303"/>
    </row>
    <row r="997" spans="1:9" ht="15.6">
      <c r="A997" s="300"/>
      <c r="C997" s="302"/>
      <c r="D997" s="89"/>
      <c r="E997" s="89"/>
      <c r="F997" s="89"/>
      <c r="G997" s="89"/>
      <c r="H997" s="89"/>
      <c r="I997" s="303"/>
    </row>
    <row r="998" spans="1:9" ht="15.6">
      <c r="A998" s="300"/>
      <c r="C998" s="302"/>
      <c r="D998" s="89"/>
      <c r="E998" s="89"/>
      <c r="F998" s="89"/>
      <c r="G998" s="89"/>
      <c r="H998" s="89"/>
      <c r="I998" s="303"/>
    </row>
  </sheetData>
  <autoFilter ref="B10:M67" xr:uid="{00000000-0009-0000-0000-000025000000}">
    <filterColumn colId="5">
      <filters>
        <filter val="COS"/>
      </filters>
    </filterColumn>
  </autoFilter>
  <mergeCells count="3">
    <mergeCell ref="E6:J7"/>
    <mergeCell ref="C9:F9"/>
    <mergeCell ref="I9:M9"/>
  </mergeCells>
  <printOptions horizontalCentered="1"/>
  <pageMargins left="0.7" right="0.7" top="0.75" bottom="0.75" header="0" footer="0"/>
  <pageSetup paperSize="9" pageOrder="overThenDown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D39"/>
  <sheetViews>
    <sheetView workbookViewId="0"/>
  </sheetViews>
  <sheetFormatPr defaultColWidth="14.44140625" defaultRowHeight="15" customHeight="1"/>
  <cols>
    <col min="1" max="1" width="16.109375" customWidth="1"/>
    <col min="2" max="2" width="21" customWidth="1"/>
    <col min="3" max="3" width="15.6640625" customWidth="1"/>
    <col min="4" max="4" width="36.44140625" customWidth="1"/>
  </cols>
  <sheetData>
    <row r="1" spans="1:4" ht="15" customHeight="1">
      <c r="A1" s="27" t="s">
        <v>123</v>
      </c>
      <c r="B1" s="27" t="s">
        <v>122</v>
      </c>
      <c r="C1" s="27" t="s">
        <v>786</v>
      </c>
      <c r="D1" s="33" t="str">
        <f t="shared" ref="D1:D36" si="0">CONCATENATE(A1,","," ",B1,","," ",LEFT(C1,1),".")</f>
        <v>ACERA, LOT-LOT, Z.</v>
      </c>
    </row>
    <row r="2" spans="1:4" ht="15" customHeight="1">
      <c r="A2" s="27" t="s">
        <v>128</v>
      </c>
      <c r="B2" s="27" t="s">
        <v>129</v>
      </c>
      <c r="C2" s="27" t="s">
        <v>130</v>
      </c>
      <c r="D2" s="33" t="str">
        <f t="shared" si="0"/>
        <v>AMMASI, JAYFER, T.</v>
      </c>
    </row>
    <row r="3" spans="1:4" ht="15" customHeight="1">
      <c r="A3" s="27" t="s">
        <v>309</v>
      </c>
      <c r="B3" s="34" t="s">
        <v>310</v>
      </c>
      <c r="C3" s="27" t="s">
        <v>311</v>
      </c>
      <c r="D3" s="33" t="str">
        <f t="shared" si="0"/>
        <v>ANAPI, DEEJAY, G.</v>
      </c>
    </row>
    <row r="4" spans="1:4" ht="15" customHeight="1">
      <c r="A4" s="27" t="s">
        <v>622</v>
      </c>
      <c r="B4" s="34" t="s">
        <v>623</v>
      </c>
      <c r="C4" s="27" t="s">
        <v>624</v>
      </c>
      <c r="D4" s="33" t="str">
        <f t="shared" si="0"/>
        <v>BAGUILAT, EVENCE MICHAEL, C.</v>
      </c>
    </row>
    <row r="5" spans="1:4" ht="18.600000000000001">
      <c r="A5" s="23" t="s">
        <v>184</v>
      </c>
      <c r="B5" s="5" t="s">
        <v>185</v>
      </c>
      <c r="C5" s="23" t="s">
        <v>186</v>
      </c>
      <c r="D5" s="33" t="str">
        <f t="shared" si="0"/>
        <v>BALIGOD, RICHARD, P.</v>
      </c>
    </row>
    <row r="6" spans="1:4" ht="15" customHeight="1">
      <c r="A6" s="319" t="s">
        <v>336</v>
      </c>
      <c r="B6" s="319" t="s">
        <v>381</v>
      </c>
      <c r="C6" s="319" t="s">
        <v>382</v>
      </c>
      <c r="D6" s="33" t="str">
        <f t="shared" si="0"/>
        <v>BAQUIRAN, JULIUS CEZAR, C.</v>
      </c>
    </row>
    <row r="7" spans="1:4" ht="15" customHeight="1">
      <c r="A7" s="27" t="s">
        <v>336</v>
      </c>
      <c r="B7" s="27" t="s">
        <v>337</v>
      </c>
      <c r="C7" s="27" t="s">
        <v>695</v>
      </c>
      <c r="D7" s="33" t="str">
        <f t="shared" si="0"/>
        <v>BAQUIRAN, MAR ELVISON, A.</v>
      </c>
    </row>
    <row r="8" spans="1:4" ht="15" customHeight="1">
      <c r="A8" s="27" t="s">
        <v>82</v>
      </c>
      <c r="B8" s="27" t="s">
        <v>735</v>
      </c>
      <c r="C8" s="27" t="s">
        <v>84</v>
      </c>
      <c r="D8" s="33" t="str">
        <f t="shared" si="0"/>
        <v>BARIUAN, RONALD, S.</v>
      </c>
    </row>
    <row r="9" spans="1:4" ht="15" customHeight="1">
      <c r="A9" s="27" t="s">
        <v>111</v>
      </c>
      <c r="B9" s="27" t="s">
        <v>112</v>
      </c>
      <c r="C9" s="27" t="s">
        <v>101</v>
      </c>
      <c r="D9" s="33" t="str">
        <f t="shared" si="0"/>
        <v>BATANG, JOHNY, C.</v>
      </c>
    </row>
    <row r="10" spans="1:4" ht="18.600000000000001">
      <c r="A10" s="23" t="s">
        <v>237</v>
      </c>
      <c r="B10" s="5" t="s">
        <v>238</v>
      </c>
      <c r="C10" s="23" t="s">
        <v>239</v>
      </c>
      <c r="D10" s="33" t="str">
        <f t="shared" si="0"/>
        <v>BAYLON, JOAQUIN, B.</v>
      </c>
    </row>
    <row r="11" spans="1:4" ht="18.600000000000001">
      <c r="A11" s="23" t="s">
        <v>216</v>
      </c>
      <c r="B11" s="5" t="s">
        <v>217</v>
      </c>
      <c r="C11" s="23" t="s">
        <v>184</v>
      </c>
      <c r="D11" s="33" t="str">
        <f t="shared" si="0"/>
        <v>BERMEJO, ALVIN, B.</v>
      </c>
    </row>
    <row r="12" spans="1:4" ht="15" customHeight="1">
      <c r="A12" s="27" t="s">
        <v>134</v>
      </c>
      <c r="B12" s="34" t="s">
        <v>135</v>
      </c>
      <c r="C12" s="27" t="s">
        <v>136</v>
      </c>
      <c r="D12" s="33" t="str">
        <f t="shared" si="0"/>
        <v>BUENO, CHRISTINE JOYCE, V.</v>
      </c>
    </row>
    <row r="13" spans="1:4" ht="15" customHeight="1">
      <c r="A13" s="27" t="s">
        <v>869</v>
      </c>
      <c r="B13" s="27" t="s">
        <v>607</v>
      </c>
      <c r="C13" s="27" t="s">
        <v>608</v>
      </c>
      <c r="D13" s="33" t="str">
        <f t="shared" si="0"/>
        <v>CALALO , IAN MARCO, C.</v>
      </c>
    </row>
    <row r="14" spans="1:4" ht="15" customHeight="1">
      <c r="A14" s="27" t="s">
        <v>101</v>
      </c>
      <c r="B14" s="27" t="s">
        <v>304</v>
      </c>
      <c r="C14" s="27" t="s">
        <v>305</v>
      </c>
      <c r="D14" s="33" t="str">
        <f t="shared" si="0"/>
        <v>CALAYAN, KIMBERLY ANN, B.</v>
      </c>
    </row>
    <row r="15" spans="1:4" ht="15" customHeight="1">
      <c r="A15" s="27" t="s">
        <v>296</v>
      </c>
      <c r="B15" s="27" t="s">
        <v>297</v>
      </c>
      <c r="C15" s="27" t="s">
        <v>298</v>
      </c>
      <c r="D15" s="33" t="str">
        <f t="shared" si="0"/>
        <v>CASUGA, RICA, V.</v>
      </c>
    </row>
    <row r="16" spans="1:4" ht="15" customHeight="1">
      <c r="A16" s="27" t="s">
        <v>322</v>
      </c>
      <c r="B16" s="27" t="s">
        <v>323</v>
      </c>
      <c r="C16" s="27" t="s">
        <v>717</v>
      </c>
      <c r="D16" s="33" t="str">
        <f t="shared" si="0"/>
        <v>CATINOY, JANET, T.</v>
      </c>
    </row>
    <row r="17" spans="1:4" ht="15" customHeight="1">
      <c r="A17" s="27" t="s">
        <v>276</v>
      </c>
      <c r="B17" s="27" t="s">
        <v>277</v>
      </c>
      <c r="C17" s="27" t="s">
        <v>278</v>
      </c>
      <c r="D17" s="33" t="str">
        <f t="shared" si="0"/>
        <v>CEPEDA, CYRILL SHANE, T.</v>
      </c>
    </row>
    <row r="18" spans="1:4" ht="15" customHeight="1">
      <c r="A18" s="27" t="s">
        <v>99</v>
      </c>
      <c r="B18" s="27" t="s">
        <v>100</v>
      </c>
      <c r="C18" s="27" t="s">
        <v>101</v>
      </c>
      <c r="D18" s="33" t="str">
        <f t="shared" si="0"/>
        <v>DEL ROSARIO, JEMAR JAY, C.</v>
      </c>
    </row>
    <row r="19" spans="1:4" ht="18.600000000000001">
      <c r="A19" s="23" t="s">
        <v>195</v>
      </c>
      <c r="B19" s="5" t="s">
        <v>196</v>
      </c>
      <c r="C19" s="23" t="s">
        <v>197</v>
      </c>
      <c r="D19" s="33" t="str">
        <f t="shared" si="0"/>
        <v>DOMINGO, ELON, F.</v>
      </c>
    </row>
    <row r="20" spans="1:4" ht="15" customHeight="1">
      <c r="A20" s="27" t="s">
        <v>114</v>
      </c>
      <c r="B20" s="27" t="s">
        <v>115</v>
      </c>
      <c r="C20" s="27" t="s">
        <v>116</v>
      </c>
      <c r="D20" s="33" t="str">
        <f t="shared" si="0"/>
        <v>ELCHICO, JOEY MARK, D.</v>
      </c>
    </row>
    <row r="21" spans="1:4" ht="15" customHeight="1">
      <c r="A21" s="319" t="s">
        <v>849</v>
      </c>
      <c r="B21" s="319" t="s">
        <v>850</v>
      </c>
      <c r="C21" s="319"/>
      <c r="D21" s="33" t="str">
        <f t="shared" si="0"/>
        <v>FIDEL, DONNA ANDREA, .</v>
      </c>
    </row>
    <row r="22" spans="1:4" ht="18.600000000000001">
      <c r="A22" s="46" t="s">
        <v>225</v>
      </c>
      <c r="B22" s="333" t="s">
        <v>226</v>
      </c>
      <c r="C22" s="46" t="s">
        <v>227</v>
      </c>
      <c r="D22" s="33" t="str">
        <f t="shared" si="0"/>
        <v>FUGABAN, PABLO, G.</v>
      </c>
    </row>
    <row r="23" spans="1:4" ht="15" customHeight="1">
      <c r="A23" s="27" t="s">
        <v>70</v>
      </c>
      <c r="B23" s="34" t="s">
        <v>71</v>
      </c>
      <c r="C23" s="27" t="s">
        <v>72</v>
      </c>
      <c r="D23" s="33" t="str">
        <f t="shared" si="0"/>
        <v>GOMEZ, MAGDALENA, D.</v>
      </c>
    </row>
    <row r="24" spans="1:4" ht="15" customHeight="1">
      <c r="A24" s="27" t="s">
        <v>300</v>
      </c>
      <c r="B24" s="34" t="s">
        <v>301</v>
      </c>
      <c r="C24" s="27" t="s">
        <v>302</v>
      </c>
      <c r="D24" s="33" t="str">
        <f t="shared" si="0"/>
        <v>GUIMMAYEN, NEIL KRISTOPHER, C.</v>
      </c>
    </row>
    <row r="25" spans="1:4" ht="15" customHeight="1">
      <c r="A25" s="319" t="s">
        <v>61</v>
      </c>
      <c r="B25" s="319" t="s">
        <v>269</v>
      </c>
      <c r="C25" s="319" t="s">
        <v>888</v>
      </c>
      <c r="D25" s="33" t="str">
        <f t="shared" si="0"/>
        <v>JIMENEZ, JEI ARISTON, C.</v>
      </c>
    </row>
    <row r="26" spans="1:4" ht="15" customHeight="1">
      <c r="A26" s="27" t="s">
        <v>341</v>
      </c>
      <c r="B26" s="27" t="s">
        <v>342</v>
      </c>
      <c r="C26" s="27" t="s">
        <v>645</v>
      </c>
      <c r="D26" s="33" t="str">
        <f t="shared" si="0"/>
        <v>JOSE, DAN MARK, R.</v>
      </c>
    </row>
    <row r="27" spans="1:4" ht="15" customHeight="1">
      <c r="A27" s="27" t="s">
        <v>282</v>
      </c>
      <c r="B27" s="27" t="s">
        <v>283</v>
      </c>
      <c r="C27" s="27" t="s">
        <v>199</v>
      </c>
      <c r="D27" s="33" t="str">
        <f t="shared" si="0"/>
        <v>LANGCAY, MICHAEL ANGELO, R.</v>
      </c>
    </row>
    <row r="28" spans="1:4" ht="18.600000000000001">
      <c r="A28" s="27" t="s">
        <v>92</v>
      </c>
      <c r="B28" s="27" t="s">
        <v>745</v>
      </c>
      <c r="C28" s="27" t="s">
        <v>957</v>
      </c>
      <c r="D28" s="33" t="str">
        <f t="shared" si="0"/>
        <v>LAYUGAN, ROGELIO, T.</v>
      </c>
    </row>
    <row r="29" spans="1:4" ht="18.600000000000001">
      <c r="A29" s="23" t="s">
        <v>203</v>
      </c>
      <c r="B29" s="5" t="s">
        <v>204</v>
      </c>
      <c r="C29" s="23" t="s">
        <v>205</v>
      </c>
      <c r="D29" s="33" t="str">
        <f t="shared" si="0"/>
        <v>MAGGAY, CLARO, M.</v>
      </c>
    </row>
    <row r="30" spans="1:4" ht="18.600000000000001">
      <c r="A30" s="27" t="s">
        <v>560</v>
      </c>
      <c r="B30" s="27" t="s">
        <v>561</v>
      </c>
      <c r="C30" s="27" t="s">
        <v>562</v>
      </c>
      <c r="D30" s="33" t="str">
        <f t="shared" si="0"/>
        <v>MALVAS, RITZ ANDREI, I.</v>
      </c>
    </row>
    <row r="31" spans="1:4" ht="18.600000000000001">
      <c r="A31" s="23" t="s">
        <v>153</v>
      </c>
      <c r="B31" s="5" t="s">
        <v>154</v>
      </c>
      <c r="C31" s="23" t="s">
        <v>155</v>
      </c>
      <c r="D31" s="33" t="str">
        <f t="shared" si="0"/>
        <v>MANUEL, EDWARD, C.</v>
      </c>
    </row>
    <row r="32" spans="1:4" ht="18.600000000000001">
      <c r="A32" s="23" t="s">
        <v>153</v>
      </c>
      <c r="B32" s="5" t="s">
        <v>167</v>
      </c>
      <c r="C32" s="23" t="s">
        <v>155</v>
      </c>
      <c r="D32" s="33" t="str">
        <f t="shared" si="0"/>
        <v>MANUEL, EDMUND, C.</v>
      </c>
    </row>
    <row r="33" spans="1:4" ht="18.600000000000001">
      <c r="A33" s="27" t="s">
        <v>260</v>
      </c>
      <c r="B33" s="34" t="s">
        <v>261</v>
      </c>
      <c r="C33" s="27" t="s">
        <v>244</v>
      </c>
      <c r="D33" s="33" t="str">
        <f t="shared" si="0"/>
        <v>RECOLIZADO, JAYMAR, C.</v>
      </c>
    </row>
    <row r="34" spans="1:4" ht="18.600000000000001">
      <c r="A34" s="23" t="s">
        <v>63</v>
      </c>
      <c r="B34" s="5" t="s">
        <v>222</v>
      </c>
      <c r="C34" s="23" t="s">
        <v>223</v>
      </c>
      <c r="D34" s="33" t="str">
        <f t="shared" si="0"/>
        <v>TUMALIUAN, NODEL, M.</v>
      </c>
    </row>
    <row r="35" spans="1:4" ht="18.600000000000001">
      <c r="A35" s="319" t="s">
        <v>63</v>
      </c>
      <c r="B35" s="319" t="s">
        <v>230</v>
      </c>
      <c r="C35" s="319" t="s">
        <v>517</v>
      </c>
      <c r="D35" s="33" t="str">
        <f t="shared" si="0"/>
        <v>TUMALIUAN, MARK JOHN, C.</v>
      </c>
    </row>
    <row r="36" spans="1:4" ht="18.600000000000001">
      <c r="A36" s="27" t="s">
        <v>75</v>
      </c>
      <c r="B36" s="27" t="s">
        <v>76</v>
      </c>
      <c r="C36" s="27" t="s">
        <v>77</v>
      </c>
      <c r="D36" s="33" t="str">
        <f t="shared" si="0"/>
        <v>VILLAFUERTE, MINA FLOR, T.</v>
      </c>
    </row>
    <row r="38" spans="1:4" ht="14.4">
      <c r="A38" s="33" t="s">
        <v>958</v>
      </c>
      <c r="B38" s="33" t="s">
        <v>959</v>
      </c>
    </row>
    <row r="39" spans="1:4" ht="14.4">
      <c r="A39" s="33" t="s">
        <v>960</v>
      </c>
      <c r="B39" s="33" t="s">
        <v>961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P55"/>
  <sheetViews>
    <sheetView workbookViewId="0"/>
  </sheetViews>
  <sheetFormatPr defaultColWidth="14.44140625" defaultRowHeight="15" customHeight="1"/>
  <cols>
    <col min="1" max="1" width="4.6640625" customWidth="1"/>
    <col min="2" max="2" width="25" customWidth="1"/>
    <col min="3" max="3" width="39.6640625" hidden="1" customWidth="1"/>
    <col min="4" max="4" width="17.88671875" customWidth="1"/>
    <col min="5" max="5" width="51.44140625" customWidth="1"/>
    <col min="6" max="6" width="17.44140625" customWidth="1"/>
    <col min="7" max="7" width="21.88671875" customWidth="1"/>
    <col min="8" max="8" width="15.44140625" customWidth="1"/>
    <col min="9" max="9" width="51.88671875" customWidth="1"/>
    <col min="10" max="10" width="13.5546875" hidden="1" customWidth="1"/>
    <col min="11" max="11" width="20.33203125" hidden="1" customWidth="1"/>
    <col min="12" max="12" width="13.6640625" hidden="1" customWidth="1"/>
    <col min="13" max="13" width="17" hidden="1" customWidth="1"/>
    <col min="14" max="14" width="20.88671875" hidden="1" customWidth="1"/>
    <col min="15" max="15" width="36.5546875" hidden="1" customWidth="1"/>
    <col min="16" max="16" width="35.6640625" hidden="1" customWidth="1"/>
  </cols>
  <sheetData>
    <row r="1" spans="1:16" ht="14.4">
      <c r="A1" s="670"/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2"/>
    </row>
    <row r="2" spans="1:16" ht="14.4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7"/>
    </row>
    <row r="3" spans="1:16" ht="23.4">
      <c r="A3" s="678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</row>
    <row r="4" spans="1:16" ht="23.4">
      <c r="A4" s="678"/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</row>
    <row r="5" spans="1:16" ht="23.4">
      <c r="A5" s="678"/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</row>
    <row r="6" spans="1:16" ht="33">
      <c r="A6" s="203"/>
      <c r="B6" s="710" t="s">
        <v>539</v>
      </c>
      <c r="C6" s="649"/>
      <c r="D6" s="649"/>
      <c r="E6" s="649"/>
      <c r="F6" s="649"/>
      <c r="G6" s="649"/>
      <c r="H6" s="649"/>
      <c r="I6" s="649"/>
      <c r="J6" s="649"/>
      <c r="K6" s="649"/>
      <c r="L6" s="649"/>
      <c r="M6" s="649"/>
      <c r="N6" s="649"/>
      <c r="O6" s="649"/>
      <c r="P6" s="649"/>
    </row>
    <row r="7" spans="1:16" ht="14.4">
      <c r="A7" s="680"/>
      <c r="B7" s="649"/>
      <c r="C7" s="649"/>
      <c r="D7" s="649"/>
      <c r="E7" s="649"/>
      <c r="F7" s="649"/>
      <c r="G7" s="649"/>
      <c r="H7" s="649"/>
      <c r="I7" s="649"/>
      <c r="J7" s="649"/>
      <c r="K7" s="649"/>
      <c r="L7" s="649"/>
      <c r="M7" s="649"/>
      <c r="N7" s="649"/>
      <c r="O7" s="649"/>
      <c r="P7" s="649"/>
    </row>
    <row r="8" spans="1:16" ht="18.600000000000001">
      <c r="A8" s="666"/>
      <c r="B8" s="666" t="s">
        <v>41</v>
      </c>
      <c r="C8" s="666" t="s">
        <v>648</v>
      </c>
      <c r="D8" s="205"/>
      <c r="E8" s="665" t="s">
        <v>650</v>
      </c>
      <c r="F8" s="667" t="s">
        <v>44</v>
      </c>
      <c r="G8" s="656"/>
      <c r="H8" s="657"/>
      <c r="I8" s="205"/>
      <c r="J8" s="665" t="s">
        <v>45</v>
      </c>
      <c r="K8" s="668" t="s">
        <v>46</v>
      </c>
      <c r="L8" s="665" t="s">
        <v>540</v>
      </c>
      <c r="M8" s="645" t="s">
        <v>42</v>
      </c>
      <c r="N8" s="654" t="s">
        <v>651</v>
      </c>
      <c r="O8" s="664" t="s">
        <v>652</v>
      </c>
      <c r="P8" s="665" t="s">
        <v>653</v>
      </c>
    </row>
    <row r="9" spans="1:16" ht="18.600000000000001">
      <c r="A9" s="646"/>
      <c r="B9" s="646"/>
      <c r="C9" s="646"/>
      <c r="D9" s="206"/>
      <c r="E9" s="646"/>
      <c r="F9" s="206" t="s">
        <v>654</v>
      </c>
      <c r="G9" s="330" t="s">
        <v>655</v>
      </c>
      <c r="H9" s="206" t="s">
        <v>656</v>
      </c>
      <c r="I9" s="206"/>
      <c r="J9" s="646"/>
      <c r="K9" s="646"/>
      <c r="L9" s="646"/>
      <c r="M9" s="646"/>
      <c r="N9" s="646"/>
      <c r="O9" s="646"/>
      <c r="P9" s="646"/>
    </row>
    <row r="10" spans="1:16" ht="18.600000000000001">
      <c r="A10" s="709" t="s">
        <v>657</v>
      </c>
      <c r="B10" s="656"/>
      <c r="C10" s="656"/>
      <c r="D10" s="656"/>
      <c r="E10" s="656"/>
      <c r="F10" s="656"/>
      <c r="G10" s="656"/>
      <c r="H10" s="656"/>
      <c r="I10" s="656"/>
      <c r="J10" s="656"/>
      <c r="K10" s="656"/>
      <c r="L10" s="656"/>
      <c r="M10" s="656"/>
      <c r="N10" s="656"/>
      <c r="O10" s="656"/>
      <c r="P10" s="657"/>
    </row>
    <row r="11" spans="1:16" ht="18.600000000000001">
      <c r="A11" s="709" t="s">
        <v>658</v>
      </c>
      <c r="B11" s="656"/>
      <c r="C11" s="656"/>
      <c r="D11" s="656"/>
      <c r="E11" s="656"/>
      <c r="F11" s="656"/>
      <c r="G11" s="656"/>
      <c r="H11" s="656"/>
      <c r="I11" s="656"/>
      <c r="J11" s="656"/>
      <c r="K11" s="656"/>
      <c r="L11" s="656"/>
      <c r="M11" s="656"/>
      <c r="N11" s="656"/>
      <c r="O11" s="656"/>
      <c r="P11" s="657"/>
    </row>
    <row r="12" spans="1:16" ht="15.75" customHeight="1">
      <c r="A12" s="230">
        <v>1</v>
      </c>
      <c r="B12" s="27" t="s">
        <v>724</v>
      </c>
      <c r="C12" s="618"/>
      <c r="D12" s="27" t="s">
        <v>299</v>
      </c>
      <c r="E12" s="27" t="s">
        <v>890</v>
      </c>
      <c r="F12" s="27" t="s">
        <v>128</v>
      </c>
      <c r="G12" s="27" t="s">
        <v>129</v>
      </c>
      <c r="H12" s="27" t="s">
        <v>130</v>
      </c>
      <c r="I12" s="23" t="str">
        <f t="shared" ref="I12:I30" si="0">CONCATENATE(F12,", ",G12, " ", LEFT(H12,1), ".")</f>
        <v>AMMASI, JAYFER T.</v>
      </c>
      <c r="J12" s="28" t="s">
        <v>85</v>
      </c>
      <c r="K12" s="207">
        <v>26146</v>
      </c>
      <c r="L12" s="28" t="s">
        <v>58</v>
      </c>
      <c r="M12" s="35" t="s">
        <v>152</v>
      </c>
      <c r="N12" s="35" t="s">
        <v>673</v>
      </c>
      <c r="O12" s="60" t="s">
        <v>674</v>
      </c>
      <c r="P12" s="27" t="s">
        <v>8</v>
      </c>
    </row>
    <row r="13" spans="1:16" ht="15.75" customHeight="1">
      <c r="A13" s="230">
        <v>2</v>
      </c>
      <c r="B13" s="321" t="s">
        <v>730</v>
      </c>
      <c r="C13" s="618"/>
      <c r="D13" s="319" t="s">
        <v>272</v>
      </c>
      <c r="E13" s="27" t="s">
        <v>690</v>
      </c>
      <c r="F13" s="319" t="s">
        <v>336</v>
      </c>
      <c r="G13" s="319" t="s">
        <v>381</v>
      </c>
      <c r="H13" s="319" t="s">
        <v>382</v>
      </c>
      <c r="I13" s="23" t="str">
        <f t="shared" si="0"/>
        <v>BAQUIRAN, JULIUS CEZAR C.</v>
      </c>
      <c r="J13" s="28" t="s">
        <v>85</v>
      </c>
      <c r="K13" s="207">
        <v>23689</v>
      </c>
      <c r="L13" s="28" t="s">
        <v>58</v>
      </c>
      <c r="M13" s="35" t="s">
        <v>162</v>
      </c>
      <c r="N13" s="35" t="s">
        <v>677</v>
      </c>
      <c r="O13" s="60" t="s">
        <v>678</v>
      </c>
      <c r="P13" s="27" t="s">
        <v>9</v>
      </c>
    </row>
    <row r="14" spans="1:16" ht="15.75" customHeight="1">
      <c r="A14" s="230">
        <v>3</v>
      </c>
      <c r="B14" s="27" t="s">
        <v>754</v>
      </c>
      <c r="C14" s="618"/>
      <c r="D14" s="27" t="s">
        <v>379</v>
      </c>
      <c r="E14" s="27" t="s">
        <v>690</v>
      </c>
      <c r="F14" s="27" t="s">
        <v>101</v>
      </c>
      <c r="G14" s="27" t="s">
        <v>304</v>
      </c>
      <c r="H14" s="27" t="s">
        <v>305</v>
      </c>
      <c r="I14" s="23" t="str">
        <f t="shared" si="0"/>
        <v>CALAYAN, KIMBERLY ANN B.</v>
      </c>
      <c r="J14" s="28" t="s">
        <v>85</v>
      </c>
      <c r="K14" s="207">
        <v>26844</v>
      </c>
      <c r="L14" s="28" t="s">
        <v>58</v>
      </c>
      <c r="M14" s="35" t="s">
        <v>190</v>
      </c>
      <c r="N14" s="35" t="s">
        <v>665</v>
      </c>
      <c r="O14" s="60" t="s">
        <v>681</v>
      </c>
      <c r="P14" s="27" t="s">
        <v>12</v>
      </c>
    </row>
    <row r="15" spans="1:16" ht="15.75" customHeight="1">
      <c r="A15" s="230">
        <v>4</v>
      </c>
      <c r="B15" s="20" t="s">
        <v>189</v>
      </c>
      <c r="C15" s="20" t="s">
        <v>814</v>
      </c>
      <c r="D15" s="23" t="s">
        <v>675</v>
      </c>
      <c r="E15" s="237" t="s">
        <v>676</v>
      </c>
      <c r="F15" s="23" t="s">
        <v>195</v>
      </c>
      <c r="G15" s="5" t="s">
        <v>196</v>
      </c>
      <c r="H15" s="23" t="s">
        <v>197</v>
      </c>
      <c r="I15" s="23" t="str">
        <f t="shared" si="0"/>
        <v>DOMINGO, ELON F.</v>
      </c>
      <c r="J15" s="28" t="s">
        <v>85</v>
      </c>
      <c r="K15" s="216">
        <v>25047</v>
      </c>
      <c r="L15" s="28" t="s">
        <v>58</v>
      </c>
      <c r="M15" s="35" t="s">
        <v>221</v>
      </c>
      <c r="N15" s="35" t="s">
        <v>669</v>
      </c>
      <c r="O15" s="26" t="s">
        <v>685</v>
      </c>
      <c r="P15" s="27" t="s">
        <v>1</v>
      </c>
    </row>
    <row r="16" spans="1:16" ht="15.75" customHeight="1">
      <c r="A16" s="230">
        <v>5</v>
      </c>
      <c r="B16" s="238" t="s">
        <v>682</v>
      </c>
      <c r="C16" s="238" t="s">
        <v>229</v>
      </c>
      <c r="D16" s="46" t="s">
        <v>683</v>
      </c>
      <c r="E16" s="237" t="s">
        <v>684</v>
      </c>
      <c r="F16" s="46" t="s">
        <v>225</v>
      </c>
      <c r="G16" s="333" t="s">
        <v>226</v>
      </c>
      <c r="H16" s="46" t="s">
        <v>227</v>
      </c>
      <c r="I16" s="23" t="str">
        <f t="shared" si="0"/>
        <v>FUGABAN, PABLO G.</v>
      </c>
      <c r="J16" s="28" t="s">
        <v>85</v>
      </c>
      <c r="K16" s="207">
        <v>27966</v>
      </c>
      <c r="L16" s="28" t="s">
        <v>58</v>
      </c>
      <c r="M16" s="35" t="s">
        <v>190</v>
      </c>
      <c r="N16" s="35" t="s">
        <v>665</v>
      </c>
      <c r="O16" s="60" t="s">
        <v>666</v>
      </c>
      <c r="P16" s="27" t="s">
        <v>5</v>
      </c>
    </row>
    <row r="17" spans="1:16" ht="15.75" customHeight="1">
      <c r="A17" s="230">
        <v>6</v>
      </c>
      <c r="B17" s="20" t="s">
        <v>178</v>
      </c>
      <c r="C17" s="20" t="s">
        <v>206</v>
      </c>
      <c r="D17" s="23" t="s">
        <v>679</v>
      </c>
      <c r="E17" s="237" t="s">
        <v>680</v>
      </c>
      <c r="F17" s="23" t="s">
        <v>203</v>
      </c>
      <c r="G17" s="5" t="s">
        <v>204</v>
      </c>
      <c r="H17" s="23" t="s">
        <v>205</v>
      </c>
      <c r="I17" s="23" t="str">
        <f t="shared" si="0"/>
        <v>MAGGAY, CLARO M.</v>
      </c>
      <c r="J17" s="24" t="s">
        <v>85</v>
      </c>
      <c r="K17" s="207">
        <v>25882</v>
      </c>
      <c r="L17" s="215" t="s">
        <v>58</v>
      </c>
      <c r="M17" s="35" t="s">
        <v>221</v>
      </c>
      <c r="N17" s="35" t="s">
        <v>669</v>
      </c>
      <c r="O17" s="26" t="s">
        <v>670</v>
      </c>
      <c r="P17" s="27" t="s">
        <v>2</v>
      </c>
    </row>
    <row r="18" spans="1:16" ht="18.600000000000001">
      <c r="A18" s="230">
        <v>7</v>
      </c>
      <c r="B18" s="619" t="s">
        <v>151</v>
      </c>
      <c r="C18" s="619" t="s">
        <v>166</v>
      </c>
      <c r="D18" s="620" t="s">
        <v>671</v>
      </c>
      <c r="E18" s="621" t="s">
        <v>672</v>
      </c>
      <c r="F18" s="621" t="s">
        <v>153</v>
      </c>
      <c r="G18" s="622" t="s">
        <v>167</v>
      </c>
      <c r="H18" s="621" t="s">
        <v>155</v>
      </c>
      <c r="I18" s="23" t="str">
        <f t="shared" si="0"/>
        <v>MANUEL, EDMUND C.</v>
      </c>
      <c r="J18" s="334"/>
      <c r="K18" s="335"/>
      <c r="L18" s="249" t="s">
        <v>691</v>
      </c>
      <c r="M18" s="249" t="s">
        <v>718</v>
      </c>
      <c r="N18" s="336">
        <v>42116.4</v>
      </c>
      <c r="O18" s="337"/>
      <c r="P18" s="334"/>
    </row>
    <row r="19" spans="1:16" ht="18.600000000000001">
      <c r="A19" s="230">
        <v>8</v>
      </c>
      <c r="B19" s="623" t="s">
        <v>151</v>
      </c>
      <c r="C19" s="623" t="s">
        <v>156</v>
      </c>
      <c r="D19" s="624" t="s">
        <v>667</v>
      </c>
      <c r="E19" s="625" t="s">
        <v>668</v>
      </c>
      <c r="F19" s="626" t="s">
        <v>153</v>
      </c>
      <c r="G19" s="627" t="s">
        <v>154</v>
      </c>
      <c r="H19" s="626" t="s">
        <v>155</v>
      </c>
      <c r="I19" s="23" t="str">
        <f t="shared" si="0"/>
        <v>MANUEL, EDWARD C.</v>
      </c>
      <c r="J19" s="339"/>
      <c r="K19" s="342"/>
      <c r="L19" s="343" t="s">
        <v>691</v>
      </c>
      <c r="M19" s="344">
        <v>11</v>
      </c>
      <c r="N19" s="345" t="s">
        <v>692</v>
      </c>
      <c r="O19" s="346"/>
      <c r="P19" s="339"/>
    </row>
    <row r="20" spans="1:16" ht="18.600000000000001">
      <c r="A20" s="230">
        <v>9</v>
      </c>
      <c r="B20" s="628" t="s">
        <v>686</v>
      </c>
      <c r="C20" s="623" t="s">
        <v>224</v>
      </c>
      <c r="D20" s="626" t="s">
        <v>683</v>
      </c>
      <c r="E20" s="629" t="s">
        <v>687</v>
      </c>
      <c r="F20" s="626" t="s">
        <v>63</v>
      </c>
      <c r="G20" s="627" t="s">
        <v>222</v>
      </c>
      <c r="H20" s="626" t="s">
        <v>223</v>
      </c>
      <c r="I20" s="23" t="str">
        <f t="shared" si="0"/>
        <v>TUMALIUAN, NODEL M.</v>
      </c>
      <c r="J20" s="343" t="s">
        <v>700</v>
      </c>
      <c r="K20" s="339"/>
      <c r="L20" s="343" t="s">
        <v>691</v>
      </c>
      <c r="M20" s="348" t="s">
        <v>701</v>
      </c>
      <c r="N20" s="349">
        <v>30526.799999999999</v>
      </c>
      <c r="O20" s="346"/>
      <c r="P20" s="339"/>
    </row>
    <row r="21" spans="1:16" ht="15.75" customHeight="1">
      <c r="A21" s="230">
        <v>10</v>
      </c>
      <c r="B21" s="20" t="s">
        <v>105</v>
      </c>
      <c r="C21" s="20" t="s">
        <v>118</v>
      </c>
      <c r="D21" s="23" t="s">
        <v>658</v>
      </c>
      <c r="E21" s="23" t="s">
        <v>660</v>
      </c>
      <c r="F21" s="23" t="s">
        <v>75</v>
      </c>
      <c r="G21" s="5" t="s">
        <v>76</v>
      </c>
      <c r="H21" s="23" t="s">
        <v>77</v>
      </c>
      <c r="I21" s="23" t="str">
        <f t="shared" si="0"/>
        <v>VILLAFUERTE, MINA FLOR T.</v>
      </c>
      <c r="J21" s="28" t="s">
        <v>64</v>
      </c>
      <c r="K21" s="37">
        <v>23662</v>
      </c>
      <c r="L21" s="28" t="s">
        <v>58</v>
      </c>
      <c r="M21" s="35" t="s">
        <v>98</v>
      </c>
      <c r="N21" s="35" t="s">
        <v>830</v>
      </c>
      <c r="O21" s="26" t="s">
        <v>78</v>
      </c>
      <c r="P21" s="27" t="s">
        <v>15</v>
      </c>
    </row>
    <row r="22" spans="1:16" ht="18.600000000000001">
      <c r="A22" s="81">
        <f t="shared" ref="A22:A24" si="1">A21+1</f>
        <v>11</v>
      </c>
      <c r="B22" s="81" t="s">
        <v>729</v>
      </c>
      <c r="C22" s="81"/>
      <c r="D22" s="81" t="s">
        <v>658</v>
      </c>
      <c r="E22" s="81"/>
      <c r="F22" s="81" t="s">
        <v>396</v>
      </c>
      <c r="G22" s="81" t="s">
        <v>397</v>
      </c>
      <c r="H22" s="81" t="s">
        <v>398</v>
      </c>
      <c r="I22" s="23" t="str">
        <f t="shared" si="0"/>
        <v>PRUDENCIADO, JENNY S.</v>
      </c>
      <c r="J22" s="370"/>
      <c r="K22" s="370"/>
      <c r="L22" s="370"/>
      <c r="M22" s="370"/>
      <c r="N22" s="370"/>
      <c r="O22" s="370"/>
      <c r="P22" s="371"/>
    </row>
    <row r="23" spans="1:16" ht="18.600000000000001">
      <c r="A23" s="81">
        <f t="shared" si="1"/>
        <v>12</v>
      </c>
      <c r="B23" s="81" t="s">
        <v>962</v>
      </c>
      <c r="C23" s="81"/>
      <c r="D23" s="81" t="s">
        <v>658</v>
      </c>
      <c r="E23" s="81"/>
      <c r="F23" s="81" t="s">
        <v>420</v>
      </c>
      <c r="G23" s="81" t="s">
        <v>421</v>
      </c>
      <c r="H23" s="81" t="s">
        <v>422</v>
      </c>
      <c r="I23" s="23" t="str">
        <f t="shared" si="0"/>
        <v>TABUG, SHEREEN J.</v>
      </c>
      <c r="J23" s="370"/>
      <c r="K23" s="370"/>
      <c r="L23" s="370"/>
      <c r="M23" s="370"/>
      <c r="N23" s="370"/>
      <c r="O23" s="370"/>
      <c r="P23" s="371"/>
    </row>
    <row r="24" spans="1:16" ht="18.600000000000001">
      <c r="A24" s="81">
        <f t="shared" si="1"/>
        <v>13</v>
      </c>
      <c r="B24" s="81" t="s">
        <v>962</v>
      </c>
      <c r="C24" s="81"/>
      <c r="D24" s="81" t="s">
        <v>658</v>
      </c>
      <c r="E24" s="81"/>
      <c r="F24" s="81" t="s">
        <v>415</v>
      </c>
      <c r="G24" s="81" t="s">
        <v>416</v>
      </c>
      <c r="H24" s="81" t="s">
        <v>417</v>
      </c>
      <c r="I24" s="23" t="str">
        <f t="shared" si="0"/>
        <v>MONTES, MARIZA NOVA M.</v>
      </c>
      <c r="J24" s="370"/>
      <c r="K24" s="370"/>
      <c r="L24" s="370"/>
      <c r="M24" s="370"/>
      <c r="N24" s="370"/>
      <c r="O24" s="370"/>
      <c r="P24" s="371"/>
    </row>
    <row r="25" spans="1:16" ht="18.600000000000001">
      <c r="A25" s="630"/>
      <c r="B25" s="81"/>
      <c r="C25" s="81"/>
      <c r="D25" s="81"/>
      <c r="E25" s="81"/>
      <c r="F25" s="81"/>
      <c r="G25" s="81"/>
      <c r="H25" s="81"/>
      <c r="I25" s="23" t="str">
        <f t="shared" si="0"/>
        <v>,  .</v>
      </c>
      <c r="J25" s="370"/>
      <c r="K25" s="370"/>
      <c r="L25" s="370"/>
      <c r="M25" s="370"/>
      <c r="N25" s="370"/>
      <c r="O25" s="370"/>
      <c r="P25" s="371"/>
    </row>
    <row r="26" spans="1:16" ht="18.600000000000001">
      <c r="A26" s="331" t="s">
        <v>708</v>
      </c>
      <c r="B26" s="370"/>
      <c r="C26" s="370"/>
      <c r="D26" s="370"/>
      <c r="E26" s="370"/>
      <c r="F26" s="370"/>
      <c r="G26" s="370"/>
      <c r="H26" s="370"/>
      <c r="I26" s="23" t="str">
        <f t="shared" si="0"/>
        <v>,  .</v>
      </c>
      <c r="J26" s="370"/>
      <c r="K26" s="370"/>
      <c r="L26" s="370"/>
      <c r="M26" s="370"/>
      <c r="N26" s="370"/>
      <c r="O26" s="370"/>
      <c r="P26" s="371"/>
    </row>
    <row r="27" spans="1:16" ht="17.25" customHeight="1">
      <c r="A27" s="81">
        <f>A24+1</f>
        <v>14</v>
      </c>
      <c r="B27" s="6" t="s">
        <v>870</v>
      </c>
      <c r="C27" s="20"/>
      <c r="D27" s="27" t="s">
        <v>715</v>
      </c>
      <c r="E27" s="27" t="s">
        <v>694</v>
      </c>
      <c r="F27" s="27" t="s">
        <v>336</v>
      </c>
      <c r="G27" s="27" t="s">
        <v>337</v>
      </c>
      <c r="H27" s="27" t="s">
        <v>695</v>
      </c>
      <c r="I27" s="23" t="str">
        <f t="shared" si="0"/>
        <v>BAQUIRAN, MAR ELVISON A.</v>
      </c>
      <c r="J27" s="28" t="s">
        <v>64</v>
      </c>
      <c r="K27" s="37">
        <v>23575</v>
      </c>
      <c r="L27" s="28" t="s">
        <v>58</v>
      </c>
      <c r="M27" s="35" t="s">
        <v>81</v>
      </c>
      <c r="N27" s="35" t="s">
        <v>709</v>
      </c>
      <c r="O27" s="26" t="s">
        <v>710</v>
      </c>
      <c r="P27" s="27" t="s">
        <v>18</v>
      </c>
    </row>
    <row r="28" spans="1:16" ht="15.75" customHeight="1">
      <c r="A28" s="81">
        <v>15</v>
      </c>
      <c r="B28" s="27" t="s">
        <v>274</v>
      </c>
      <c r="C28" s="20"/>
      <c r="D28" s="27" t="s">
        <v>882</v>
      </c>
      <c r="E28" s="27" t="s">
        <v>894</v>
      </c>
      <c r="F28" s="27" t="s">
        <v>111</v>
      </c>
      <c r="G28" s="27" t="s">
        <v>112</v>
      </c>
      <c r="H28" s="27" t="s">
        <v>101</v>
      </c>
      <c r="I28" s="23" t="str">
        <f t="shared" si="0"/>
        <v>BATANG, JOHNY C.</v>
      </c>
      <c r="J28" s="28" t="s">
        <v>85</v>
      </c>
      <c r="K28" s="207">
        <v>26101</v>
      </c>
      <c r="L28" s="28" t="s">
        <v>58</v>
      </c>
      <c r="M28" s="35" t="s">
        <v>98</v>
      </c>
      <c r="N28" s="36">
        <v>49835</v>
      </c>
      <c r="O28" s="26" t="s">
        <v>95</v>
      </c>
      <c r="P28" s="27" t="s">
        <v>13</v>
      </c>
    </row>
    <row r="29" spans="1:16" ht="18.600000000000001" hidden="1">
      <c r="A29" s="81" t="e">
        <f>A26+1</f>
        <v>#VALUE!</v>
      </c>
      <c r="B29" s="27" t="s">
        <v>605</v>
      </c>
      <c r="C29" s="20"/>
      <c r="D29" s="27" t="s">
        <v>715</v>
      </c>
      <c r="E29" s="365" t="s">
        <v>895</v>
      </c>
      <c r="F29" s="27" t="s">
        <v>869</v>
      </c>
      <c r="G29" s="27" t="s">
        <v>607</v>
      </c>
      <c r="H29" s="27" t="s">
        <v>608</v>
      </c>
      <c r="I29" s="23" t="str">
        <f t="shared" si="0"/>
        <v>CALALO , IAN MARCO C.</v>
      </c>
      <c r="J29" s="28"/>
      <c r="K29" s="207"/>
      <c r="L29" s="19" t="s">
        <v>691</v>
      </c>
      <c r="M29" s="56">
        <v>45231</v>
      </c>
      <c r="N29" s="52">
        <v>30526</v>
      </c>
      <c r="O29" s="26"/>
      <c r="P29" s="27"/>
    </row>
    <row r="30" spans="1:16" ht="18.600000000000001">
      <c r="A30" s="81">
        <v>17</v>
      </c>
      <c r="B30" s="27" t="s">
        <v>724</v>
      </c>
      <c r="C30" s="20"/>
      <c r="D30" s="27" t="s">
        <v>299</v>
      </c>
      <c r="E30" s="365" t="s">
        <v>725</v>
      </c>
      <c r="F30" s="27" t="s">
        <v>296</v>
      </c>
      <c r="G30" s="27" t="s">
        <v>297</v>
      </c>
      <c r="H30" s="27" t="s">
        <v>298</v>
      </c>
      <c r="I30" s="23" t="str">
        <f t="shared" si="0"/>
        <v>CASUGA, RICA V.</v>
      </c>
      <c r="J30" s="28"/>
      <c r="K30" s="207"/>
      <c r="L30" s="19" t="s">
        <v>691</v>
      </c>
      <c r="M30" s="19" t="s">
        <v>722</v>
      </c>
      <c r="N30" s="52">
        <v>45780</v>
      </c>
      <c r="O30" s="26"/>
      <c r="P30" s="27"/>
    </row>
    <row r="31" spans="1:16" ht="18.600000000000001">
      <c r="A31" s="81">
        <v>18</v>
      </c>
      <c r="B31" s="27"/>
      <c r="C31" s="20"/>
      <c r="D31" s="27"/>
      <c r="E31" s="315"/>
      <c r="F31" s="27"/>
      <c r="G31" s="27"/>
      <c r="H31" s="27"/>
      <c r="I31" s="23"/>
      <c r="J31" s="19"/>
      <c r="K31" s="2"/>
      <c r="L31" s="19"/>
      <c r="M31" s="19"/>
      <c r="N31" s="52"/>
      <c r="O31" s="26"/>
      <c r="P31" s="27"/>
    </row>
    <row r="32" spans="1:16" ht="18.600000000000001">
      <c r="A32" s="81">
        <v>19</v>
      </c>
      <c r="B32" s="27"/>
      <c r="C32" s="20"/>
      <c r="D32" s="27"/>
      <c r="E32" s="315"/>
      <c r="F32" s="27"/>
      <c r="G32" s="27"/>
      <c r="H32" s="27"/>
      <c r="I32" s="23"/>
      <c r="J32" s="19"/>
      <c r="K32" s="2"/>
      <c r="L32" s="19"/>
      <c r="M32" s="19"/>
      <c r="N32" s="52"/>
      <c r="O32" s="26"/>
      <c r="P32" s="27"/>
    </row>
    <row r="33" spans="1:16" ht="18.600000000000001">
      <c r="A33" s="81">
        <v>20</v>
      </c>
      <c r="B33" s="27" t="s">
        <v>605</v>
      </c>
      <c r="C33" s="20"/>
      <c r="D33" s="27" t="s">
        <v>715</v>
      </c>
      <c r="E33" s="315" t="s">
        <v>716</v>
      </c>
      <c r="F33" s="27" t="s">
        <v>322</v>
      </c>
      <c r="G33" s="27" t="s">
        <v>323</v>
      </c>
      <c r="H33" s="27" t="s">
        <v>717</v>
      </c>
      <c r="I33" s="23" t="str">
        <f t="shared" ref="I33:I54" si="2">CONCATENATE(F33,", ",G33, " ", LEFT(H33,1), ".")</f>
        <v>CATINOY, JANET T.</v>
      </c>
      <c r="J33" s="19" t="s">
        <v>721</v>
      </c>
      <c r="K33" s="2"/>
      <c r="L33" s="19" t="s">
        <v>691</v>
      </c>
      <c r="M33" s="19" t="s">
        <v>120</v>
      </c>
      <c r="N33" s="52">
        <v>42116.4</v>
      </c>
      <c r="O33" s="26"/>
      <c r="P33" s="27"/>
    </row>
    <row r="34" spans="1:16" ht="28.2">
      <c r="A34" s="81">
        <v>21</v>
      </c>
      <c r="B34" s="27" t="s">
        <v>274</v>
      </c>
      <c r="C34" s="20"/>
      <c r="D34" s="27" t="s">
        <v>715</v>
      </c>
      <c r="E34" s="366" t="s">
        <v>719</v>
      </c>
      <c r="F34" s="27" t="s">
        <v>276</v>
      </c>
      <c r="G34" s="27" t="s">
        <v>277</v>
      </c>
      <c r="H34" s="27" t="s">
        <v>278</v>
      </c>
      <c r="I34" s="23" t="str">
        <f t="shared" si="2"/>
        <v>CEPEDA, CYRILL SHANE T.</v>
      </c>
      <c r="J34" s="19" t="s">
        <v>700</v>
      </c>
      <c r="K34" s="2"/>
      <c r="L34" s="19" t="s">
        <v>691</v>
      </c>
      <c r="M34" s="19" t="s">
        <v>718</v>
      </c>
      <c r="N34" s="52">
        <v>42116.4</v>
      </c>
      <c r="O34" s="26"/>
      <c r="P34" s="27"/>
    </row>
    <row r="35" spans="1:16" ht="18.600000000000001">
      <c r="A35" s="81">
        <v>22</v>
      </c>
      <c r="B35" s="27" t="s">
        <v>245</v>
      </c>
      <c r="C35" s="20"/>
      <c r="D35" s="27" t="s">
        <v>715</v>
      </c>
      <c r="E35" s="365" t="s">
        <v>896</v>
      </c>
      <c r="F35" s="27" t="s">
        <v>114</v>
      </c>
      <c r="G35" s="27" t="s">
        <v>115</v>
      </c>
      <c r="H35" s="27" t="s">
        <v>116</v>
      </c>
      <c r="I35" s="23" t="str">
        <f t="shared" si="2"/>
        <v>ELCHICO, JOEY MARK D.</v>
      </c>
      <c r="J35" s="19" t="s">
        <v>700</v>
      </c>
      <c r="K35" s="2"/>
      <c r="L35" s="19" t="s">
        <v>691</v>
      </c>
      <c r="M35" s="19" t="s">
        <v>718</v>
      </c>
      <c r="N35" s="52">
        <v>42116.4</v>
      </c>
      <c r="O35" s="26"/>
      <c r="P35" s="27"/>
    </row>
    <row r="36" spans="1:16" ht="18.600000000000001">
      <c r="A36" s="81">
        <v>23</v>
      </c>
      <c r="B36" s="27" t="s">
        <v>729</v>
      </c>
      <c r="C36" s="20"/>
      <c r="D36" s="27" t="s">
        <v>379</v>
      </c>
      <c r="E36" s="27"/>
      <c r="F36" s="319" t="s">
        <v>849</v>
      </c>
      <c r="G36" s="319" t="s">
        <v>850</v>
      </c>
      <c r="H36" s="319"/>
      <c r="I36" s="23" t="str">
        <f t="shared" si="2"/>
        <v>FIDEL, DONNA ANDREA .</v>
      </c>
      <c r="J36" s="19" t="s">
        <v>721</v>
      </c>
      <c r="K36" s="2"/>
      <c r="L36" s="19" t="s">
        <v>691</v>
      </c>
      <c r="M36" s="19" t="s">
        <v>722</v>
      </c>
      <c r="N36" s="52">
        <v>45780</v>
      </c>
      <c r="O36" s="26"/>
      <c r="P36" s="27"/>
    </row>
    <row r="37" spans="1:16" ht="18.600000000000001">
      <c r="A37" s="81">
        <v>24</v>
      </c>
      <c r="B37" s="20" t="s">
        <v>80</v>
      </c>
      <c r="C37" s="20" t="s">
        <v>831</v>
      </c>
      <c r="D37" s="23" t="s">
        <v>708</v>
      </c>
      <c r="E37" s="23" t="s">
        <v>299</v>
      </c>
      <c r="F37" s="23" t="s">
        <v>70</v>
      </c>
      <c r="G37" s="5" t="s">
        <v>71</v>
      </c>
      <c r="H37" s="23" t="s">
        <v>72</v>
      </c>
      <c r="I37" s="23" t="str">
        <f t="shared" si="2"/>
        <v>GOMEZ, MAGDALENA D.</v>
      </c>
      <c r="J37" s="19" t="s">
        <v>721</v>
      </c>
      <c r="K37" s="2"/>
      <c r="L37" s="19" t="s">
        <v>691</v>
      </c>
      <c r="M37" s="19" t="s">
        <v>886</v>
      </c>
      <c r="N37" s="52">
        <v>59802</v>
      </c>
      <c r="O37" s="26"/>
      <c r="P37" s="27"/>
    </row>
    <row r="38" spans="1:16" ht="18.600000000000001">
      <c r="A38" s="81">
        <v>25</v>
      </c>
      <c r="B38" s="321" t="s">
        <v>860</v>
      </c>
      <c r="C38" s="20"/>
      <c r="D38" s="319" t="s">
        <v>272</v>
      </c>
      <c r="E38" s="27" t="s">
        <v>698</v>
      </c>
      <c r="F38" s="319" t="s">
        <v>61</v>
      </c>
      <c r="G38" s="319" t="s">
        <v>269</v>
      </c>
      <c r="H38" s="319" t="s">
        <v>888</v>
      </c>
      <c r="I38" s="23" t="str">
        <f t="shared" si="2"/>
        <v>JIMENEZ, JEI ARISTON C.</v>
      </c>
      <c r="J38" s="19" t="s">
        <v>721</v>
      </c>
      <c r="K38" s="2"/>
      <c r="L38" s="320" t="s">
        <v>691</v>
      </c>
      <c r="M38" s="320">
        <v>18</v>
      </c>
      <c r="N38" s="267">
        <v>54243.6</v>
      </c>
      <c r="O38" s="26"/>
      <c r="P38" s="27"/>
    </row>
    <row r="39" spans="1:16" ht="18.600000000000001">
      <c r="A39" s="81">
        <v>26</v>
      </c>
      <c r="B39" s="27" t="s">
        <v>461</v>
      </c>
      <c r="C39" s="20"/>
      <c r="D39" s="27" t="s">
        <v>284</v>
      </c>
      <c r="E39" s="53" t="s">
        <v>720</v>
      </c>
      <c r="F39" s="27" t="s">
        <v>341</v>
      </c>
      <c r="G39" s="27" t="s">
        <v>342</v>
      </c>
      <c r="H39" s="27" t="s">
        <v>645</v>
      </c>
      <c r="I39" s="23" t="str">
        <f t="shared" si="2"/>
        <v>JOSE, DAN MARK R.</v>
      </c>
      <c r="J39" s="19" t="s">
        <v>721</v>
      </c>
      <c r="K39" s="2"/>
      <c r="L39" s="19" t="s">
        <v>691</v>
      </c>
      <c r="M39" s="367">
        <v>45261</v>
      </c>
      <c r="N39" s="267">
        <v>33129.599999999999</v>
      </c>
      <c r="O39" s="26"/>
      <c r="P39" s="27"/>
    </row>
    <row r="40" spans="1:16" ht="18.600000000000001">
      <c r="A40" s="81">
        <v>27</v>
      </c>
      <c r="B40" s="27" t="s">
        <v>274</v>
      </c>
      <c r="C40" s="20"/>
      <c r="D40" s="27" t="s">
        <v>284</v>
      </c>
      <c r="E40" s="27" t="s">
        <v>723</v>
      </c>
      <c r="F40" s="27" t="s">
        <v>282</v>
      </c>
      <c r="G40" s="27" t="s">
        <v>283</v>
      </c>
      <c r="H40" s="27" t="s">
        <v>199</v>
      </c>
      <c r="I40" s="23" t="str">
        <f t="shared" si="2"/>
        <v>LANGCAY, MICHAEL ANGELO R.</v>
      </c>
      <c r="J40" s="19" t="s">
        <v>721</v>
      </c>
      <c r="K40" s="2"/>
      <c r="L40" s="19" t="s">
        <v>691</v>
      </c>
      <c r="M40" s="19" t="s">
        <v>722</v>
      </c>
      <c r="N40" s="52">
        <v>45780</v>
      </c>
      <c r="O40" s="26"/>
      <c r="P40" s="27"/>
    </row>
    <row r="41" spans="1:16" ht="26.4">
      <c r="A41" s="81">
        <v>28</v>
      </c>
      <c r="B41" s="20" t="s">
        <v>835</v>
      </c>
      <c r="C41" s="20" t="s">
        <v>836</v>
      </c>
      <c r="D41" s="237" t="s">
        <v>743</v>
      </c>
      <c r="E41" s="357" t="s">
        <v>744</v>
      </c>
      <c r="F41" s="23" t="s">
        <v>92</v>
      </c>
      <c r="G41" s="5" t="s">
        <v>93</v>
      </c>
      <c r="H41" s="23" t="s">
        <v>94</v>
      </c>
      <c r="I41" s="23" t="str">
        <f t="shared" si="2"/>
        <v>LAYUGAN, ROGELIO  T.</v>
      </c>
      <c r="J41" s="19" t="s">
        <v>700</v>
      </c>
      <c r="K41" s="2"/>
      <c r="L41" s="19" t="s">
        <v>691</v>
      </c>
      <c r="M41" s="19" t="s">
        <v>718</v>
      </c>
      <c r="N41" s="52">
        <v>45780</v>
      </c>
      <c r="O41" s="26"/>
      <c r="P41" s="27"/>
    </row>
    <row r="42" spans="1:16" ht="18.600000000000001">
      <c r="A42" s="81">
        <v>29</v>
      </c>
      <c r="B42" s="27" t="s">
        <v>621</v>
      </c>
      <c r="C42" s="128"/>
      <c r="D42" s="27" t="s">
        <v>881</v>
      </c>
      <c r="E42" s="128" t="s">
        <v>752</v>
      </c>
      <c r="F42" s="128" t="s">
        <v>260</v>
      </c>
      <c r="G42" s="127" t="s">
        <v>261</v>
      </c>
      <c r="H42" s="128" t="s">
        <v>244</v>
      </c>
      <c r="I42" s="23" t="str">
        <f t="shared" si="2"/>
        <v>RECOLIZADO, JAYMAR C.</v>
      </c>
      <c r="J42" s="19" t="s">
        <v>700</v>
      </c>
      <c r="K42" s="2"/>
      <c r="L42" s="19"/>
      <c r="M42" s="367"/>
      <c r="N42" s="267"/>
      <c r="O42" s="26"/>
      <c r="P42" s="27"/>
    </row>
    <row r="43" spans="1:16" ht="15.75" customHeight="1">
      <c r="A43" s="81">
        <v>30</v>
      </c>
      <c r="B43" s="27" t="s">
        <v>220</v>
      </c>
      <c r="C43" s="20"/>
      <c r="D43" s="27" t="s">
        <v>284</v>
      </c>
      <c r="E43" s="27" t="s">
        <v>714</v>
      </c>
      <c r="F43" s="319" t="s">
        <v>63</v>
      </c>
      <c r="G43" s="319" t="s">
        <v>230</v>
      </c>
      <c r="H43" s="319" t="s">
        <v>517</v>
      </c>
      <c r="I43" s="23" t="str">
        <f t="shared" si="2"/>
        <v>TUMALIUAN, MARK JOHN C.</v>
      </c>
      <c r="J43" s="19" t="s">
        <v>721</v>
      </c>
      <c r="K43" s="128"/>
      <c r="L43" s="128"/>
      <c r="M43" s="128"/>
      <c r="N43" s="128"/>
      <c r="O43" s="128"/>
      <c r="P43" s="128"/>
    </row>
    <row r="44" spans="1:16" ht="15.75" customHeight="1">
      <c r="A44" s="81">
        <v>31</v>
      </c>
      <c r="B44" s="27" t="s">
        <v>778</v>
      </c>
      <c r="C44" s="128"/>
      <c r="D44" s="27" t="s">
        <v>455</v>
      </c>
      <c r="E44" s="128"/>
      <c r="F44" s="128" t="s">
        <v>425</v>
      </c>
      <c r="G44" s="127" t="s">
        <v>963</v>
      </c>
      <c r="H44" s="128" t="s">
        <v>427</v>
      </c>
      <c r="I44" s="23" t="str">
        <f t="shared" si="2"/>
        <v>USMAN, MOHAMDNOR  G.</v>
      </c>
      <c r="J44" s="352"/>
      <c r="K44" s="631"/>
      <c r="L44" s="631"/>
      <c r="M44" s="631"/>
      <c r="N44" s="631"/>
      <c r="O44" s="631"/>
      <c r="P44" s="632"/>
    </row>
    <row r="45" spans="1:16" ht="18.600000000000001">
      <c r="A45" s="234"/>
      <c r="B45" s="20"/>
      <c r="C45" s="20"/>
      <c r="D45" s="22"/>
      <c r="E45" s="22"/>
      <c r="F45" s="22"/>
      <c r="G45" s="81"/>
      <c r="H45" s="22"/>
      <c r="I45" s="23" t="str">
        <f t="shared" si="2"/>
        <v>,  .</v>
      </c>
      <c r="J45" s="122"/>
      <c r="K45" s="55"/>
      <c r="L45" s="22"/>
      <c r="M45" s="54"/>
      <c r="N45" s="54"/>
      <c r="O45" s="235"/>
      <c r="P45" s="6"/>
    </row>
    <row r="46" spans="1:16" ht="18.600000000000001">
      <c r="A46" s="331" t="s">
        <v>742</v>
      </c>
      <c r="B46" s="370"/>
      <c r="C46" s="370"/>
      <c r="D46" s="370"/>
      <c r="E46" s="370"/>
      <c r="F46" s="370"/>
      <c r="G46" s="370"/>
      <c r="H46" s="370"/>
      <c r="I46" s="23" t="str">
        <f t="shared" si="2"/>
        <v>,  .</v>
      </c>
      <c r="J46" s="370"/>
      <c r="K46" s="370"/>
      <c r="L46" s="370"/>
      <c r="M46" s="370"/>
      <c r="N46" s="370"/>
      <c r="O46" s="370"/>
      <c r="P46" s="371"/>
    </row>
    <row r="47" spans="1:16" ht="15.75" customHeight="1">
      <c r="A47" s="230">
        <v>31</v>
      </c>
      <c r="B47" s="20" t="s">
        <v>151</v>
      </c>
      <c r="C47" s="20" t="s">
        <v>177</v>
      </c>
      <c r="D47" s="23" t="s">
        <v>746</v>
      </c>
      <c r="E47" s="237" t="s">
        <v>687</v>
      </c>
      <c r="F47" s="23" t="s">
        <v>163</v>
      </c>
      <c r="G47" s="5" t="s">
        <v>164</v>
      </c>
      <c r="H47" s="23" t="s">
        <v>82</v>
      </c>
      <c r="I47" s="23" t="str">
        <f t="shared" si="2"/>
        <v>ABAD, FERDINAND B.</v>
      </c>
      <c r="J47" s="28" t="s">
        <v>85</v>
      </c>
      <c r="K47" s="216"/>
      <c r="L47" s="28" t="s">
        <v>58</v>
      </c>
      <c r="M47" s="35" t="s">
        <v>162</v>
      </c>
      <c r="N47" s="35" t="s">
        <v>677</v>
      </c>
      <c r="O47" s="60" t="s">
        <v>165</v>
      </c>
      <c r="P47" s="27" t="s">
        <v>7</v>
      </c>
    </row>
    <row r="48" spans="1:16" ht="15.75" customHeight="1">
      <c r="A48" s="230">
        <v>32</v>
      </c>
      <c r="B48" s="27" t="s">
        <v>724</v>
      </c>
      <c r="C48" s="347">
        <v>4</v>
      </c>
      <c r="D48" s="27" t="s">
        <v>299</v>
      </c>
      <c r="E48" s="321" t="s">
        <v>899</v>
      </c>
      <c r="F48" s="27" t="s">
        <v>309</v>
      </c>
      <c r="G48" s="34" t="s">
        <v>310</v>
      </c>
      <c r="H48" s="27" t="s">
        <v>311</v>
      </c>
      <c r="I48" s="23" t="str">
        <f t="shared" si="2"/>
        <v>ANAPI, DEEJAY G.</v>
      </c>
      <c r="J48" s="28" t="s">
        <v>85</v>
      </c>
      <c r="K48" s="216">
        <v>25168</v>
      </c>
      <c r="L48" s="28" t="s">
        <v>58</v>
      </c>
      <c r="M48" s="56">
        <v>44718</v>
      </c>
      <c r="N48" s="52">
        <v>18739</v>
      </c>
      <c r="O48" s="60" t="s">
        <v>187</v>
      </c>
      <c r="P48" s="27" t="s">
        <v>22</v>
      </c>
    </row>
    <row r="49" spans="1:16" ht="15.75" customHeight="1">
      <c r="A49" s="230">
        <v>33</v>
      </c>
      <c r="B49" s="20" t="s">
        <v>178</v>
      </c>
      <c r="C49" s="20" t="s">
        <v>188</v>
      </c>
      <c r="D49" s="23" t="s">
        <v>747</v>
      </c>
      <c r="E49" s="236" t="s">
        <v>748</v>
      </c>
      <c r="F49" s="23" t="s">
        <v>184</v>
      </c>
      <c r="G49" s="5" t="s">
        <v>185</v>
      </c>
      <c r="H49" s="23" t="s">
        <v>186</v>
      </c>
      <c r="I49" s="23" t="str">
        <f t="shared" si="2"/>
        <v>BALIGOD, RICHARD P.</v>
      </c>
      <c r="J49" s="28" t="s">
        <v>85</v>
      </c>
      <c r="K49" s="216">
        <v>26348</v>
      </c>
      <c r="L49" s="28" t="s">
        <v>58</v>
      </c>
      <c r="M49" s="76">
        <v>44713</v>
      </c>
      <c r="N49" s="77">
        <v>16877</v>
      </c>
      <c r="O49" s="60" t="s">
        <v>218</v>
      </c>
      <c r="P49" s="6" t="s">
        <v>23</v>
      </c>
    </row>
    <row r="50" spans="1:16" ht="15.75" customHeight="1">
      <c r="A50" s="230">
        <v>34</v>
      </c>
      <c r="B50" s="20" t="s">
        <v>80</v>
      </c>
      <c r="C50" s="20" t="s">
        <v>86</v>
      </c>
      <c r="D50" s="23" t="s">
        <v>733</v>
      </c>
      <c r="E50" s="23" t="s">
        <v>734</v>
      </c>
      <c r="F50" s="23" t="s">
        <v>82</v>
      </c>
      <c r="G50" s="5" t="s">
        <v>83</v>
      </c>
      <c r="H50" s="23" t="s">
        <v>84</v>
      </c>
      <c r="I50" s="23" t="str">
        <f t="shared" si="2"/>
        <v>BARIUAN, RONALD  S.</v>
      </c>
      <c r="J50" s="28" t="s">
        <v>85</v>
      </c>
      <c r="K50" s="216">
        <v>27002</v>
      </c>
      <c r="L50" s="28" t="s">
        <v>58</v>
      </c>
      <c r="M50" s="35" t="s">
        <v>81</v>
      </c>
      <c r="N50" s="36">
        <v>69963</v>
      </c>
      <c r="O50" s="60" t="s">
        <v>749</v>
      </c>
      <c r="P50" s="27" t="s">
        <v>16</v>
      </c>
    </row>
    <row r="51" spans="1:16" ht="15.75" customHeight="1">
      <c r="A51" s="230">
        <v>35</v>
      </c>
      <c r="B51" s="20" t="s">
        <v>178</v>
      </c>
      <c r="C51" s="20" t="s">
        <v>219</v>
      </c>
      <c r="D51" s="23" t="s">
        <v>683</v>
      </c>
      <c r="E51" s="237" t="s">
        <v>750</v>
      </c>
      <c r="F51" s="23" t="s">
        <v>216</v>
      </c>
      <c r="G51" s="5" t="s">
        <v>217</v>
      </c>
      <c r="H51" s="23" t="s">
        <v>184</v>
      </c>
      <c r="I51" s="23" t="str">
        <f t="shared" si="2"/>
        <v>BERMEJO, ALVIN B.</v>
      </c>
      <c r="J51" s="19" t="s">
        <v>721</v>
      </c>
      <c r="K51" s="27"/>
      <c r="L51" s="19" t="s">
        <v>691</v>
      </c>
      <c r="M51" s="316" t="s">
        <v>722</v>
      </c>
      <c r="N51" s="52">
        <v>35106</v>
      </c>
      <c r="O51" s="182">
        <v>38150</v>
      </c>
      <c r="P51" s="52">
        <f t="shared" ref="P51:P53" si="3">O51*20%</f>
        <v>7630</v>
      </c>
    </row>
    <row r="52" spans="1:16" ht="15.75" customHeight="1">
      <c r="A52" s="230">
        <v>36</v>
      </c>
      <c r="B52" s="27" t="s">
        <v>754</v>
      </c>
      <c r="C52" s="347">
        <v>14</v>
      </c>
      <c r="D52" s="27" t="s">
        <v>299</v>
      </c>
      <c r="E52" s="315" t="s">
        <v>891</v>
      </c>
      <c r="F52" s="27" t="s">
        <v>134</v>
      </c>
      <c r="G52" s="34" t="s">
        <v>135</v>
      </c>
      <c r="H52" s="27" t="s">
        <v>136</v>
      </c>
      <c r="I52" s="23" t="str">
        <f t="shared" si="2"/>
        <v>BUENO, CHRISTINE JOYCE V.</v>
      </c>
      <c r="J52" s="19" t="s">
        <v>700</v>
      </c>
      <c r="K52" s="27"/>
      <c r="L52" s="19" t="s">
        <v>691</v>
      </c>
      <c r="M52" s="324" t="s">
        <v>701</v>
      </c>
      <c r="N52" s="52">
        <v>22316</v>
      </c>
      <c r="O52" s="182">
        <v>25439</v>
      </c>
      <c r="P52" s="52">
        <f t="shared" si="3"/>
        <v>5087.8</v>
      </c>
    </row>
    <row r="53" spans="1:16" ht="15.75" customHeight="1">
      <c r="A53" s="230">
        <v>37</v>
      </c>
      <c r="B53" s="27" t="s">
        <v>274</v>
      </c>
      <c r="C53" s="347">
        <v>33</v>
      </c>
      <c r="D53" s="27" t="s">
        <v>715</v>
      </c>
      <c r="E53" s="365" t="s">
        <v>726</v>
      </c>
      <c r="F53" s="27" t="s">
        <v>300</v>
      </c>
      <c r="G53" s="34" t="s">
        <v>301</v>
      </c>
      <c r="H53" s="27" t="s">
        <v>302</v>
      </c>
      <c r="I53" s="23" t="str">
        <f t="shared" si="2"/>
        <v>GUIMMAYEN, NEIL KRISTOPHER C.</v>
      </c>
      <c r="J53" s="19" t="s">
        <v>721</v>
      </c>
      <c r="K53" s="27"/>
      <c r="L53" s="19" t="s">
        <v>691</v>
      </c>
      <c r="M53" s="324" t="s">
        <v>718</v>
      </c>
      <c r="N53" s="52">
        <v>32053</v>
      </c>
      <c r="O53" s="182">
        <v>35097</v>
      </c>
      <c r="P53" s="52">
        <f t="shared" si="3"/>
        <v>7019.4000000000005</v>
      </c>
    </row>
    <row r="54" spans="1:16" ht="15.75" customHeight="1">
      <c r="A54" s="230">
        <v>38</v>
      </c>
      <c r="B54" s="27" t="s">
        <v>964</v>
      </c>
      <c r="C54" s="27"/>
      <c r="D54" s="27" t="s">
        <v>455</v>
      </c>
      <c r="E54" s="27"/>
      <c r="F54" s="27" t="s">
        <v>431</v>
      </c>
      <c r="G54" s="27" t="s">
        <v>432</v>
      </c>
      <c r="H54" s="27" t="s">
        <v>433</v>
      </c>
      <c r="I54" s="23" t="str">
        <f t="shared" si="2"/>
        <v>GUIM, ARIES ANTHONY F.</v>
      </c>
      <c r="J54" s="2"/>
      <c r="K54" s="2"/>
      <c r="L54" s="2"/>
      <c r="M54" s="2"/>
      <c r="N54" s="2"/>
      <c r="O54" s="2"/>
      <c r="P54" s="2"/>
    </row>
    <row r="55" spans="1:16" ht="15.75" customHeight="1">
      <c r="A55" s="230"/>
      <c r="B55" s="27"/>
      <c r="C55" s="20"/>
      <c r="D55" s="27"/>
      <c r="E55" s="365"/>
      <c r="F55" s="27"/>
      <c r="G55" s="34"/>
      <c r="H55" s="27"/>
      <c r="I55" s="23"/>
      <c r="J55" s="19" t="s">
        <v>721</v>
      </c>
      <c r="K55" s="128"/>
      <c r="L55" s="19" t="s">
        <v>691</v>
      </c>
      <c r="M55" s="19" t="s">
        <v>718</v>
      </c>
      <c r="N55" s="52">
        <v>32053</v>
      </c>
      <c r="O55" s="182">
        <v>35097</v>
      </c>
      <c r="P55" s="52">
        <f>O55*20%</f>
        <v>7019.4000000000005</v>
      </c>
    </row>
  </sheetData>
  <mergeCells count="20">
    <mergeCell ref="A11:P11"/>
    <mergeCell ref="A1:P2"/>
    <mergeCell ref="A3:P3"/>
    <mergeCell ref="A4:P4"/>
    <mergeCell ref="A5:P5"/>
    <mergeCell ref="B6:P6"/>
    <mergeCell ref="A7:P7"/>
    <mergeCell ref="A8:A9"/>
    <mergeCell ref="K8:K9"/>
    <mergeCell ref="L8:L9"/>
    <mergeCell ref="M8:M9"/>
    <mergeCell ref="N8:N9"/>
    <mergeCell ref="O8:O9"/>
    <mergeCell ref="B8:B9"/>
    <mergeCell ref="C8:C9"/>
    <mergeCell ref="E8:E9"/>
    <mergeCell ref="F8:H8"/>
    <mergeCell ref="J8:J9"/>
    <mergeCell ref="P8:P9"/>
    <mergeCell ref="A10:P10"/>
  </mergeCells>
  <pageMargins left="0.70866141732283472" right="0.78873239436619724" top="0.74803149606299213" bottom="0.74803149606299213" header="0" footer="0"/>
  <pageSetup paperSize="5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Region 02-SG (2024)-</vt:lpstr>
      <vt:lpstr>Copy of Region 02-SG (2024)-</vt:lpstr>
      <vt:lpstr>Project (COS)</vt:lpstr>
      <vt:lpstr>Sheet2</vt:lpstr>
      <vt:lpstr>RegularOrganic</vt:lpstr>
      <vt:lpstr>Sheet37</vt:lpstr>
      <vt:lpstr>Sheet38</vt:lpstr>
      <vt:lpstr>Sheet39</vt:lpstr>
      <vt:lpstr>Copy of Collective 1</vt:lpstr>
      <vt:lpstr>Copy of PER PO 1</vt:lpstr>
      <vt:lpstr>Copy of Plantilla-CTI</vt:lpstr>
      <vt:lpstr>Position</vt:lpstr>
      <vt:lpstr>Copy of Project (COS)</vt:lpstr>
      <vt:lpstr>Salary Grade</vt:lpstr>
      <vt:lpstr>Sheet1</vt:lpstr>
      <vt:lpstr>Copy of RO2 staff</vt:lpstr>
      <vt:lpstr>Sheet11</vt:lpstr>
      <vt:lpstr>Copy of Collective</vt:lpstr>
      <vt:lpstr>OOTD</vt:lpstr>
      <vt:lpstr>Copy of Copy of PER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Tech4ED</dc:creator>
  <cp:lastModifiedBy>Jaymar Recolizado</cp:lastModifiedBy>
  <dcterms:created xsi:type="dcterms:W3CDTF">2022-01-18T07:45:05Z</dcterms:created>
  <dcterms:modified xsi:type="dcterms:W3CDTF">2025-09-08T06:43:31Z</dcterms:modified>
</cp:coreProperties>
</file>